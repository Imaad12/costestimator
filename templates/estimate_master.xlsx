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ject Setup" sheetId="2" state="visible" r:id="rId2"/>
    <sheet xmlns:r="http://schemas.openxmlformats.org/officeDocument/2006/relationships" name="Project Summary" sheetId="3" state="visible" r:id="rId3"/>
    <sheet xmlns:r="http://schemas.openxmlformats.org/officeDocument/2006/relationships" name="Trade and Cost Code Mapping" sheetId="4" state="visible" r:id="rId4"/>
    <sheet xmlns:r="http://schemas.openxmlformats.org/officeDocument/2006/relationships" name="Pricing Schedule" sheetId="5" state="visible" r:id="rId5"/>
    <sheet xmlns:r="http://schemas.openxmlformats.org/officeDocument/2006/relationships" name="BOQ Import" sheetId="6" state="visible" r:id="rId6"/>
    <sheet xmlns:r="http://schemas.openxmlformats.org/officeDocument/2006/relationships" name="Direct Cost Build-Up" sheetId="7" state="visible" r:id="rId7"/>
    <sheet xmlns:r="http://schemas.openxmlformats.org/officeDocument/2006/relationships" name="Labour Library" sheetId="8" state="visible" r:id="rId8"/>
    <sheet xmlns:r="http://schemas.openxmlformats.org/officeDocument/2006/relationships" name="Material Library" sheetId="9" state="visible" r:id="rId9"/>
    <sheet xmlns:r="http://schemas.openxmlformats.org/officeDocument/2006/relationships" name="Plant and Equipment Library" sheetId="10" state="visible" r:id="rId10"/>
    <sheet xmlns:r="http://schemas.openxmlformats.org/officeDocument/2006/relationships" name="Subcontract Library" sheetId="11" state="visible" r:id="rId11"/>
    <sheet xmlns:r="http://schemas.openxmlformats.org/officeDocument/2006/relationships" name="Assembly Library" sheetId="12" state="visible" r:id="rId12"/>
    <sheet xmlns:r="http://schemas.openxmlformats.org/officeDocument/2006/relationships" name="Assumptions Register" sheetId="13" state="visible" r:id="rId13"/>
    <sheet xmlns:r="http://schemas.openxmlformats.org/officeDocument/2006/relationships" name="Indirect Costs" sheetId="14" state="visible" r:id="rId14"/>
    <sheet xmlns:r="http://schemas.openxmlformats.org/officeDocument/2006/relationships" name="Commercial Calculation" sheetId="15" state="visible" r:id="rId15"/>
    <sheet xmlns:r="http://schemas.openxmlformats.org/officeDocument/2006/relationships" name="Procurement Register" sheetId="16" state="visible" r:id="rId16"/>
    <sheet xmlns:r="http://schemas.openxmlformats.org/officeDocument/2006/relationships" name="Vendor Directory" sheetId="17" state="visible" r:id="rId17"/>
    <sheet xmlns:r="http://schemas.openxmlformats.org/officeDocument/2006/relationships" name="Vendor Quotations" sheetId="18" state="visible" r:id="rId18"/>
    <sheet xmlns:r="http://schemas.openxmlformats.org/officeDocument/2006/relationships" name="Quote Comparison" sheetId="19" state="visible" r:id="rId19"/>
    <sheet xmlns:r="http://schemas.openxmlformats.org/officeDocument/2006/relationships" name="Clarification Register" sheetId="20" state="visible" r:id="rId20"/>
    <sheet xmlns:r="http://schemas.openxmlformats.org/officeDocument/2006/relationships" name="Inclusions and Exclusions" sheetId="21" state="visible" r:id="rId21"/>
    <sheet xmlns:r="http://schemas.openxmlformats.org/officeDocument/2006/relationships" name="Risk Register" sheetId="22" state="visible" r:id="rId22"/>
    <sheet xmlns:r="http://schemas.openxmlformats.org/officeDocument/2006/relationships" name="Reconciliation" sheetId="23" state="visible" r:id="rId23"/>
    <sheet xmlns:r="http://schemas.openxmlformats.org/officeDocument/2006/relationships" name="Approval Log" sheetId="24" state="visible" r:id="rId24"/>
    <sheet xmlns:r="http://schemas.openxmlformats.org/officeDocument/2006/relationships" name="AI Instructions" sheetId="25" state="visible" r:id="rId25"/>
    <sheet xmlns:r="http://schemas.openxmlformats.org/officeDocument/2006/relationships" name="Data Dictionary" sheetId="26" state="visible" r:id="rId26"/>
    <sheet xmlns:r="http://schemas.openxmlformats.org/officeDocument/2006/relationships" name="Source Register" sheetId="27" state="visible" r:id="rId27"/>
    <sheet xmlns:r="http://schemas.openxmlformats.org/officeDocument/2006/relationships" name="Lists" sheetId="28" state="hidden" r:id="rId28"/>
  </sheets>
  <definedNames>
    <definedName name="_xlnm._FilterDatabase" localSheetId="3" hidden="1">'Trade and Cost Code Mapping'!$A$5:$I$305</definedName>
    <definedName name="_xlnm._FilterDatabase" localSheetId="4" hidden="1">'Pricing Schedule'!$A$5:$J$305</definedName>
    <definedName name="_xlnm._FilterDatabase" localSheetId="5" hidden="1">'BOQ Import'!$A$5:$R$305</definedName>
    <definedName name="_xlnm._FilterDatabase" localSheetId="6" hidden="1">'Direct Cost Build-Up'!$A$5:$Q$305</definedName>
    <definedName name="_xlnm._FilterDatabase" localSheetId="7" hidden="1">'Labour Library'!$A$5:$V$305</definedName>
    <definedName name="_xlnm._FilterDatabase" localSheetId="8" hidden="1">'Material Library'!$A$5:$V$305</definedName>
    <definedName name="_xlnm._FilterDatabase" localSheetId="9" hidden="1">'Plant and Equipment Library'!$A$5:$V$305</definedName>
    <definedName name="_xlnm._FilterDatabase" localSheetId="10" hidden="1">'Subcontract Library'!$A$5:$V$305</definedName>
    <definedName name="_xlnm._FilterDatabase" localSheetId="11" hidden="1">'Assembly Library'!$A$5:$Z$305</definedName>
    <definedName name="_xlnm._FilterDatabase" localSheetId="12" hidden="1">'Assumptions Register'!$A$5:$M$305</definedName>
    <definedName name="_xlnm._FilterDatabase" localSheetId="13" hidden="1">'Indirect Costs'!$A$5:$L$305</definedName>
    <definedName name="_xlnm._FilterDatabase" localSheetId="15" hidden="1">'Procurement Register'!$A$5:$Q$305</definedName>
    <definedName name="_xlnm._FilterDatabase" localSheetId="16" hidden="1">'Vendor Directory'!$A$5:$K$305</definedName>
    <definedName name="_xlnm._FilterDatabase" localSheetId="17" hidden="1">'Vendor Quotations'!$A$5:$W$305</definedName>
    <definedName name="_xlnm._FilterDatabase" localSheetId="18" hidden="1">'Quote Comparison'!$A$5:$P$305</definedName>
    <definedName name="_xlnm._FilterDatabase" localSheetId="19" hidden="1">'Clarification Register'!$A$5:$M$305</definedName>
    <definedName name="_xlnm._FilterDatabase" localSheetId="20" hidden="1">'Inclusions and Exclusions'!$A$5:$H$305</definedName>
    <definedName name="_xlnm._FilterDatabase" localSheetId="21" hidden="1">'Risk Register'!$A$5:$J$305</definedName>
    <definedName name="_xlnm._FilterDatabase" localSheetId="22" hidden="1">'Reconciliation'!$A$5:$I$305</definedName>
    <definedName name="_xlnm._FilterDatabase" localSheetId="23" hidden="1">'Approval Log'!$A$5:$L$305</definedName>
    <definedName name="_xlnm._FilterDatabase" localSheetId="25" hidden="1">'Data Dictionary'!$A$5:$F$334</definedName>
    <definedName name="_xlnm._FilterDatabase" localSheetId="26" hidden="1">'Source Register'!$A$5:$Q$305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#,##0.00;[Red]-#,##0.00"/>
    <numFmt numFmtId="166" formatCode="#,##0.0000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1"/>
    </font>
    <font>
      <b val="1"/>
      <color rgb="001F3864"/>
      <sz val="14"/>
    </font>
    <font>
      <i val="1"/>
      <sz val="9"/>
    </font>
    <font>
      <b val="1"/>
      <color rgb="00FFFFFF"/>
    </font>
    <font>
      <b val="1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applyProtection="1" pivotButton="0" quotePrefix="0" xfId="0">
      <alignment vertical="top" wrapText="1"/>
      <protection locked="0" hidden="0"/>
    </xf>
    <xf numFmtId="4" fontId="0" fillId="5" borderId="0" pivotButton="0" quotePrefix="0" xfId="0"/>
    <xf numFmtId="4" fontId="0" fillId="3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Protection="1" pivotButton="0" quotePrefix="0" xfId="0">
      <protection locked="0" hidden="0"/>
    </xf>
    <xf numFmtId="164" fontId="0" fillId="3" borderId="1" pivotButton="0" quotePrefix="0" xfId="0"/>
    <xf numFmtId="165" fontId="0" fillId="3" borderId="1" pivotButton="0" quotePrefix="0" xfId="0"/>
    <xf numFmtId="165" fontId="0" fillId="5" borderId="1" pivotButton="0" quotePrefix="0" xfId="0"/>
    <xf numFmtId="0" fontId="0" fillId="5" borderId="1" pivotButton="0" quotePrefix="0" xfId="0"/>
    <xf numFmtId="165" fontId="6" fillId="5" borderId="0" pivotButton="0" quotePrefix="0" xfId="0"/>
    <xf numFmtId="164" fontId="0" fillId="4" borderId="1" applyProtection="1" pivotButton="0" quotePrefix="0" xfId="0">
      <protection locked="0" hidden="0"/>
    </xf>
    <xf numFmtId="165" fontId="0" fillId="4" borderId="1" applyProtection="1" pivotButton="0" quotePrefix="0" xfId="0">
      <protection locked="0" hidden="0"/>
    </xf>
    <xf numFmtId="166" fontId="0" fillId="3" borderId="1" pivotButton="0" quotePrefix="0" xfId="0"/>
    <xf numFmtId="167" fontId="0" fillId="3" borderId="1" pivotButton="0" quotePrefix="0" xfId="0"/>
    <xf numFmtId="167" fontId="0" fillId="4" borderId="1" applyProtection="1" pivotButton="0" quotePrefix="0" xfId="0">
      <protection locked="0" hidden="0"/>
    </xf>
    <xf numFmtId="4" fontId="0" fillId="3" borderId="1" pivotButton="0" quotePrefix="0" xfId="0"/>
    <xf numFmtId="4" fontId="0" fillId="5" borderId="1" pivotButton="0" quotePrefix="0" xfId="0"/>
    <xf numFmtId="2" fontId="0" fillId="4" borderId="1" applyProtection="1" pivotButton="0" quotePrefix="0" xfId="0">
      <protection locked="0" hidden="0"/>
    </xf>
    <xf numFmtId="2" fontId="0" fillId="3" borderId="0" pivotButton="0" quotePrefix="0" xfId="0"/>
    <xf numFmtId="49" fontId="0" fillId="4" borderId="1" applyProtection="1" pivotButton="0" quotePrefix="0" xfId="0">
      <protection locked="0" hidden="0"/>
    </xf>
    <xf numFmtId="49" fontId="0" fillId="3" borderId="0" pivotButton="0" quotePrefix="0" xfId="0"/>
    <xf numFmtId="4" fontId="0" fillId="4" borderId="1" applyProtection="1" pivotButton="0" quotePrefix="0" xfId="0">
      <protection locked="0" hidden="0"/>
    </xf>
    <xf numFmtId="2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KSA Construction Estimating Suite - master estimate workbook</t>
        </is>
      </c>
    </row>
    <row r="2">
      <c r="A2" s="2" t="inlineStr">
        <is>
          <t>Purpose</t>
        </is>
      </c>
    </row>
    <row r="3">
      <c r="A3" s="3" t="inlineStr">
        <is>
          <t>An editable, auditable view of one estimate. The Python application is the AUTHORITATIVE calculation and validation engine; Excel formulas exist for transparency and are re-verified (recalculated and compared) when the workbook is validated or re-imported.</t>
        </is>
      </c>
    </row>
    <row r="4">
      <c r="A4" s="2" t="inlineStr">
        <is>
          <t>Human responsibilities (never delegated to software or AI)</t>
        </is>
      </c>
    </row>
    <row r="5">
      <c r="A5" s="3" t="inlineStr">
        <is>
          <t>1. Quantity take-off is performed by a human estimator with their chosen tool and imported here; the application never measures drawings or alters imported quantities.</t>
        </is>
      </c>
    </row>
    <row r="6">
      <c r="A6" s="3" t="inlineStr">
        <is>
          <t>2. Every rate, assumption, assembly, quotation, supplier selection, project duration, indirect allocation, commercial policy, exclusion, clarification resolution and the final estimate/tender export needs an explicit human approval in the application.</t>
        </is>
      </c>
    </row>
    <row r="7">
      <c r="A7" s="3" t="inlineStr">
        <is>
          <t>3. Missing rates are shown as missing (blank), never as zero, and create procurement requirements. Synthetic demonstration figures are labelled SYNTHETIC / DEMO / NOT A MARKET QUOTE.</t>
        </is>
      </c>
    </row>
    <row r="8">
      <c r="A8" s="2" t="inlineStr">
        <is>
          <t>How to use</t>
        </is>
      </c>
    </row>
    <row r="9">
      <c r="A9" s="3" t="inlineStr">
        <is>
          <t>Yellow cells are inputs. Grey cells are formulas (locked). Blue cells are read-only values from the application. Sheets are protected without a password to prevent accidents - not as a security control.</t>
        </is>
      </c>
    </row>
    <row r="10">
      <c r="A10" s="3" t="inlineStr">
        <is>
          <t>Edit input cells and re-import into the application: the importer re-validates everything, creates DRAFT / PENDING proposals only, and ignores any attempt to write approval statuses.</t>
        </is>
      </c>
    </row>
    <row r="11">
      <c r="A11" s="2" t="inlineStr">
        <is>
          <t>Calculation strategy</t>
        </is>
      </c>
    </row>
    <row r="12">
      <c r="A12" s="3" t="inlineStr">
        <is>
          <t>openpyxl writes formulas without cached values. Excel recalculates on open (fullCalcOnLoad). For verification the application recalculates a COPY with LibreOffice (headless) and compares formula results with its own Decimal engine ('Check' columns and Project Summary).</t>
        </is>
      </c>
    </row>
    <row r="13">
      <c r="A13" s="3" t="inlineStr">
        <is>
          <t>Compatibility: Excel 2019+/365 and LibreOffice 7+ (MINIFS is used on 'Quote Comparison').</t>
        </is>
      </c>
    </row>
    <row r="14">
      <c r="A14" s="2" t="inlineStr">
        <is>
          <t>Stable IDs</t>
        </is>
      </c>
    </row>
    <row r="15">
      <c r="A15" s="3" t="inlineStr">
        <is>
          <t>Resource, assembly, assumption, quotation, vendor, clarification and procurement IDs are stable across all workbooks and the database.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60" customWidth="1" min="3" max="3"/>
  </cols>
  <sheetData>
    <row r="1">
      <c r="A1" s="4" t="inlineStr">
        <is>
          <t>Project Setup</t>
        </is>
      </c>
    </row>
    <row r="2" ht="36" customHeight="1">
      <c r="A2" s="5" t="inlineStr">
        <is>
          <t>Project-level facts. Edit yellow cells and re-import; the application validates them.</t>
        </is>
      </c>
    </row>
    <row r="3">
      <c r="A3" s="6" t="inlineStr">
        <is>
          <t>Legend: yellow = input | grey = formula (locked) | blue = read-only from the application. Python application is the authoritative calculator.</t>
        </is>
      </c>
    </row>
    <row r="5">
      <c r="A5" s="7" t="inlineStr">
        <is>
          <t>Field</t>
        </is>
      </c>
      <c r="B5" s="7" t="inlineStr">
        <is>
          <t>Value</t>
        </is>
      </c>
      <c r="C5" s="7" t="inlineStr">
        <is>
          <t>Note</t>
        </is>
      </c>
    </row>
    <row r="6">
      <c r="A6" s="8" t="inlineStr">
        <is>
          <t>Project ID</t>
        </is>
      </c>
      <c r="B6" s="9" t="n"/>
      <c r="C6" s="3" t="inlineStr">
        <is>
          <t>Stable ID across workbooks and database</t>
        </is>
      </c>
    </row>
    <row r="7">
      <c r="A7" s="8" t="inlineStr">
        <is>
          <t>Project name</t>
        </is>
      </c>
      <c r="B7" s="10" t="n"/>
      <c r="C7" s="3" t="inlineStr"/>
    </row>
    <row r="8">
      <c r="A8" s="8" t="inlineStr">
        <is>
          <t>Client</t>
        </is>
      </c>
      <c r="B8" s="10" t="n"/>
      <c r="C8" s="3" t="inlineStr"/>
    </row>
    <row r="9">
      <c r="A9" s="8" t="inlineStr">
        <is>
          <t>Location</t>
        </is>
      </c>
      <c r="B9" s="10" t="n"/>
      <c r="C9" s="3" t="inlineStr"/>
    </row>
    <row r="10">
      <c r="A10" s="8" t="inlineStr">
        <is>
          <t>Region</t>
        </is>
      </c>
      <c r="B10" s="10" t="n"/>
      <c r="C10" s="3" t="inlineStr">
        <is>
          <t>Rate applicability only - no regional multiplier is applied</t>
        </is>
      </c>
    </row>
    <row r="11">
      <c r="A11" s="8" t="inlineStr">
        <is>
          <t>Currency</t>
        </is>
      </c>
      <c r="B11" s="9" t="inlineStr">
        <is>
          <t>SAR</t>
        </is>
      </c>
      <c r="C11" s="3" t="inlineStr"/>
    </row>
    <row r="12">
      <c r="A12" s="8" t="inlineStr">
        <is>
          <t>Design stage</t>
        </is>
      </c>
      <c r="B12" s="10" t="n"/>
      <c r="C12" s="3" t="inlineStr"/>
    </row>
    <row r="13">
      <c r="A13" s="8" t="inlineStr">
        <is>
          <t>Tender reference</t>
        </is>
      </c>
      <c r="B13" s="10" t="n"/>
      <c r="C13" s="3" t="inlineStr"/>
    </row>
    <row r="14">
      <c r="A14" s="8" t="inlineStr">
        <is>
          <t>Default tax category</t>
        </is>
      </c>
      <c r="B14" s="10" t="n"/>
      <c r="C14" s="3" t="inlineStr">
        <is>
          <t>Rate comes from the approved tax-category table</t>
        </is>
      </c>
    </row>
    <row r="15">
      <c r="A15" s="8" t="inlineStr">
        <is>
          <t>Rate as-of date</t>
        </is>
      </c>
      <c r="B15" s="10" t="n"/>
      <c r="C15" s="3" t="inlineStr">
        <is>
          <t>Rates/quotations must be valid on this date</t>
        </is>
      </c>
    </row>
    <row r="16">
      <c r="A16" s="8" t="inlineStr">
        <is>
          <t>Commercial policy</t>
        </is>
      </c>
      <c r="B16" s="9" t="inlineStr"/>
      <c r="C16" s="3" t="inlineStr">
        <is>
          <t>Approved by a Commercial Approver in the application</t>
        </is>
      </c>
    </row>
    <row r="17">
      <c r="A17" s="8" t="inlineStr">
        <is>
          <t>Demonstration project</t>
        </is>
      </c>
      <c r="B17" s="9" t="inlineStr">
        <is>
          <t>No</t>
        </is>
      </c>
      <c r="C17" s="3" t="inlineStr"/>
    </row>
    <row r="18">
      <c r="A18" s="8" t="inlineStr">
        <is>
          <t>Estimate state</t>
        </is>
      </c>
      <c r="B18" s="9" t="inlineStr"/>
      <c r="C18" s="3" t="inlineStr">
        <is>
          <t>Complete / Complete with Provisional Inputs / Preliminary — Incomplete</t>
        </is>
      </c>
    </row>
    <row r="19">
      <c r="A19" s="8" t="inlineStr">
        <is>
          <t>Estimate fingerprint</t>
        </is>
      </c>
      <c r="B19" s="9" t="inlineStr"/>
      <c r="C19" s="3" t="inlineStr">
        <is>
          <t>Used to detect stale exports</t>
        </is>
      </c>
    </row>
    <row r="20">
      <c r="A20" s="8" t="inlineStr">
        <is>
          <t>Generated (UTC)</t>
        </is>
      </c>
      <c r="B20" s="9" t="inlineStr">
        <is>
          <t>2026-10-12T20:30:35+00:00</t>
        </is>
      </c>
      <c r="C20" s="3" t="inlineStr"/>
    </row>
    <row r="21">
      <c r="A21" s="8" t="inlineStr">
        <is>
          <t>Application version</t>
        </is>
      </c>
      <c r="B21" s="9" t="inlineStr">
        <is>
          <t>0.1.0</t>
        </is>
      </c>
      <c r="C21" s="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4" customWidth="1" min="1" max="1"/>
    <col width="24" customWidth="1" min="2" max="2"/>
    <col width="24" customWidth="1" min="3" max="3"/>
    <col width="12" customWidth="1" min="4" max="4"/>
    <col width="50" customWidth="1" min="5" max="5"/>
  </cols>
  <sheetData>
    <row r="1">
      <c r="A1" s="4" t="inlineStr">
        <is>
          <t>Project Summary</t>
        </is>
      </c>
    </row>
    <row r="2">
      <c r="A2" t="inlineStr">
        <is>
          <t>Workbook formulas vs the application's authoritative values. Any MISMATCH means formulas were edited or are stale: re-export or validate.</t>
        </is>
      </c>
    </row>
    <row r="3">
      <c r="A3" s="6" t="inlineStr">
        <is>
          <t>Legend: yellow = input | grey = formula (locked) | blue = read-only from the application. Python application is the authoritative calculator.</t>
        </is>
      </c>
    </row>
    <row r="5">
      <c r="A5" s="7" t="inlineStr">
        <is>
          <t>Measure</t>
        </is>
      </c>
      <c r="B5" s="7" t="inlineStr">
        <is>
          <t>Workbook (formula)</t>
        </is>
      </c>
      <c r="C5" s="7" t="inlineStr">
        <is>
          <t>Application (engine)</t>
        </is>
      </c>
      <c r="D5" s="7" t="inlineStr">
        <is>
          <t>Check</t>
        </is>
      </c>
      <c r="E5" s="7" t="inlineStr">
        <is>
          <t>Note</t>
        </is>
      </c>
    </row>
    <row r="6">
      <c r="A6" s="8" t="inlineStr">
        <is>
          <t>Direct cost (SAR)</t>
        </is>
      </c>
      <c r="B6" s="11">
        <f>'Direct Cost Build-Up'!K307</f>
        <v/>
      </c>
      <c r="C6" s="12" t="n"/>
      <c r="D6" s="13">
        <f>IF(OR(B6="",C6=""),"n/a",IF(ABS(B6-C6)&gt;0.01,"MISMATCH","OK"))</f>
        <v/>
      </c>
      <c r="E6" t="inlineStr">
        <is>
          <t>Sum of engine line amounts</t>
        </is>
      </c>
    </row>
    <row r="7">
      <c r="A7" s="8" t="inlineStr">
        <is>
          <t>Indirect cost (SAR)</t>
        </is>
      </c>
      <c r="B7" s="11">
        <f>'Indirect Costs'!K307</f>
        <v/>
      </c>
      <c r="C7" s="12" t="n"/>
      <c r="D7" s="13">
        <f>IF(OR(B7="",C7=""),"n/a",IF(ABS(B7-C7)&gt;0.01,"MISMATCH","OK"))</f>
        <v/>
      </c>
      <c r="E7" t="inlineStr"/>
    </row>
    <row r="8">
      <c r="A8" s="8" t="inlineStr">
        <is>
          <t>Total cost (SAR)</t>
        </is>
      </c>
      <c r="B8" s="11">
        <f>'Commercial Calculation'!B16</f>
        <v/>
      </c>
      <c r="C8" s="12" t="n"/>
      <c r="D8" s="13">
        <f>IF(OR(B8="",C8=""),"n/a",IF(ABS(B8-C8)&gt;0.01,"MISMATCH","OK"))</f>
        <v/>
      </c>
      <c r="E8" t="inlineStr"/>
    </row>
    <row r="9">
      <c r="A9" s="8" t="inlineStr">
        <is>
          <t>Net price before tax (SAR)</t>
        </is>
      </c>
      <c r="B9" s="11">
        <f>'Commercial Calculation'!B26</f>
        <v/>
      </c>
      <c r="C9" s="12" t="n"/>
      <c r="D9" s="13">
        <f>IF(OR(B9="",C9=""),"n/a",IF(ABS(B9-C9)&gt;0.01,"MISMATCH","OK"))</f>
        <v/>
      </c>
      <c r="E9" t="inlineStr">
        <is>
          <t>Commercial chain</t>
        </is>
      </c>
    </row>
    <row r="10">
      <c r="A10" s="8" t="inlineStr">
        <is>
          <t>Pricing schedule total (SAR)</t>
        </is>
      </c>
      <c r="B10" s="11">
        <f>'Pricing Schedule'!F307</f>
        <v/>
      </c>
      <c r="C10" s="12" t="n"/>
      <c r="D10" s="13">
        <f>IF(OR(B10="",C10=""),"n/a",IF(ABS(B10-C10)&gt;0.01,"MISMATCH","OK"))</f>
        <v/>
      </c>
      <c r="E10" t="inlineStr">
        <is>
          <t>Tendered amounts (rounded unit rates)</t>
        </is>
      </c>
    </row>
    <row r="11">
      <c r="A11" s="8" t="inlineStr">
        <is>
          <t>Tax (SAR)</t>
        </is>
      </c>
      <c r="B11" s="11">
        <f>'Commercial Calculation'!B29</f>
        <v/>
      </c>
      <c r="C11" s="12" t="n"/>
      <c r="D11" s="13">
        <f>IF(OR(B11="",C11=""),"n/a",IF(ABS(B11-C11)&gt;0.01,"MISMATCH","OK"))</f>
        <v/>
      </c>
      <c r="E11" t="inlineStr"/>
    </row>
    <row r="12">
      <c r="A12" s="8" t="inlineStr">
        <is>
          <t>Final payable (SAR)</t>
        </is>
      </c>
      <c r="B12" s="11">
        <f>'Commercial Calculation'!B30</f>
        <v/>
      </c>
      <c r="C12" s="12" t="n"/>
      <c r="D12" s="13">
        <f>IF(OR(B12="",C12=""),"n/a",IF(ABS(B12-C12)&gt;0.01,"MISMATCH","OK"))</f>
        <v/>
      </c>
      <c r="E1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I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6" customWidth="1" min="4" max="4"/>
    <col width="12" customWidth="1" min="5" max="5"/>
    <col width="18" customWidth="1" min="6" max="6"/>
    <col width="16" customWidth="1" min="7" max="7"/>
    <col width="14" customWidth="1" min="8" max="8"/>
    <col width="18" customWidth="1" min="9" max="9"/>
  </cols>
  <sheetData>
    <row r="1">
      <c r="A1" s="4" t="inlineStr">
        <is>
          <t>Trade and Cost Code Mapping</t>
        </is>
      </c>
    </row>
    <row r="2" ht="48" customHeight="1">
      <c r="A2" s="3" t="inlineStr">
        <is>
          <t>Map each BOQ item to an internal cost code and an approved assembly. Mapping suggestions (heuristic/AI) stay 'Suggested' until a human approves them in the application. Cost-code taxonomy is listed on the right for reference.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item_key</t>
        </is>
      </c>
      <c r="B4" t="inlineStr">
        <is>
          <t>item_code</t>
        </is>
      </c>
      <c r="C4" t="inlineStr">
        <is>
          <t>description</t>
        </is>
      </c>
      <c r="D4" t="inlineStr">
        <is>
          <t>trade</t>
        </is>
      </c>
      <c r="E4" t="inlineStr">
        <is>
          <t>cost_code</t>
        </is>
      </c>
      <c r="F4" t="inlineStr">
        <is>
          <t>assembly_code</t>
        </is>
      </c>
      <c r="G4" t="inlineStr">
        <is>
          <t>mapping_status</t>
        </is>
      </c>
      <c r="H4" t="inlineStr">
        <is>
          <t>mapping_source</t>
        </is>
      </c>
      <c r="I4" t="inlineStr">
        <is>
          <t>pricing_method</t>
        </is>
      </c>
    </row>
    <row r="5" ht="34" customHeight="1">
      <c r="A5" s="15" t="inlineStr">
        <is>
          <t>BOQ item key</t>
        </is>
      </c>
      <c r="B5" s="15" t="inlineStr">
        <is>
          <t>Client code</t>
        </is>
      </c>
      <c r="C5" s="15" t="inlineStr">
        <is>
          <t>Description</t>
        </is>
      </c>
      <c r="D5" s="15" t="inlineStr">
        <is>
          <t>Client trade</t>
        </is>
      </c>
      <c r="E5" s="15" t="inlineStr">
        <is>
          <t>Cost code</t>
        </is>
      </c>
      <c r="F5" s="15" t="inlineStr">
        <is>
          <t>Assembly code</t>
        </is>
      </c>
      <c r="G5" s="15" t="inlineStr">
        <is>
          <t>Mapping status</t>
        </is>
      </c>
      <c r="H5" s="15" t="inlineStr">
        <is>
          <t>Mapping source</t>
        </is>
      </c>
      <c r="I5" s="15" t="inlineStr">
        <is>
          <t>Pricing method</t>
        </is>
      </c>
    </row>
    <row r="6">
      <c r="A6" s="16" t="n"/>
      <c r="B6" s="16" t="n"/>
      <c r="C6" s="9" t="n"/>
      <c r="D6" s="16" t="n"/>
      <c r="E6" s="17" t="n"/>
      <c r="F6" s="17" t="n"/>
      <c r="G6" s="16" t="n"/>
      <c r="H6" s="16" t="n"/>
      <c r="I6" s="17" t="n"/>
    </row>
    <row r="7">
      <c r="A7" s="16" t="n"/>
      <c r="B7" s="16" t="n"/>
      <c r="C7" s="9" t="n"/>
      <c r="D7" s="16" t="n"/>
      <c r="E7" s="17" t="n"/>
      <c r="F7" s="17" t="n"/>
      <c r="G7" s="16" t="n"/>
      <c r="H7" s="16" t="n"/>
      <c r="I7" s="17" t="n"/>
    </row>
    <row r="8">
      <c r="A8" s="16" t="n"/>
      <c r="B8" s="16" t="n"/>
      <c r="C8" s="9" t="n"/>
      <c r="D8" s="16" t="n"/>
      <c r="E8" s="17" t="n"/>
      <c r="F8" s="17" t="n"/>
      <c r="G8" s="16" t="n"/>
      <c r="H8" s="16" t="n"/>
      <c r="I8" s="17" t="n"/>
    </row>
    <row r="9">
      <c r="A9" s="16" t="n"/>
      <c r="B9" s="16" t="n"/>
      <c r="C9" s="9" t="n"/>
      <c r="D9" s="16" t="n"/>
      <c r="E9" s="17" t="n"/>
      <c r="F9" s="17" t="n"/>
      <c r="G9" s="16" t="n"/>
      <c r="H9" s="16" t="n"/>
      <c r="I9" s="17" t="n"/>
    </row>
    <row r="10">
      <c r="A10" s="16" t="n"/>
      <c r="B10" s="16" t="n"/>
      <c r="C10" s="9" t="n"/>
      <c r="D10" s="16" t="n"/>
      <c r="E10" s="17" t="n"/>
      <c r="F10" s="17" t="n"/>
      <c r="G10" s="16" t="n"/>
      <c r="H10" s="16" t="n"/>
      <c r="I10" s="17" t="n"/>
    </row>
    <row r="11">
      <c r="A11" s="16" t="n"/>
      <c r="B11" s="16" t="n"/>
      <c r="C11" s="9" t="n"/>
      <c r="D11" s="16" t="n"/>
      <c r="E11" s="17" t="n"/>
      <c r="F11" s="17" t="n"/>
      <c r="G11" s="16" t="n"/>
      <c r="H11" s="16" t="n"/>
      <c r="I11" s="17" t="n"/>
    </row>
    <row r="12">
      <c r="A12" s="16" t="n"/>
      <c r="B12" s="16" t="n"/>
      <c r="C12" s="9" t="n"/>
      <c r="D12" s="16" t="n"/>
      <c r="E12" s="17" t="n"/>
      <c r="F12" s="17" t="n"/>
      <c r="G12" s="16" t="n"/>
      <c r="H12" s="16" t="n"/>
      <c r="I12" s="17" t="n"/>
    </row>
    <row r="13">
      <c r="A13" s="16" t="n"/>
      <c r="B13" s="16" t="n"/>
      <c r="C13" s="9" t="n"/>
      <c r="D13" s="16" t="n"/>
      <c r="E13" s="17" t="n"/>
      <c r="F13" s="17" t="n"/>
      <c r="G13" s="16" t="n"/>
      <c r="H13" s="16" t="n"/>
      <c r="I13" s="17" t="n"/>
    </row>
    <row r="14">
      <c r="A14" s="16" t="n"/>
      <c r="B14" s="16" t="n"/>
      <c r="C14" s="9" t="n"/>
      <c r="D14" s="16" t="n"/>
      <c r="E14" s="17" t="n"/>
      <c r="F14" s="17" t="n"/>
      <c r="G14" s="16" t="n"/>
      <c r="H14" s="16" t="n"/>
      <c r="I14" s="17" t="n"/>
    </row>
    <row r="15">
      <c r="A15" s="16" t="n"/>
      <c r="B15" s="16" t="n"/>
      <c r="C15" s="9" t="n"/>
      <c r="D15" s="16" t="n"/>
      <c r="E15" s="17" t="n"/>
      <c r="F15" s="17" t="n"/>
      <c r="G15" s="16" t="n"/>
      <c r="H15" s="16" t="n"/>
      <c r="I15" s="17" t="n"/>
    </row>
    <row r="16">
      <c r="A16" s="16" t="n"/>
      <c r="B16" s="16" t="n"/>
      <c r="C16" s="9" t="n"/>
      <c r="D16" s="16" t="n"/>
      <c r="E16" s="17" t="n"/>
      <c r="F16" s="17" t="n"/>
      <c r="G16" s="16" t="n"/>
      <c r="H16" s="16" t="n"/>
      <c r="I16" s="17" t="n"/>
    </row>
    <row r="17">
      <c r="A17" s="16" t="n"/>
      <c r="B17" s="16" t="n"/>
      <c r="C17" s="9" t="n"/>
      <c r="D17" s="16" t="n"/>
      <c r="E17" s="17" t="n"/>
      <c r="F17" s="17" t="n"/>
      <c r="G17" s="16" t="n"/>
      <c r="H17" s="16" t="n"/>
      <c r="I17" s="17" t="n"/>
    </row>
    <row r="18">
      <c r="A18" s="16" t="n"/>
      <c r="B18" s="16" t="n"/>
      <c r="C18" s="9" t="n"/>
      <c r="D18" s="16" t="n"/>
      <c r="E18" s="17" t="n"/>
      <c r="F18" s="17" t="n"/>
      <c r="G18" s="16" t="n"/>
      <c r="H18" s="16" t="n"/>
      <c r="I18" s="17" t="n"/>
    </row>
    <row r="19">
      <c r="A19" s="16" t="n"/>
      <c r="B19" s="16" t="n"/>
      <c r="C19" s="9" t="n"/>
      <c r="D19" s="16" t="n"/>
      <c r="E19" s="17" t="n"/>
      <c r="F19" s="17" t="n"/>
      <c r="G19" s="16" t="n"/>
      <c r="H19" s="16" t="n"/>
      <c r="I19" s="17" t="n"/>
    </row>
    <row r="20">
      <c r="A20" s="16" t="n"/>
      <c r="B20" s="16" t="n"/>
      <c r="C20" s="9" t="n"/>
      <c r="D20" s="16" t="n"/>
      <c r="E20" s="17" t="n"/>
      <c r="F20" s="17" t="n"/>
      <c r="G20" s="16" t="n"/>
      <c r="H20" s="16" t="n"/>
      <c r="I20" s="17" t="n"/>
    </row>
    <row r="21">
      <c r="A21" s="16" t="n"/>
      <c r="B21" s="16" t="n"/>
      <c r="C21" s="9" t="n"/>
      <c r="D21" s="16" t="n"/>
      <c r="E21" s="17" t="n"/>
      <c r="F21" s="17" t="n"/>
      <c r="G21" s="16" t="n"/>
      <c r="H21" s="16" t="n"/>
      <c r="I21" s="17" t="n"/>
    </row>
    <row r="22">
      <c r="A22" s="16" t="n"/>
      <c r="B22" s="16" t="n"/>
      <c r="C22" s="9" t="n"/>
      <c r="D22" s="16" t="n"/>
      <c r="E22" s="17" t="n"/>
      <c r="F22" s="17" t="n"/>
      <c r="G22" s="16" t="n"/>
      <c r="H22" s="16" t="n"/>
      <c r="I22" s="17" t="n"/>
    </row>
    <row r="23">
      <c r="A23" s="16" t="n"/>
      <c r="B23" s="16" t="n"/>
      <c r="C23" s="9" t="n"/>
      <c r="D23" s="16" t="n"/>
      <c r="E23" s="17" t="n"/>
      <c r="F23" s="17" t="n"/>
      <c r="G23" s="16" t="n"/>
      <c r="H23" s="16" t="n"/>
      <c r="I23" s="17" t="n"/>
    </row>
    <row r="24">
      <c r="A24" s="16" t="n"/>
      <c r="B24" s="16" t="n"/>
      <c r="C24" s="9" t="n"/>
      <c r="D24" s="16" t="n"/>
      <c r="E24" s="17" t="n"/>
      <c r="F24" s="17" t="n"/>
      <c r="G24" s="16" t="n"/>
      <c r="H24" s="16" t="n"/>
      <c r="I24" s="17" t="n"/>
    </row>
    <row r="25">
      <c r="A25" s="16" t="n"/>
      <c r="B25" s="16" t="n"/>
      <c r="C25" s="9" t="n"/>
      <c r="D25" s="16" t="n"/>
      <c r="E25" s="17" t="n"/>
      <c r="F25" s="17" t="n"/>
      <c r="G25" s="16" t="n"/>
      <c r="H25" s="16" t="n"/>
      <c r="I25" s="17" t="n"/>
    </row>
    <row r="26">
      <c r="A26" s="16" t="n"/>
      <c r="B26" s="16" t="n"/>
      <c r="C26" s="9" t="n"/>
      <c r="D26" s="16" t="n"/>
      <c r="E26" s="17" t="n"/>
      <c r="F26" s="17" t="n"/>
      <c r="G26" s="16" t="n"/>
      <c r="H26" s="16" t="n"/>
      <c r="I26" s="17" t="n"/>
    </row>
    <row r="27">
      <c r="A27" s="16" t="n"/>
      <c r="B27" s="16" t="n"/>
      <c r="C27" s="9" t="n"/>
      <c r="D27" s="16" t="n"/>
      <c r="E27" s="17" t="n"/>
      <c r="F27" s="17" t="n"/>
      <c r="G27" s="16" t="n"/>
      <c r="H27" s="16" t="n"/>
      <c r="I27" s="17" t="n"/>
    </row>
    <row r="28">
      <c r="A28" s="16" t="n"/>
      <c r="B28" s="16" t="n"/>
      <c r="C28" s="9" t="n"/>
      <c r="D28" s="16" t="n"/>
      <c r="E28" s="17" t="n"/>
      <c r="F28" s="17" t="n"/>
      <c r="G28" s="16" t="n"/>
      <c r="H28" s="16" t="n"/>
      <c r="I28" s="17" t="n"/>
    </row>
    <row r="29">
      <c r="A29" s="16" t="n"/>
      <c r="B29" s="16" t="n"/>
      <c r="C29" s="9" t="n"/>
      <c r="D29" s="16" t="n"/>
      <c r="E29" s="17" t="n"/>
      <c r="F29" s="17" t="n"/>
      <c r="G29" s="16" t="n"/>
      <c r="H29" s="16" t="n"/>
      <c r="I29" s="17" t="n"/>
    </row>
    <row r="30">
      <c r="A30" s="16" t="n"/>
      <c r="B30" s="16" t="n"/>
      <c r="C30" s="9" t="n"/>
      <c r="D30" s="16" t="n"/>
      <c r="E30" s="17" t="n"/>
      <c r="F30" s="17" t="n"/>
      <c r="G30" s="16" t="n"/>
      <c r="H30" s="16" t="n"/>
      <c r="I30" s="17" t="n"/>
    </row>
    <row r="31">
      <c r="A31" s="16" t="n"/>
      <c r="B31" s="16" t="n"/>
      <c r="C31" s="9" t="n"/>
      <c r="D31" s="16" t="n"/>
      <c r="E31" s="17" t="n"/>
      <c r="F31" s="17" t="n"/>
      <c r="G31" s="16" t="n"/>
      <c r="H31" s="16" t="n"/>
      <c r="I31" s="17" t="n"/>
    </row>
    <row r="32">
      <c r="A32" s="16" t="n"/>
      <c r="B32" s="16" t="n"/>
      <c r="C32" s="9" t="n"/>
      <c r="D32" s="16" t="n"/>
      <c r="E32" s="17" t="n"/>
      <c r="F32" s="17" t="n"/>
      <c r="G32" s="16" t="n"/>
      <c r="H32" s="16" t="n"/>
      <c r="I32" s="17" t="n"/>
    </row>
    <row r="33">
      <c r="A33" s="16" t="n"/>
      <c r="B33" s="16" t="n"/>
      <c r="C33" s="9" t="n"/>
      <c r="D33" s="16" t="n"/>
      <c r="E33" s="17" t="n"/>
      <c r="F33" s="17" t="n"/>
      <c r="G33" s="16" t="n"/>
      <c r="H33" s="16" t="n"/>
      <c r="I33" s="17" t="n"/>
    </row>
    <row r="34">
      <c r="A34" s="16" t="n"/>
      <c r="B34" s="16" t="n"/>
      <c r="C34" s="9" t="n"/>
      <c r="D34" s="16" t="n"/>
      <c r="E34" s="17" t="n"/>
      <c r="F34" s="17" t="n"/>
      <c r="G34" s="16" t="n"/>
      <c r="H34" s="16" t="n"/>
      <c r="I34" s="17" t="n"/>
    </row>
    <row r="35">
      <c r="A35" s="16" t="n"/>
      <c r="B35" s="16" t="n"/>
      <c r="C35" s="9" t="n"/>
      <c r="D35" s="16" t="n"/>
      <c r="E35" s="17" t="n"/>
      <c r="F35" s="17" t="n"/>
      <c r="G35" s="16" t="n"/>
      <c r="H35" s="16" t="n"/>
      <c r="I35" s="17" t="n"/>
    </row>
    <row r="36">
      <c r="A36" s="16" t="n"/>
      <c r="B36" s="16" t="n"/>
      <c r="C36" s="9" t="n"/>
      <c r="D36" s="16" t="n"/>
      <c r="E36" s="17" t="n"/>
      <c r="F36" s="17" t="n"/>
      <c r="G36" s="16" t="n"/>
      <c r="H36" s="16" t="n"/>
      <c r="I36" s="17" t="n"/>
    </row>
    <row r="37">
      <c r="A37" s="16" t="n"/>
      <c r="B37" s="16" t="n"/>
      <c r="C37" s="9" t="n"/>
      <c r="D37" s="16" t="n"/>
      <c r="E37" s="17" t="n"/>
      <c r="F37" s="17" t="n"/>
      <c r="G37" s="16" t="n"/>
      <c r="H37" s="16" t="n"/>
      <c r="I37" s="17" t="n"/>
    </row>
    <row r="38">
      <c r="A38" s="16" t="n"/>
      <c r="B38" s="16" t="n"/>
      <c r="C38" s="9" t="n"/>
      <c r="D38" s="16" t="n"/>
      <c r="E38" s="17" t="n"/>
      <c r="F38" s="17" t="n"/>
      <c r="G38" s="16" t="n"/>
      <c r="H38" s="16" t="n"/>
      <c r="I38" s="17" t="n"/>
    </row>
    <row r="39">
      <c r="A39" s="16" t="n"/>
      <c r="B39" s="16" t="n"/>
      <c r="C39" s="9" t="n"/>
      <c r="D39" s="16" t="n"/>
      <c r="E39" s="17" t="n"/>
      <c r="F39" s="17" t="n"/>
      <c r="G39" s="16" t="n"/>
      <c r="H39" s="16" t="n"/>
      <c r="I39" s="17" t="n"/>
    </row>
    <row r="40">
      <c r="A40" s="16" t="n"/>
      <c r="B40" s="16" t="n"/>
      <c r="C40" s="9" t="n"/>
      <c r="D40" s="16" t="n"/>
      <c r="E40" s="17" t="n"/>
      <c r="F40" s="17" t="n"/>
      <c r="G40" s="16" t="n"/>
      <c r="H40" s="16" t="n"/>
      <c r="I40" s="17" t="n"/>
    </row>
    <row r="41">
      <c r="A41" s="16" t="n"/>
      <c r="B41" s="16" t="n"/>
      <c r="C41" s="9" t="n"/>
      <c r="D41" s="16" t="n"/>
      <c r="E41" s="17" t="n"/>
      <c r="F41" s="17" t="n"/>
      <c r="G41" s="16" t="n"/>
      <c r="H41" s="16" t="n"/>
      <c r="I41" s="17" t="n"/>
    </row>
    <row r="42">
      <c r="A42" s="16" t="n"/>
      <c r="B42" s="16" t="n"/>
      <c r="C42" s="9" t="n"/>
      <c r="D42" s="16" t="n"/>
      <c r="E42" s="17" t="n"/>
      <c r="F42" s="17" t="n"/>
      <c r="G42" s="16" t="n"/>
      <c r="H42" s="16" t="n"/>
      <c r="I42" s="17" t="n"/>
    </row>
    <row r="43">
      <c r="A43" s="16" t="n"/>
      <c r="B43" s="16" t="n"/>
      <c r="C43" s="9" t="n"/>
      <c r="D43" s="16" t="n"/>
      <c r="E43" s="17" t="n"/>
      <c r="F43" s="17" t="n"/>
      <c r="G43" s="16" t="n"/>
      <c r="H43" s="16" t="n"/>
      <c r="I43" s="17" t="n"/>
    </row>
    <row r="44">
      <c r="A44" s="16" t="n"/>
      <c r="B44" s="16" t="n"/>
      <c r="C44" s="9" t="n"/>
      <c r="D44" s="16" t="n"/>
      <c r="E44" s="17" t="n"/>
      <c r="F44" s="17" t="n"/>
      <c r="G44" s="16" t="n"/>
      <c r="H44" s="16" t="n"/>
      <c r="I44" s="17" t="n"/>
    </row>
    <row r="45">
      <c r="A45" s="16" t="n"/>
      <c r="B45" s="16" t="n"/>
      <c r="C45" s="9" t="n"/>
      <c r="D45" s="16" t="n"/>
      <c r="E45" s="17" t="n"/>
      <c r="F45" s="17" t="n"/>
      <c r="G45" s="16" t="n"/>
      <c r="H45" s="16" t="n"/>
      <c r="I45" s="17" t="n"/>
    </row>
    <row r="46">
      <c r="A46" s="16" t="n"/>
      <c r="B46" s="16" t="n"/>
      <c r="C46" s="9" t="n"/>
      <c r="D46" s="16" t="n"/>
      <c r="E46" s="17" t="n"/>
      <c r="F46" s="17" t="n"/>
      <c r="G46" s="16" t="n"/>
      <c r="H46" s="16" t="n"/>
      <c r="I46" s="17" t="n"/>
    </row>
    <row r="47">
      <c r="A47" s="16" t="n"/>
      <c r="B47" s="16" t="n"/>
      <c r="C47" s="9" t="n"/>
      <c r="D47" s="16" t="n"/>
      <c r="E47" s="17" t="n"/>
      <c r="F47" s="17" t="n"/>
      <c r="G47" s="16" t="n"/>
      <c r="H47" s="16" t="n"/>
      <c r="I47" s="17" t="n"/>
    </row>
    <row r="48">
      <c r="A48" s="16" t="n"/>
      <c r="B48" s="16" t="n"/>
      <c r="C48" s="9" t="n"/>
      <c r="D48" s="16" t="n"/>
      <c r="E48" s="17" t="n"/>
      <c r="F48" s="17" t="n"/>
      <c r="G48" s="16" t="n"/>
      <c r="H48" s="16" t="n"/>
      <c r="I48" s="17" t="n"/>
    </row>
    <row r="49">
      <c r="A49" s="16" t="n"/>
      <c r="B49" s="16" t="n"/>
      <c r="C49" s="9" t="n"/>
      <c r="D49" s="16" t="n"/>
      <c r="E49" s="17" t="n"/>
      <c r="F49" s="17" t="n"/>
      <c r="G49" s="16" t="n"/>
      <c r="H49" s="16" t="n"/>
      <c r="I49" s="17" t="n"/>
    </row>
    <row r="50">
      <c r="A50" s="16" t="n"/>
      <c r="B50" s="16" t="n"/>
      <c r="C50" s="9" t="n"/>
      <c r="D50" s="16" t="n"/>
      <c r="E50" s="17" t="n"/>
      <c r="F50" s="17" t="n"/>
      <c r="G50" s="16" t="n"/>
      <c r="H50" s="16" t="n"/>
      <c r="I50" s="17" t="n"/>
    </row>
    <row r="51">
      <c r="A51" s="16" t="n"/>
      <c r="B51" s="16" t="n"/>
      <c r="C51" s="9" t="n"/>
      <c r="D51" s="16" t="n"/>
      <c r="E51" s="17" t="n"/>
      <c r="F51" s="17" t="n"/>
      <c r="G51" s="16" t="n"/>
      <c r="H51" s="16" t="n"/>
      <c r="I51" s="17" t="n"/>
    </row>
    <row r="52">
      <c r="A52" s="16" t="n"/>
      <c r="B52" s="16" t="n"/>
      <c r="C52" s="9" t="n"/>
      <c r="D52" s="16" t="n"/>
      <c r="E52" s="17" t="n"/>
      <c r="F52" s="17" t="n"/>
      <c r="G52" s="16" t="n"/>
      <c r="H52" s="16" t="n"/>
      <c r="I52" s="17" t="n"/>
    </row>
    <row r="53">
      <c r="A53" s="16" t="n"/>
      <c r="B53" s="16" t="n"/>
      <c r="C53" s="9" t="n"/>
      <c r="D53" s="16" t="n"/>
      <c r="E53" s="17" t="n"/>
      <c r="F53" s="17" t="n"/>
      <c r="G53" s="16" t="n"/>
      <c r="H53" s="16" t="n"/>
      <c r="I53" s="17" t="n"/>
    </row>
    <row r="54">
      <c r="A54" s="16" t="n"/>
      <c r="B54" s="16" t="n"/>
      <c r="C54" s="9" t="n"/>
      <c r="D54" s="16" t="n"/>
      <c r="E54" s="17" t="n"/>
      <c r="F54" s="17" t="n"/>
      <c r="G54" s="16" t="n"/>
      <c r="H54" s="16" t="n"/>
      <c r="I54" s="17" t="n"/>
    </row>
    <row r="55">
      <c r="A55" s="16" t="n"/>
      <c r="B55" s="16" t="n"/>
      <c r="C55" s="9" t="n"/>
      <c r="D55" s="16" t="n"/>
      <c r="E55" s="17" t="n"/>
      <c r="F55" s="17" t="n"/>
      <c r="G55" s="16" t="n"/>
      <c r="H55" s="16" t="n"/>
      <c r="I55" s="17" t="n"/>
    </row>
    <row r="56">
      <c r="A56" s="16" t="n"/>
      <c r="B56" s="16" t="n"/>
      <c r="C56" s="9" t="n"/>
      <c r="D56" s="16" t="n"/>
      <c r="E56" s="17" t="n"/>
      <c r="F56" s="17" t="n"/>
      <c r="G56" s="16" t="n"/>
      <c r="H56" s="16" t="n"/>
      <c r="I56" s="17" t="n"/>
    </row>
    <row r="57">
      <c r="A57" s="16" t="n"/>
      <c r="B57" s="16" t="n"/>
      <c r="C57" s="9" t="n"/>
      <c r="D57" s="16" t="n"/>
      <c r="E57" s="17" t="n"/>
      <c r="F57" s="17" t="n"/>
      <c r="G57" s="16" t="n"/>
      <c r="H57" s="16" t="n"/>
      <c r="I57" s="17" t="n"/>
    </row>
    <row r="58">
      <c r="A58" s="16" t="n"/>
      <c r="B58" s="16" t="n"/>
      <c r="C58" s="9" t="n"/>
      <c r="D58" s="16" t="n"/>
      <c r="E58" s="17" t="n"/>
      <c r="F58" s="17" t="n"/>
      <c r="G58" s="16" t="n"/>
      <c r="H58" s="16" t="n"/>
      <c r="I58" s="17" t="n"/>
    </row>
    <row r="59">
      <c r="A59" s="16" t="n"/>
      <c r="B59" s="16" t="n"/>
      <c r="C59" s="9" t="n"/>
      <c r="D59" s="16" t="n"/>
      <c r="E59" s="17" t="n"/>
      <c r="F59" s="17" t="n"/>
      <c r="G59" s="16" t="n"/>
      <c r="H59" s="16" t="n"/>
      <c r="I59" s="17" t="n"/>
    </row>
    <row r="60">
      <c r="A60" s="16" t="n"/>
      <c r="B60" s="16" t="n"/>
      <c r="C60" s="9" t="n"/>
      <c r="D60" s="16" t="n"/>
      <c r="E60" s="17" t="n"/>
      <c r="F60" s="17" t="n"/>
      <c r="G60" s="16" t="n"/>
      <c r="H60" s="16" t="n"/>
      <c r="I60" s="17" t="n"/>
    </row>
    <row r="61">
      <c r="A61" s="16" t="n"/>
      <c r="B61" s="16" t="n"/>
      <c r="C61" s="9" t="n"/>
      <c r="D61" s="16" t="n"/>
      <c r="E61" s="17" t="n"/>
      <c r="F61" s="17" t="n"/>
      <c r="G61" s="16" t="n"/>
      <c r="H61" s="16" t="n"/>
      <c r="I61" s="17" t="n"/>
    </row>
    <row r="62">
      <c r="A62" s="16" t="n"/>
      <c r="B62" s="16" t="n"/>
      <c r="C62" s="9" t="n"/>
      <c r="D62" s="16" t="n"/>
      <c r="E62" s="17" t="n"/>
      <c r="F62" s="17" t="n"/>
      <c r="G62" s="16" t="n"/>
      <c r="H62" s="16" t="n"/>
      <c r="I62" s="17" t="n"/>
    </row>
    <row r="63">
      <c r="A63" s="16" t="n"/>
      <c r="B63" s="16" t="n"/>
      <c r="C63" s="9" t="n"/>
      <c r="D63" s="16" t="n"/>
      <c r="E63" s="17" t="n"/>
      <c r="F63" s="17" t="n"/>
      <c r="G63" s="16" t="n"/>
      <c r="H63" s="16" t="n"/>
      <c r="I63" s="17" t="n"/>
    </row>
    <row r="64">
      <c r="A64" s="16" t="n"/>
      <c r="B64" s="16" t="n"/>
      <c r="C64" s="9" t="n"/>
      <c r="D64" s="16" t="n"/>
      <c r="E64" s="17" t="n"/>
      <c r="F64" s="17" t="n"/>
      <c r="G64" s="16" t="n"/>
      <c r="H64" s="16" t="n"/>
      <c r="I64" s="17" t="n"/>
    </row>
    <row r="65">
      <c r="A65" s="16" t="n"/>
      <c r="B65" s="16" t="n"/>
      <c r="C65" s="9" t="n"/>
      <c r="D65" s="16" t="n"/>
      <c r="E65" s="17" t="n"/>
      <c r="F65" s="17" t="n"/>
      <c r="G65" s="16" t="n"/>
      <c r="H65" s="16" t="n"/>
      <c r="I65" s="17" t="n"/>
    </row>
    <row r="66">
      <c r="A66" s="16" t="n"/>
      <c r="B66" s="16" t="n"/>
      <c r="C66" s="9" t="n"/>
      <c r="D66" s="16" t="n"/>
      <c r="E66" s="17" t="n"/>
      <c r="F66" s="17" t="n"/>
      <c r="G66" s="16" t="n"/>
      <c r="H66" s="16" t="n"/>
      <c r="I66" s="17" t="n"/>
    </row>
    <row r="67">
      <c r="A67" s="16" t="n"/>
      <c r="B67" s="16" t="n"/>
      <c r="C67" s="9" t="n"/>
      <c r="D67" s="16" t="n"/>
      <c r="E67" s="17" t="n"/>
      <c r="F67" s="17" t="n"/>
      <c r="G67" s="16" t="n"/>
      <c r="H67" s="16" t="n"/>
      <c r="I67" s="17" t="n"/>
    </row>
    <row r="68">
      <c r="A68" s="16" t="n"/>
      <c r="B68" s="16" t="n"/>
      <c r="C68" s="9" t="n"/>
      <c r="D68" s="16" t="n"/>
      <c r="E68" s="17" t="n"/>
      <c r="F68" s="17" t="n"/>
      <c r="G68" s="16" t="n"/>
      <c r="H68" s="16" t="n"/>
      <c r="I68" s="17" t="n"/>
    </row>
    <row r="69">
      <c r="A69" s="16" t="n"/>
      <c r="B69" s="16" t="n"/>
      <c r="C69" s="9" t="n"/>
      <c r="D69" s="16" t="n"/>
      <c r="E69" s="17" t="n"/>
      <c r="F69" s="17" t="n"/>
      <c r="G69" s="16" t="n"/>
      <c r="H69" s="16" t="n"/>
      <c r="I69" s="17" t="n"/>
    </row>
    <row r="70">
      <c r="A70" s="16" t="n"/>
      <c r="B70" s="16" t="n"/>
      <c r="C70" s="9" t="n"/>
      <c r="D70" s="16" t="n"/>
      <c r="E70" s="17" t="n"/>
      <c r="F70" s="17" t="n"/>
      <c r="G70" s="16" t="n"/>
      <c r="H70" s="16" t="n"/>
      <c r="I70" s="17" t="n"/>
    </row>
    <row r="71">
      <c r="A71" s="16" t="n"/>
      <c r="B71" s="16" t="n"/>
      <c r="C71" s="9" t="n"/>
      <c r="D71" s="16" t="n"/>
      <c r="E71" s="17" t="n"/>
      <c r="F71" s="17" t="n"/>
      <c r="G71" s="16" t="n"/>
      <c r="H71" s="16" t="n"/>
      <c r="I71" s="17" t="n"/>
    </row>
    <row r="72">
      <c r="A72" s="16" t="n"/>
      <c r="B72" s="16" t="n"/>
      <c r="C72" s="9" t="n"/>
      <c r="D72" s="16" t="n"/>
      <c r="E72" s="17" t="n"/>
      <c r="F72" s="17" t="n"/>
      <c r="G72" s="16" t="n"/>
      <c r="H72" s="16" t="n"/>
      <c r="I72" s="17" t="n"/>
    </row>
    <row r="73">
      <c r="A73" s="16" t="n"/>
      <c r="B73" s="16" t="n"/>
      <c r="C73" s="9" t="n"/>
      <c r="D73" s="16" t="n"/>
      <c r="E73" s="17" t="n"/>
      <c r="F73" s="17" t="n"/>
      <c r="G73" s="16" t="n"/>
      <c r="H73" s="16" t="n"/>
      <c r="I73" s="17" t="n"/>
    </row>
    <row r="74">
      <c r="A74" s="16" t="n"/>
      <c r="B74" s="16" t="n"/>
      <c r="C74" s="9" t="n"/>
      <c r="D74" s="16" t="n"/>
      <c r="E74" s="17" t="n"/>
      <c r="F74" s="17" t="n"/>
      <c r="G74" s="16" t="n"/>
      <c r="H74" s="16" t="n"/>
      <c r="I74" s="17" t="n"/>
    </row>
    <row r="75">
      <c r="A75" s="16" t="n"/>
      <c r="B75" s="16" t="n"/>
      <c r="C75" s="9" t="n"/>
      <c r="D75" s="16" t="n"/>
      <c r="E75" s="17" t="n"/>
      <c r="F75" s="17" t="n"/>
      <c r="G75" s="16" t="n"/>
      <c r="H75" s="16" t="n"/>
      <c r="I75" s="17" t="n"/>
    </row>
    <row r="76">
      <c r="A76" s="16" t="n"/>
      <c r="B76" s="16" t="n"/>
      <c r="C76" s="9" t="n"/>
      <c r="D76" s="16" t="n"/>
      <c r="E76" s="17" t="n"/>
      <c r="F76" s="17" t="n"/>
      <c r="G76" s="16" t="n"/>
      <c r="H76" s="16" t="n"/>
      <c r="I76" s="17" t="n"/>
    </row>
    <row r="77">
      <c r="A77" s="16" t="n"/>
      <c r="B77" s="16" t="n"/>
      <c r="C77" s="9" t="n"/>
      <c r="D77" s="16" t="n"/>
      <c r="E77" s="17" t="n"/>
      <c r="F77" s="17" t="n"/>
      <c r="G77" s="16" t="n"/>
      <c r="H77" s="16" t="n"/>
      <c r="I77" s="17" t="n"/>
    </row>
    <row r="78">
      <c r="A78" s="16" t="n"/>
      <c r="B78" s="16" t="n"/>
      <c r="C78" s="9" t="n"/>
      <c r="D78" s="16" t="n"/>
      <c r="E78" s="17" t="n"/>
      <c r="F78" s="17" t="n"/>
      <c r="G78" s="16" t="n"/>
      <c r="H78" s="16" t="n"/>
      <c r="I78" s="17" t="n"/>
    </row>
    <row r="79">
      <c r="A79" s="16" t="n"/>
      <c r="B79" s="16" t="n"/>
      <c r="C79" s="9" t="n"/>
      <c r="D79" s="16" t="n"/>
      <c r="E79" s="17" t="n"/>
      <c r="F79" s="17" t="n"/>
      <c r="G79" s="16" t="n"/>
      <c r="H79" s="16" t="n"/>
      <c r="I79" s="17" t="n"/>
    </row>
    <row r="80">
      <c r="A80" s="16" t="n"/>
      <c r="B80" s="16" t="n"/>
      <c r="C80" s="9" t="n"/>
      <c r="D80" s="16" t="n"/>
      <c r="E80" s="17" t="n"/>
      <c r="F80" s="17" t="n"/>
      <c r="G80" s="16" t="n"/>
      <c r="H80" s="16" t="n"/>
      <c r="I80" s="17" t="n"/>
    </row>
    <row r="81">
      <c r="A81" s="16" t="n"/>
      <c r="B81" s="16" t="n"/>
      <c r="C81" s="9" t="n"/>
      <c r="D81" s="16" t="n"/>
      <c r="E81" s="17" t="n"/>
      <c r="F81" s="17" t="n"/>
      <c r="G81" s="16" t="n"/>
      <c r="H81" s="16" t="n"/>
      <c r="I81" s="17" t="n"/>
    </row>
    <row r="82">
      <c r="A82" s="16" t="n"/>
      <c r="B82" s="16" t="n"/>
      <c r="C82" s="9" t="n"/>
      <c r="D82" s="16" t="n"/>
      <c r="E82" s="17" t="n"/>
      <c r="F82" s="17" t="n"/>
      <c r="G82" s="16" t="n"/>
      <c r="H82" s="16" t="n"/>
      <c r="I82" s="17" t="n"/>
    </row>
    <row r="83">
      <c r="A83" s="16" t="n"/>
      <c r="B83" s="16" t="n"/>
      <c r="C83" s="9" t="n"/>
      <c r="D83" s="16" t="n"/>
      <c r="E83" s="17" t="n"/>
      <c r="F83" s="17" t="n"/>
      <c r="G83" s="16" t="n"/>
      <c r="H83" s="16" t="n"/>
      <c r="I83" s="17" t="n"/>
    </row>
    <row r="84">
      <c r="A84" s="16" t="n"/>
      <c r="B84" s="16" t="n"/>
      <c r="C84" s="9" t="n"/>
      <c r="D84" s="16" t="n"/>
      <c r="E84" s="17" t="n"/>
      <c r="F84" s="17" t="n"/>
      <c r="G84" s="16" t="n"/>
      <c r="H84" s="16" t="n"/>
      <c r="I84" s="17" t="n"/>
    </row>
    <row r="85">
      <c r="A85" s="16" t="n"/>
      <c r="B85" s="16" t="n"/>
      <c r="C85" s="9" t="n"/>
      <c r="D85" s="16" t="n"/>
      <c r="E85" s="17" t="n"/>
      <c r="F85" s="17" t="n"/>
      <c r="G85" s="16" t="n"/>
      <c r="H85" s="16" t="n"/>
      <c r="I85" s="17" t="n"/>
    </row>
    <row r="86">
      <c r="A86" s="16" t="n"/>
      <c r="B86" s="16" t="n"/>
      <c r="C86" s="9" t="n"/>
      <c r="D86" s="16" t="n"/>
      <c r="E86" s="17" t="n"/>
      <c r="F86" s="17" t="n"/>
      <c r="G86" s="16" t="n"/>
      <c r="H86" s="16" t="n"/>
      <c r="I86" s="17" t="n"/>
    </row>
    <row r="87">
      <c r="A87" s="16" t="n"/>
      <c r="B87" s="16" t="n"/>
      <c r="C87" s="9" t="n"/>
      <c r="D87" s="16" t="n"/>
      <c r="E87" s="17" t="n"/>
      <c r="F87" s="17" t="n"/>
      <c r="G87" s="16" t="n"/>
      <c r="H87" s="16" t="n"/>
      <c r="I87" s="17" t="n"/>
    </row>
    <row r="88">
      <c r="A88" s="16" t="n"/>
      <c r="B88" s="16" t="n"/>
      <c r="C88" s="9" t="n"/>
      <c r="D88" s="16" t="n"/>
      <c r="E88" s="17" t="n"/>
      <c r="F88" s="17" t="n"/>
      <c r="G88" s="16" t="n"/>
      <c r="H88" s="16" t="n"/>
      <c r="I88" s="17" t="n"/>
    </row>
    <row r="89">
      <c r="A89" s="16" t="n"/>
      <c r="B89" s="16" t="n"/>
      <c r="C89" s="9" t="n"/>
      <c r="D89" s="16" t="n"/>
      <c r="E89" s="17" t="n"/>
      <c r="F89" s="17" t="n"/>
      <c r="G89" s="16" t="n"/>
      <c r="H89" s="16" t="n"/>
      <c r="I89" s="17" t="n"/>
    </row>
    <row r="90">
      <c r="A90" s="16" t="n"/>
      <c r="B90" s="16" t="n"/>
      <c r="C90" s="9" t="n"/>
      <c r="D90" s="16" t="n"/>
      <c r="E90" s="17" t="n"/>
      <c r="F90" s="17" t="n"/>
      <c r="G90" s="16" t="n"/>
      <c r="H90" s="16" t="n"/>
      <c r="I90" s="17" t="n"/>
    </row>
    <row r="91">
      <c r="A91" s="16" t="n"/>
      <c r="B91" s="16" t="n"/>
      <c r="C91" s="9" t="n"/>
      <c r="D91" s="16" t="n"/>
      <c r="E91" s="17" t="n"/>
      <c r="F91" s="17" t="n"/>
      <c r="G91" s="16" t="n"/>
      <c r="H91" s="16" t="n"/>
      <c r="I91" s="17" t="n"/>
    </row>
    <row r="92">
      <c r="A92" s="16" t="n"/>
      <c r="B92" s="16" t="n"/>
      <c r="C92" s="9" t="n"/>
      <c r="D92" s="16" t="n"/>
      <c r="E92" s="17" t="n"/>
      <c r="F92" s="17" t="n"/>
      <c r="G92" s="16" t="n"/>
      <c r="H92" s="16" t="n"/>
      <c r="I92" s="17" t="n"/>
    </row>
    <row r="93">
      <c r="A93" s="16" t="n"/>
      <c r="B93" s="16" t="n"/>
      <c r="C93" s="9" t="n"/>
      <c r="D93" s="16" t="n"/>
      <c r="E93" s="17" t="n"/>
      <c r="F93" s="17" t="n"/>
      <c r="G93" s="16" t="n"/>
      <c r="H93" s="16" t="n"/>
      <c r="I93" s="17" t="n"/>
    </row>
    <row r="94">
      <c r="A94" s="16" t="n"/>
      <c r="B94" s="16" t="n"/>
      <c r="C94" s="9" t="n"/>
      <c r="D94" s="16" t="n"/>
      <c r="E94" s="17" t="n"/>
      <c r="F94" s="17" t="n"/>
      <c r="G94" s="16" t="n"/>
      <c r="H94" s="16" t="n"/>
      <c r="I94" s="17" t="n"/>
    </row>
    <row r="95">
      <c r="A95" s="16" t="n"/>
      <c r="B95" s="16" t="n"/>
      <c r="C95" s="9" t="n"/>
      <c r="D95" s="16" t="n"/>
      <c r="E95" s="17" t="n"/>
      <c r="F95" s="17" t="n"/>
      <c r="G95" s="16" t="n"/>
      <c r="H95" s="16" t="n"/>
      <c r="I95" s="17" t="n"/>
    </row>
    <row r="96">
      <c r="A96" s="16" t="n"/>
      <c r="B96" s="16" t="n"/>
      <c r="C96" s="9" t="n"/>
      <c r="D96" s="16" t="n"/>
      <c r="E96" s="17" t="n"/>
      <c r="F96" s="17" t="n"/>
      <c r="G96" s="16" t="n"/>
      <c r="H96" s="16" t="n"/>
      <c r="I96" s="17" t="n"/>
    </row>
    <row r="97">
      <c r="A97" s="16" t="n"/>
      <c r="B97" s="16" t="n"/>
      <c r="C97" s="9" t="n"/>
      <c r="D97" s="16" t="n"/>
      <c r="E97" s="17" t="n"/>
      <c r="F97" s="17" t="n"/>
      <c r="G97" s="16" t="n"/>
      <c r="H97" s="16" t="n"/>
      <c r="I97" s="17" t="n"/>
    </row>
    <row r="98">
      <c r="A98" s="16" t="n"/>
      <c r="B98" s="16" t="n"/>
      <c r="C98" s="9" t="n"/>
      <c r="D98" s="16" t="n"/>
      <c r="E98" s="17" t="n"/>
      <c r="F98" s="17" t="n"/>
      <c r="G98" s="16" t="n"/>
      <c r="H98" s="16" t="n"/>
      <c r="I98" s="17" t="n"/>
    </row>
    <row r="99">
      <c r="A99" s="16" t="n"/>
      <c r="B99" s="16" t="n"/>
      <c r="C99" s="9" t="n"/>
      <c r="D99" s="16" t="n"/>
      <c r="E99" s="17" t="n"/>
      <c r="F99" s="17" t="n"/>
      <c r="G99" s="16" t="n"/>
      <c r="H99" s="16" t="n"/>
      <c r="I99" s="17" t="n"/>
    </row>
    <row r="100">
      <c r="A100" s="16" t="n"/>
      <c r="B100" s="16" t="n"/>
      <c r="C100" s="9" t="n"/>
      <c r="D100" s="16" t="n"/>
      <c r="E100" s="17" t="n"/>
      <c r="F100" s="17" t="n"/>
      <c r="G100" s="16" t="n"/>
      <c r="H100" s="16" t="n"/>
      <c r="I100" s="17" t="n"/>
    </row>
    <row r="101">
      <c r="A101" s="16" t="n"/>
      <c r="B101" s="16" t="n"/>
      <c r="C101" s="9" t="n"/>
      <c r="D101" s="16" t="n"/>
      <c r="E101" s="17" t="n"/>
      <c r="F101" s="17" t="n"/>
      <c r="G101" s="16" t="n"/>
      <c r="H101" s="16" t="n"/>
      <c r="I101" s="17" t="n"/>
    </row>
    <row r="102">
      <c r="A102" s="16" t="n"/>
      <c r="B102" s="16" t="n"/>
      <c r="C102" s="9" t="n"/>
      <c r="D102" s="16" t="n"/>
      <c r="E102" s="17" t="n"/>
      <c r="F102" s="17" t="n"/>
      <c r="G102" s="16" t="n"/>
      <c r="H102" s="16" t="n"/>
      <c r="I102" s="17" t="n"/>
    </row>
    <row r="103">
      <c r="A103" s="16" t="n"/>
      <c r="B103" s="16" t="n"/>
      <c r="C103" s="9" t="n"/>
      <c r="D103" s="16" t="n"/>
      <c r="E103" s="17" t="n"/>
      <c r="F103" s="17" t="n"/>
      <c r="G103" s="16" t="n"/>
      <c r="H103" s="16" t="n"/>
      <c r="I103" s="17" t="n"/>
    </row>
    <row r="104">
      <c r="A104" s="16" t="n"/>
      <c r="B104" s="16" t="n"/>
      <c r="C104" s="9" t="n"/>
      <c r="D104" s="16" t="n"/>
      <c r="E104" s="17" t="n"/>
      <c r="F104" s="17" t="n"/>
      <c r="G104" s="16" t="n"/>
      <c r="H104" s="16" t="n"/>
      <c r="I104" s="17" t="n"/>
    </row>
    <row r="105">
      <c r="A105" s="16" t="n"/>
      <c r="B105" s="16" t="n"/>
      <c r="C105" s="9" t="n"/>
      <c r="D105" s="16" t="n"/>
      <c r="E105" s="17" t="n"/>
      <c r="F105" s="17" t="n"/>
      <c r="G105" s="16" t="n"/>
      <c r="H105" s="16" t="n"/>
      <c r="I105" s="17" t="n"/>
    </row>
    <row r="106">
      <c r="A106" s="16" t="n"/>
      <c r="B106" s="16" t="n"/>
      <c r="C106" s="9" t="n"/>
      <c r="D106" s="16" t="n"/>
      <c r="E106" s="17" t="n"/>
      <c r="F106" s="17" t="n"/>
      <c r="G106" s="16" t="n"/>
      <c r="H106" s="16" t="n"/>
      <c r="I106" s="17" t="n"/>
    </row>
    <row r="107">
      <c r="A107" s="16" t="n"/>
      <c r="B107" s="16" t="n"/>
      <c r="C107" s="9" t="n"/>
      <c r="D107" s="16" t="n"/>
      <c r="E107" s="17" t="n"/>
      <c r="F107" s="17" t="n"/>
      <c r="G107" s="16" t="n"/>
      <c r="H107" s="16" t="n"/>
      <c r="I107" s="17" t="n"/>
    </row>
    <row r="108">
      <c r="A108" s="16" t="n"/>
      <c r="B108" s="16" t="n"/>
      <c r="C108" s="9" t="n"/>
      <c r="D108" s="16" t="n"/>
      <c r="E108" s="17" t="n"/>
      <c r="F108" s="17" t="n"/>
      <c r="G108" s="16" t="n"/>
      <c r="H108" s="16" t="n"/>
      <c r="I108" s="17" t="n"/>
    </row>
    <row r="109">
      <c r="A109" s="16" t="n"/>
      <c r="B109" s="16" t="n"/>
      <c r="C109" s="9" t="n"/>
      <c r="D109" s="16" t="n"/>
      <c r="E109" s="17" t="n"/>
      <c r="F109" s="17" t="n"/>
      <c r="G109" s="16" t="n"/>
      <c r="H109" s="16" t="n"/>
      <c r="I109" s="17" t="n"/>
    </row>
    <row r="110">
      <c r="A110" s="16" t="n"/>
      <c r="B110" s="16" t="n"/>
      <c r="C110" s="9" t="n"/>
      <c r="D110" s="16" t="n"/>
      <c r="E110" s="17" t="n"/>
      <c r="F110" s="17" t="n"/>
      <c r="G110" s="16" t="n"/>
      <c r="H110" s="16" t="n"/>
      <c r="I110" s="17" t="n"/>
    </row>
    <row r="111">
      <c r="A111" s="16" t="n"/>
      <c r="B111" s="16" t="n"/>
      <c r="C111" s="9" t="n"/>
      <c r="D111" s="16" t="n"/>
      <c r="E111" s="17" t="n"/>
      <c r="F111" s="17" t="n"/>
      <c r="G111" s="16" t="n"/>
      <c r="H111" s="16" t="n"/>
      <c r="I111" s="17" t="n"/>
    </row>
    <row r="112">
      <c r="A112" s="16" t="n"/>
      <c r="B112" s="16" t="n"/>
      <c r="C112" s="9" t="n"/>
      <c r="D112" s="16" t="n"/>
      <c r="E112" s="17" t="n"/>
      <c r="F112" s="17" t="n"/>
      <c r="G112" s="16" t="n"/>
      <c r="H112" s="16" t="n"/>
      <c r="I112" s="17" t="n"/>
    </row>
    <row r="113">
      <c r="A113" s="16" t="n"/>
      <c r="B113" s="16" t="n"/>
      <c r="C113" s="9" t="n"/>
      <c r="D113" s="16" t="n"/>
      <c r="E113" s="17" t="n"/>
      <c r="F113" s="17" t="n"/>
      <c r="G113" s="16" t="n"/>
      <c r="H113" s="16" t="n"/>
      <c r="I113" s="17" t="n"/>
    </row>
    <row r="114">
      <c r="A114" s="16" t="n"/>
      <c r="B114" s="16" t="n"/>
      <c r="C114" s="9" t="n"/>
      <c r="D114" s="16" t="n"/>
      <c r="E114" s="17" t="n"/>
      <c r="F114" s="17" t="n"/>
      <c r="G114" s="16" t="n"/>
      <c r="H114" s="16" t="n"/>
      <c r="I114" s="17" t="n"/>
    </row>
    <row r="115">
      <c r="A115" s="16" t="n"/>
      <c r="B115" s="16" t="n"/>
      <c r="C115" s="9" t="n"/>
      <c r="D115" s="16" t="n"/>
      <c r="E115" s="17" t="n"/>
      <c r="F115" s="17" t="n"/>
      <c r="G115" s="16" t="n"/>
      <c r="H115" s="16" t="n"/>
      <c r="I115" s="17" t="n"/>
    </row>
    <row r="116">
      <c r="A116" s="16" t="n"/>
      <c r="B116" s="16" t="n"/>
      <c r="C116" s="9" t="n"/>
      <c r="D116" s="16" t="n"/>
      <c r="E116" s="17" t="n"/>
      <c r="F116" s="17" t="n"/>
      <c r="G116" s="16" t="n"/>
      <c r="H116" s="16" t="n"/>
      <c r="I116" s="17" t="n"/>
    </row>
    <row r="117">
      <c r="A117" s="16" t="n"/>
      <c r="B117" s="16" t="n"/>
      <c r="C117" s="9" t="n"/>
      <c r="D117" s="16" t="n"/>
      <c r="E117" s="17" t="n"/>
      <c r="F117" s="17" t="n"/>
      <c r="G117" s="16" t="n"/>
      <c r="H117" s="16" t="n"/>
      <c r="I117" s="17" t="n"/>
    </row>
    <row r="118">
      <c r="A118" s="16" t="n"/>
      <c r="B118" s="16" t="n"/>
      <c r="C118" s="9" t="n"/>
      <c r="D118" s="16" t="n"/>
      <c r="E118" s="17" t="n"/>
      <c r="F118" s="17" t="n"/>
      <c r="G118" s="16" t="n"/>
      <c r="H118" s="16" t="n"/>
      <c r="I118" s="17" t="n"/>
    </row>
    <row r="119">
      <c r="A119" s="16" t="n"/>
      <c r="B119" s="16" t="n"/>
      <c r="C119" s="9" t="n"/>
      <c r="D119" s="16" t="n"/>
      <c r="E119" s="17" t="n"/>
      <c r="F119" s="17" t="n"/>
      <c r="G119" s="16" t="n"/>
      <c r="H119" s="16" t="n"/>
      <c r="I119" s="17" t="n"/>
    </row>
    <row r="120">
      <c r="A120" s="16" t="n"/>
      <c r="B120" s="16" t="n"/>
      <c r="C120" s="9" t="n"/>
      <c r="D120" s="16" t="n"/>
      <c r="E120" s="17" t="n"/>
      <c r="F120" s="17" t="n"/>
      <c r="G120" s="16" t="n"/>
      <c r="H120" s="16" t="n"/>
      <c r="I120" s="17" t="n"/>
    </row>
    <row r="121">
      <c r="A121" s="16" t="n"/>
      <c r="B121" s="16" t="n"/>
      <c r="C121" s="9" t="n"/>
      <c r="D121" s="16" t="n"/>
      <c r="E121" s="17" t="n"/>
      <c r="F121" s="17" t="n"/>
      <c r="G121" s="16" t="n"/>
      <c r="H121" s="16" t="n"/>
      <c r="I121" s="17" t="n"/>
    </row>
    <row r="122">
      <c r="A122" s="16" t="n"/>
      <c r="B122" s="16" t="n"/>
      <c r="C122" s="9" t="n"/>
      <c r="D122" s="16" t="n"/>
      <c r="E122" s="17" t="n"/>
      <c r="F122" s="17" t="n"/>
      <c r="G122" s="16" t="n"/>
      <c r="H122" s="16" t="n"/>
      <c r="I122" s="17" t="n"/>
    </row>
    <row r="123">
      <c r="A123" s="16" t="n"/>
      <c r="B123" s="16" t="n"/>
      <c r="C123" s="9" t="n"/>
      <c r="D123" s="16" t="n"/>
      <c r="E123" s="17" t="n"/>
      <c r="F123" s="17" t="n"/>
      <c r="G123" s="16" t="n"/>
      <c r="H123" s="16" t="n"/>
      <c r="I123" s="17" t="n"/>
    </row>
    <row r="124">
      <c r="A124" s="16" t="n"/>
      <c r="B124" s="16" t="n"/>
      <c r="C124" s="9" t="n"/>
      <c r="D124" s="16" t="n"/>
      <c r="E124" s="17" t="n"/>
      <c r="F124" s="17" t="n"/>
      <c r="G124" s="16" t="n"/>
      <c r="H124" s="16" t="n"/>
      <c r="I124" s="17" t="n"/>
    </row>
    <row r="125">
      <c r="A125" s="16" t="n"/>
      <c r="B125" s="16" t="n"/>
      <c r="C125" s="9" t="n"/>
      <c r="D125" s="16" t="n"/>
      <c r="E125" s="17" t="n"/>
      <c r="F125" s="17" t="n"/>
      <c r="G125" s="16" t="n"/>
      <c r="H125" s="16" t="n"/>
      <c r="I125" s="17" t="n"/>
    </row>
    <row r="126">
      <c r="A126" s="16" t="n"/>
      <c r="B126" s="16" t="n"/>
      <c r="C126" s="9" t="n"/>
      <c r="D126" s="16" t="n"/>
      <c r="E126" s="17" t="n"/>
      <c r="F126" s="17" t="n"/>
      <c r="G126" s="16" t="n"/>
      <c r="H126" s="16" t="n"/>
      <c r="I126" s="17" t="n"/>
    </row>
    <row r="127">
      <c r="A127" s="16" t="n"/>
      <c r="B127" s="16" t="n"/>
      <c r="C127" s="9" t="n"/>
      <c r="D127" s="16" t="n"/>
      <c r="E127" s="17" t="n"/>
      <c r="F127" s="17" t="n"/>
      <c r="G127" s="16" t="n"/>
      <c r="H127" s="16" t="n"/>
      <c r="I127" s="17" t="n"/>
    </row>
    <row r="128">
      <c r="A128" s="16" t="n"/>
      <c r="B128" s="16" t="n"/>
      <c r="C128" s="9" t="n"/>
      <c r="D128" s="16" t="n"/>
      <c r="E128" s="17" t="n"/>
      <c r="F128" s="17" t="n"/>
      <c r="G128" s="16" t="n"/>
      <c r="H128" s="16" t="n"/>
      <c r="I128" s="17" t="n"/>
    </row>
    <row r="129">
      <c r="A129" s="16" t="n"/>
      <c r="B129" s="16" t="n"/>
      <c r="C129" s="9" t="n"/>
      <c r="D129" s="16" t="n"/>
      <c r="E129" s="17" t="n"/>
      <c r="F129" s="17" t="n"/>
      <c r="G129" s="16" t="n"/>
      <c r="H129" s="16" t="n"/>
      <c r="I129" s="17" t="n"/>
    </row>
    <row r="130">
      <c r="A130" s="16" t="n"/>
      <c r="B130" s="16" t="n"/>
      <c r="C130" s="9" t="n"/>
      <c r="D130" s="16" t="n"/>
      <c r="E130" s="17" t="n"/>
      <c r="F130" s="17" t="n"/>
      <c r="G130" s="16" t="n"/>
      <c r="H130" s="16" t="n"/>
      <c r="I130" s="17" t="n"/>
    </row>
    <row r="131">
      <c r="A131" s="16" t="n"/>
      <c r="B131" s="16" t="n"/>
      <c r="C131" s="9" t="n"/>
      <c r="D131" s="16" t="n"/>
      <c r="E131" s="17" t="n"/>
      <c r="F131" s="17" t="n"/>
      <c r="G131" s="16" t="n"/>
      <c r="H131" s="16" t="n"/>
      <c r="I131" s="17" t="n"/>
    </row>
    <row r="132">
      <c r="A132" s="16" t="n"/>
      <c r="B132" s="16" t="n"/>
      <c r="C132" s="9" t="n"/>
      <c r="D132" s="16" t="n"/>
      <c r="E132" s="17" t="n"/>
      <c r="F132" s="17" t="n"/>
      <c r="G132" s="16" t="n"/>
      <c r="H132" s="16" t="n"/>
      <c r="I132" s="17" t="n"/>
    </row>
    <row r="133">
      <c r="A133" s="16" t="n"/>
      <c r="B133" s="16" t="n"/>
      <c r="C133" s="9" t="n"/>
      <c r="D133" s="16" t="n"/>
      <c r="E133" s="17" t="n"/>
      <c r="F133" s="17" t="n"/>
      <c r="G133" s="16" t="n"/>
      <c r="H133" s="16" t="n"/>
      <c r="I133" s="17" t="n"/>
    </row>
    <row r="134">
      <c r="A134" s="16" t="n"/>
      <c r="B134" s="16" t="n"/>
      <c r="C134" s="9" t="n"/>
      <c r="D134" s="16" t="n"/>
      <c r="E134" s="17" t="n"/>
      <c r="F134" s="17" t="n"/>
      <c r="G134" s="16" t="n"/>
      <c r="H134" s="16" t="n"/>
      <c r="I134" s="17" t="n"/>
    </row>
    <row r="135">
      <c r="A135" s="16" t="n"/>
      <c r="B135" s="16" t="n"/>
      <c r="C135" s="9" t="n"/>
      <c r="D135" s="16" t="n"/>
      <c r="E135" s="17" t="n"/>
      <c r="F135" s="17" t="n"/>
      <c r="G135" s="16" t="n"/>
      <c r="H135" s="16" t="n"/>
      <c r="I135" s="17" t="n"/>
    </row>
    <row r="136">
      <c r="A136" s="16" t="n"/>
      <c r="B136" s="16" t="n"/>
      <c r="C136" s="9" t="n"/>
      <c r="D136" s="16" t="n"/>
      <c r="E136" s="17" t="n"/>
      <c r="F136" s="17" t="n"/>
      <c r="G136" s="16" t="n"/>
      <c r="H136" s="16" t="n"/>
      <c r="I136" s="17" t="n"/>
    </row>
    <row r="137">
      <c r="A137" s="16" t="n"/>
      <c r="B137" s="16" t="n"/>
      <c r="C137" s="9" t="n"/>
      <c r="D137" s="16" t="n"/>
      <c r="E137" s="17" t="n"/>
      <c r="F137" s="17" t="n"/>
      <c r="G137" s="16" t="n"/>
      <c r="H137" s="16" t="n"/>
      <c r="I137" s="17" t="n"/>
    </row>
    <row r="138">
      <c r="A138" s="16" t="n"/>
      <c r="B138" s="16" t="n"/>
      <c r="C138" s="9" t="n"/>
      <c r="D138" s="16" t="n"/>
      <c r="E138" s="17" t="n"/>
      <c r="F138" s="17" t="n"/>
      <c r="G138" s="16" t="n"/>
      <c r="H138" s="16" t="n"/>
      <c r="I138" s="17" t="n"/>
    </row>
    <row r="139">
      <c r="A139" s="16" t="n"/>
      <c r="B139" s="16" t="n"/>
      <c r="C139" s="9" t="n"/>
      <c r="D139" s="16" t="n"/>
      <c r="E139" s="17" t="n"/>
      <c r="F139" s="17" t="n"/>
      <c r="G139" s="16" t="n"/>
      <c r="H139" s="16" t="n"/>
      <c r="I139" s="17" t="n"/>
    </row>
    <row r="140">
      <c r="A140" s="16" t="n"/>
      <c r="B140" s="16" t="n"/>
      <c r="C140" s="9" t="n"/>
      <c r="D140" s="16" t="n"/>
      <c r="E140" s="17" t="n"/>
      <c r="F140" s="17" t="n"/>
      <c r="G140" s="16" t="n"/>
      <c r="H140" s="16" t="n"/>
      <c r="I140" s="17" t="n"/>
    </row>
    <row r="141">
      <c r="A141" s="16" t="n"/>
      <c r="B141" s="16" t="n"/>
      <c r="C141" s="9" t="n"/>
      <c r="D141" s="16" t="n"/>
      <c r="E141" s="17" t="n"/>
      <c r="F141" s="17" t="n"/>
      <c r="G141" s="16" t="n"/>
      <c r="H141" s="16" t="n"/>
      <c r="I141" s="17" t="n"/>
    </row>
    <row r="142">
      <c r="A142" s="16" t="n"/>
      <c r="B142" s="16" t="n"/>
      <c r="C142" s="9" t="n"/>
      <c r="D142" s="16" t="n"/>
      <c r="E142" s="17" t="n"/>
      <c r="F142" s="17" t="n"/>
      <c r="G142" s="16" t="n"/>
      <c r="H142" s="16" t="n"/>
      <c r="I142" s="17" t="n"/>
    </row>
    <row r="143">
      <c r="A143" s="16" t="n"/>
      <c r="B143" s="16" t="n"/>
      <c r="C143" s="9" t="n"/>
      <c r="D143" s="16" t="n"/>
      <c r="E143" s="17" t="n"/>
      <c r="F143" s="17" t="n"/>
      <c r="G143" s="16" t="n"/>
      <c r="H143" s="16" t="n"/>
      <c r="I143" s="17" t="n"/>
    </row>
    <row r="144">
      <c r="A144" s="16" t="n"/>
      <c r="B144" s="16" t="n"/>
      <c r="C144" s="9" t="n"/>
      <c r="D144" s="16" t="n"/>
      <c r="E144" s="17" t="n"/>
      <c r="F144" s="17" t="n"/>
      <c r="G144" s="16" t="n"/>
      <c r="H144" s="16" t="n"/>
      <c r="I144" s="17" t="n"/>
    </row>
    <row r="145">
      <c r="A145" s="16" t="n"/>
      <c r="B145" s="16" t="n"/>
      <c r="C145" s="9" t="n"/>
      <c r="D145" s="16" t="n"/>
      <c r="E145" s="17" t="n"/>
      <c r="F145" s="17" t="n"/>
      <c r="G145" s="16" t="n"/>
      <c r="H145" s="16" t="n"/>
      <c r="I145" s="17" t="n"/>
    </row>
    <row r="146">
      <c r="A146" s="16" t="n"/>
      <c r="B146" s="16" t="n"/>
      <c r="C146" s="9" t="n"/>
      <c r="D146" s="16" t="n"/>
      <c r="E146" s="17" t="n"/>
      <c r="F146" s="17" t="n"/>
      <c r="G146" s="16" t="n"/>
      <c r="H146" s="16" t="n"/>
      <c r="I146" s="17" t="n"/>
    </row>
    <row r="147">
      <c r="A147" s="16" t="n"/>
      <c r="B147" s="16" t="n"/>
      <c r="C147" s="9" t="n"/>
      <c r="D147" s="16" t="n"/>
      <c r="E147" s="17" t="n"/>
      <c r="F147" s="17" t="n"/>
      <c r="G147" s="16" t="n"/>
      <c r="H147" s="16" t="n"/>
      <c r="I147" s="17" t="n"/>
    </row>
    <row r="148">
      <c r="A148" s="16" t="n"/>
      <c r="B148" s="16" t="n"/>
      <c r="C148" s="9" t="n"/>
      <c r="D148" s="16" t="n"/>
      <c r="E148" s="17" t="n"/>
      <c r="F148" s="17" t="n"/>
      <c r="G148" s="16" t="n"/>
      <c r="H148" s="16" t="n"/>
      <c r="I148" s="17" t="n"/>
    </row>
    <row r="149">
      <c r="A149" s="16" t="n"/>
      <c r="B149" s="16" t="n"/>
      <c r="C149" s="9" t="n"/>
      <c r="D149" s="16" t="n"/>
      <c r="E149" s="17" t="n"/>
      <c r="F149" s="17" t="n"/>
      <c r="G149" s="16" t="n"/>
      <c r="H149" s="16" t="n"/>
      <c r="I149" s="17" t="n"/>
    </row>
    <row r="150">
      <c r="A150" s="16" t="n"/>
      <c r="B150" s="16" t="n"/>
      <c r="C150" s="9" t="n"/>
      <c r="D150" s="16" t="n"/>
      <c r="E150" s="17" t="n"/>
      <c r="F150" s="17" t="n"/>
      <c r="G150" s="16" t="n"/>
      <c r="H150" s="16" t="n"/>
      <c r="I150" s="17" t="n"/>
    </row>
    <row r="151">
      <c r="A151" s="16" t="n"/>
      <c r="B151" s="16" t="n"/>
      <c r="C151" s="9" t="n"/>
      <c r="D151" s="16" t="n"/>
      <c r="E151" s="17" t="n"/>
      <c r="F151" s="17" t="n"/>
      <c r="G151" s="16" t="n"/>
      <c r="H151" s="16" t="n"/>
      <c r="I151" s="17" t="n"/>
    </row>
    <row r="152">
      <c r="A152" s="16" t="n"/>
      <c r="B152" s="16" t="n"/>
      <c r="C152" s="9" t="n"/>
      <c r="D152" s="16" t="n"/>
      <c r="E152" s="17" t="n"/>
      <c r="F152" s="17" t="n"/>
      <c r="G152" s="16" t="n"/>
      <c r="H152" s="16" t="n"/>
      <c r="I152" s="17" t="n"/>
    </row>
    <row r="153">
      <c r="A153" s="16" t="n"/>
      <c r="B153" s="16" t="n"/>
      <c r="C153" s="9" t="n"/>
      <c r="D153" s="16" t="n"/>
      <c r="E153" s="17" t="n"/>
      <c r="F153" s="17" t="n"/>
      <c r="G153" s="16" t="n"/>
      <c r="H153" s="16" t="n"/>
      <c r="I153" s="17" t="n"/>
    </row>
    <row r="154">
      <c r="A154" s="16" t="n"/>
      <c r="B154" s="16" t="n"/>
      <c r="C154" s="9" t="n"/>
      <c r="D154" s="16" t="n"/>
      <c r="E154" s="17" t="n"/>
      <c r="F154" s="17" t="n"/>
      <c r="G154" s="16" t="n"/>
      <c r="H154" s="16" t="n"/>
      <c r="I154" s="17" t="n"/>
    </row>
    <row r="155">
      <c r="A155" s="16" t="n"/>
      <c r="B155" s="16" t="n"/>
      <c r="C155" s="9" t="n"/>
      <c r="D155" s="16" t="n"/>
      <c r="E155" s="17" t="n"/>
      <c r="F155" s="17" t="n"/>
      <c r="G155" s="16" t="n"/>
      <c r="H155" s="16" t="n"/>
      <c r="I155" s="17" t="n"/>
    </row>
    <row r="156">
      <c r="A156" s="16" t="n"/>
      <c r="B156" s="16" t="n"/>
      <c r="C156" s="9" t="n"/>
      <c r="D156" s="16" t="n"/>
      <c r="E156" s="17" t="n"/>
      <c r="F156" s="17" t="n"/>
      <c r="G156" s="16" t="n"/>
      <c r="H156" s="16" t="n"/>
      <c r="I156" s="17" t="n"/>
    </row>
    <row r="157">
      <c r="A157" s="16" t="n"/>
      <c r="B157" s="16" t="n"/>
      <c r="C157" s="9" t="n"/>
      <c r="D157" s="16" t="n"/>
      <c r="E157" s="17" t="n"/>
      <c r="F157" s="17" t="n"/>
      <c r="G157" s="16" t="n"/>
      <c r="H157" s="16" t="n"/>
      <c r="I157" s="17" t="n"/>
    </row>
    <row r="158">
      <c r="A158" s="16" t="n"/>
      <c r="B158" s="16" t="n"/>
      <c r="C158" s="9" t="n"/>
      <c r="D158" s="16" t="n"/>
      <c r="E158" s="17" t="n"/>
      <c r="F158" s="17" t="n"/>
      <c r="G158" s="16" t="n"/>
      <c r="H158" s="16" t="n"/>
      <c r="I158" s="17" t="n"/>
    </row>
    <row r="159">
      <c r="A159" s="16" t="n"/>
      <c r="B159" s="16" t="n"/>
      <c r="C159" s="9" t="n"/>
      <c r="D159" s="16" t="n"/>
      <c r="E159" s="17" t="n"/>
      <c r="F159" s="17" t="n"/>
      <c r="G159" s="16" t="n"/>
      <c r="H159" s="16" t="n"/>
      <c r="I159" s="17" t="n"/>
    </row>
    <row r="160">
      <c r="A160" s="16" t="n"/>
      <c r="B160" s="16" t="n"/>
      <c r="C160" s="9" t="n"/>
      <c r="D160" s="16" t="n"/>
      <c r="E160" s="17" t="n"/>
      <c r="F160" s="17" t="n"/>
      <c r="G160" s="16" t="n"/>
      <c r="H160" s="16" t="n"/>
      <c r="I160" s="17" t="n"/>
    </row>
    <row r="161">
      <c r="A161" s="16" t="n"/>
      <c r="B161" s="16" t="n"/>
      <c r="C161" s="9" t="n"/>
      <c r="D161" s="16" t="n"/>
      <c r="E161" s="17" t="n"/>
      <c r="F161" s="17" t="n"/>
      <c r="G161" s="16" t="n"/>
      <c r="H161" s="16" t="n"/>
      <c r="I161" s="17" t="n"/>
    </row>
    <row r="162">
      <c r="A162" s="16" t="n"/>
      <c r="B162" s="16" t="n"/>
      <c r="C162" s="9" t="n"/>
      <c r="D162" s="16" t="n"/>
      <c r="E162" s="17" t="n"/>
      <c r="F162" s="17" t="n"/>
      <c r="G162" s="16" t="n"/>
      <c r="H162" s="16" t="n"/>
      <c r="I162" s="17" t="n"/>
    </row>
    <row r="163">
      <c r="A163" s="16" t="n"/>
      <c r="B163" s="16" t="n"/>
      <c r="C163" s="9" t="n"/>
      <c r="D163" s="16" t="n"/>
      <c r="E163" s="17" t="n"/>
      <c r="F163" s="17" t="n"/>
      <c r="G163" s="16" t="n"/>
      <c r="H163" s="16" t="n"/>
      <c r="I163" s="17" t="n"/>
    </row>
    <row r="164">
      <c r="A164" s="16" t="n"/>
      <c r="B164" s="16" t="n"/>
      <c r="C164" s="9" t="n"/>
      <c r="D164" s="16" t="n"/>
      <c r="E164" s="17" t="n"/>
      <c r="F164" s="17" t="n"/>
      <c r="G164" s="16" t="n"/>
      <c r="H164" s="16" t="n"/>
      <c r="I164" s="17" t="n"/>
    </row>
    <row r="165">
      <c r="A165" s="16" t="n"/>
      <c r="B165" s="16" t="n"/>
      <c r="C165" s="9" t="n"/>
      <c r="D165" s="16" t="n"/>
      <c r="E165" s="17" t="n"/>
      <c r="F165" s="17" t="n"/>
      <c r="G165" s="16" t="n"/>
      <c r="H165" s="16" t="n"/>
      <c r="I165" s="17" t="n"/>
    </row>
    <row r="166">
      <c r="A166" s="16" t="n"/>
      <c r="B166" s="16" t="n"/>
      <c r="C166" s="9" t="n"/>
      <c r="D166" s="16" t="n"/>
      <c r="E166" s="17" t="n"/>
      <c r="F166" s="17" t="n"/>
      <c r="G166" s="16" t="n"/>
      <c r="H166" s="16" t="n"/>
      <c r="I166" s="17" t="n"/>
    </row>
    <row r="167">
      <c r="A167" s="16" t="n"/>
      <c r="B167" s="16" t="n"/>
      <c r="C167" s="9" t="n"/>
      <c r="D167" s="16" t="n"/>
      <c r="E167" s="17" t="n"/>
      <c r="F167" s="17" t="n"/>
      <c r="G167" s="16" t="n"/>
      <c r="H167" s="16" t="n"/>
      <c r="I167" s="17" t="n"/>
    </row>
    <row r="168">
      <c r="A168" s="16" t="n"/>
      <c r="B168" s="16" t="n"/>
      <c r="C168" s="9" t="n"/>
      <c r="D168" s="16" t="n"/>
      <c r="E168" s="17" t="n"/>
      <c r="F168" s="17" t="n"/>
      <c r="G168" s="16" t="n"/>
      <c r="H168" s="16" t="n"/>
      <c r="I168" s="17" t="n"/>
    </row>
    <row r="169">
      <c r="A169" s="16" t="n"/>
      <c r="B169" s="16" t="n"/>
      <c r="C169" s="9" t="n"/>
      <c r="D169" s="16" t="n"/>
      <c r="E169" s="17" t="n"/>
      <c r="F169" s="17" t="n"/>
      <c r="G169" s="16" t="n"/>
      <c r="H169" s="16" t="n"/>
      <c r="I169" s="17" t="n"/>
    </row>
    <row r="170">
      <c r="A170" s="16" t="n"/>
      <c r="B170" s="16" t="n"/>
      <c r="C170" s="9" t="n"/>
      <c r="D170" s="16" t="n"/>
      <c r="E170" s="17" t="n"/>
      <c r="F170" s="17" t="n"/>
      <c r="G170" s="16" t="n"/>
      <c r="H170" s="16" t="n"/>
      <c r="I170" s="17" t="n"/>
    </row>
    <row r="171">
      <c r="A171" s="16" t="n"/>
      <c r="B171" s="16" t="n"/>
      <c r="C171" s="9" t="n"/>
      <c r="D171" s="16" t="n"/>
      <c r="E171" s="17" t="n"/>
      <c r="F171" s="17" t="n"/>
      <c r="G171" s="16" t="n"/>
      <c r="H171" s="16" t="n"/>
      <c r="I171" s="17" t="n"/>
    </row>
    <row r="172">
      <c r="A172" s="16" t="n"/>
      <c r="B172" s="16" t="n"/>
      <c r="C172" s="9" t="n"/>
      <c r="D172" s="16" t="n"/>
      <c r="E172" s="17" t="n"/>
      <c r="F172" s="17" t="n"/>
      <c r="G172" s="16" t="n"/>
      <c r="H172" s="16" t="n"/>
      <c r="I172" s="17" t="n"/>
    </row>
    <row r="173">
      <c r="A173" s="16" t="n"/>
      <c r="B173" s="16" t="n"/>
      <c r="C173" s="9" t="n"/>
      <c r="D173" s="16" t="n"/>
      <c r="E173" s="17" t="n"/>
      <c r="F173" s="17" t="n"/>
      <c r="G173" s="16" t="n"/>
      <c r="H173" s="16" t="n"/>
      <c r="I173" s="17" t="n"/>
    </row>
    <row r="174">
      <c r="A174" s="16" t="n"/>
      <c r="B174" s="16" t="n"/>
      <c r="C174" s="9" t="n"/>
      <c r="D174" s="16" t="n"/>
      <c r="E174" s="17" t="n"/>
      <c r="F174" s="17" t="n"/>
      <c r="G174" s="16" t="n"/>
      <c r="H174" s="16" t="n"/>
      <c r="I174" s="17" t="n"/>
    </row>
    <row r="175">
      <c r="A175" s="16" t="n"/>
      <c r="B175" s="16" t="n"/>
      <c r="C175" s="9" t="n"/>
      <c r="D175" s="16" t="n"/>
      <c r="E175" s="17" t="n"/>
      <c r="F175" s="17" t="n"/>
      <c r="G175" s="16" t="n"/>
      <c r="H175" s="16" t="n"/>
      <c r="I175" s="17" t="n"/>
    </row>
    <row r="176">
      <c r="A176" s="16" t="n"/>
      <c r="B176" s="16" t="n"/>
      <c r="C176" s="9" t="n"/>
      <c r="D176" s="16" t="n"/>
      <c r="E176" s="17" t="n"/>
      <c r="F176" s="17" t="n"/>
      <c r="G176" s="16" t="n"/>
      <c r="H176" s="16" t="n"/>
      <c r="I176" s="17" t="n"/>
    </row>
    <row r="177">
      <c r="A177" s="16" t="n"/>
      <c r="B177" s="16" t="n"/>
      <c r="C177" s="9" t="n"/>
      <c r="D177" s="16" t="n"/>
      <c r="E177" s="17" t="n"/>
      <c r="F177" s="17" t="n"/>
      <c r="G177" s="16" t="n"/>
      <c r="H177" s="16" t="n"/>
      <c r="I177" s="17" t="n"/>
    </row>
    <row r="178">
      <c r="A178" s="16" t="n"/>
      <c r="B178" s="16" t="n"/>
      <c r="C178" s="9" t="n"/>
      <c r="D178" s="16" t="n"/>
      <c r="E178" s="17" t="n"/>
      <c r="F178" s="17" t="n"/>
      <c r="G178" s="16" t="n"/>
      <c r="H178" s="16" t="n"/>
      <c r="I178" s="17" t="n"/>
    </row>
    <row r="179">
      <c r="A179" s="16" t="n"/>
      <c r="B179" s="16" t="n"/>
      <c r="C179" s="9" t="n"/>
      <c r="D179" s="16" t="n"/>
      <c r="E179" s="17" t="n"/>
      <c r="F179" s="17" t="n"/>
      <c r="G179" s="16" t="n"/>
      <c r="H179" s="16" t="n"/>
      <c r="I179" s="17" t="n"/>
    </row>
    <row r="180">
      <c r="A180" s="16" t="n"/>
      <c r="B180" s="16" t="n"/>
      <c r="C180" s="9" t="n"/>
      <c r="D180" s="16" t="n"/>
      <c r="E180" s="17" t="n"/>
      <c r="F180" s="17" t="n"/>
      <c r="G180" s="16" t="n"/>
      <c r="H180" s="16" t="n"/>
      <c r="I180" s="17" t="n"/>
    </row>
    <row r="181">
      <c r="A181" s="16" t="n"/>
      <c r="B181" s="16" t="n"/>
      <c r="C181" s="9" t="n"/>
      <c r="D181" s="16" t="n"/>
      <c r="E181" s="17" t="n"/>
      <c r="F181" s="17" t="n"/>
      <c r="G181" s="16" t="n"/>
      <c r="H181" s="16" t="n"/>
      <c r="I181" s="17" t="n"/>
    </row>
    <row r="182">
      <c r="A182" s="16" t="n"/>
      <c r="B182" s="16" t="n"/>
      <c r="C182" s="9" t="n"/>
      <c r="D182" s="16" t="n"/>
      <c r="E182" s="17" t="n"/>
      <c r="F182" s="17" t="n"/>
      <c r="G182" s="16" t="n"/>
      <c r="H182" s="16" t="n"/>
      <c r="I182" s="17" t="n"/>
    </row>
    <row r="183">
      <c r="A183" s="16" t="n"/>
      <c r="B183" s="16" t="n"/>
      <c r="C183" s="9" t="n"/>
      <c r="D183" s="16" t="n"/>
      <c r="E183" s="17" t="n"/>
      <c r="F183" s="17" t="n"/>
      <c r="G183" s="16" t="n"/>
      <c r="H183" s="16" t="n"/>
      <c r="I183" s="17" t="n"/>
    </row>
    <row r="184">
      <c r="A184" s="16" t="n"/>
      <c r="B184" s="16" t="n"/>
      <c r="C184" s="9" t="n"/>
      <c r="D184" s="16" t="n"/>
      <c r="E184" s="17" t="n"/>
      <c r="F184" s="17" t="n"/>
      <c r="G184" s="16" t="n"/>
      <c r="H184" s="16" t="n"/>
      <c r="I184" s="17" t="n"/>
    </row>
    <row r="185">
      <c r="A185" s="16" t="n"/>
      <c r="B185" s="16" t="n"/>
      <c r="C185" s="9" t="n"/>
      <c r="D185" s="16" t="n"/>
      <c r="E185" s="17" t="n"/>
      <c r="F185" s="17" t="n"/>
      <c r="G185" s="16" t="n"/>
      <c r="H185" s="16" t="n"/>
      <c r="I185" s="17" t="n"/>
    </row>
    <row r="186">
      <c r="A186" s="16" t="n"/>
      <c r="B186" s="16" t="n"/>
      <c r="C186" s="9" t="n"/>
      <c r="D186" s="16" t="n"/>
      <c r="E186" s="17" t="n"/>
      <c r="F186" s="17" t="n"/>
      <c r="G186" s="16" t="n"/>
      <c r="H186" s="16" t="n"/>
      <c r="I186" s="17" t="n"/>
    </row>
    <row r="187">
      <c r="A187" s="16" t="n"/>
      <c r="B187" s="16" t="n"/>
      <c r="C187" s="9" t="n"/>
      <c r="D187" s="16" t="n"/>
      <c r="E187" s="17" t="n"/>
      <c r="F187" s="17" t="n"/>
      <c r="G187" s="16" t="n"/>
      <c r="H187" s="16" t="n"/>
      <c r="I187" s="17" t="n"/>
    </row>
    <row r="188">
      <c r="A188" s="16" t="n"/>
      <c r="B188" s="16" t="n"/>
      <c r="C188" s="9" t="n"/>
      <c r="D188" s="16" t="n"/>
      <c r="E188" s="17" t="n"/>
      <c r="F188" s="17" t="n"/>
      <c r="G188" s="16" t="n"/>
      <c r="H188" s="16" t="n"/>
      <c r="I188" s="17" t="n"/>
    </row>
    <row r="189">
      <c r="A189" s="16" t="n"/>
      <c r="B189" s="16" t="n"/>
      <c r="C189" s="9" t="n"/>
      <c r="D189" s="16" t="n"/>
      <c r="E189" s="17" t="n"/>
      <c r="F189" s="17" t="n"/>
      <c r="G189" s="16" t="n"/>
      <c r="H189" s="16" t="n"/>
      <c r="I189" s="17" t="n"/>
    </row>
    <row r="190">
      <c r="A190" s="16" t="n"/>
      <c r="B190" s="16" t="n"/>
      <c r="C190" s="9" t="n"/>
      <c r="D190" s="16" t="n"/>
      <c r="E190" s="17" t="n"/>
      <c r="F190" s="17" t="n"/>
      <c r="G190" s="16" t="n"/>
      <c r="H190" s="16" t="n"/>
      <c r="I190" s="17" t="n"/>
    </row>
    <row r="191">
      <c r="A191" s="16" t="n"/>
      <c r="B191" s="16" t="n"/>
      <c r="C191" s="9" t="n"/>
      <c r="D191" s="16" t="n"/>
      <c r="E191" s="17" t="n"/>
      <c r="F191" s="17" t="n"/>
      <c r="G191" s="16" t="n"/>
      <c r="H191" s="16" t="n"/>
      <c r="I191" s="17" t="n"/>
    </row>
    <row r="192">
      <c r="A192" s="16" t="n"/>
      <c r="B192" s="16" t="n"/>
      <c r="C192" s="9" t="n"/>
      <c r="D192" s="16" t="n"/>
      <c r="E192" s="17" t="n"/>
      <c r="F192" s="17" t="n"/>
      <c r="G192" s="16" t="n"/>
      <c r="H192" s="16" t="n"/>
      <c r="I192" s="17" t="n"/>
    </row>
    <row r="193">
      <c r="A193" s="16" t="n"/>
      <c r="B193" s="16" t="n"/>
      <c r="C193" s="9" t="n"/>
      <c r="D193" s="16" t="n"/>
      <c r="E193" s="17" t="n"/>
      <c r="F193" s="17" t="n"/>
      <c r="G193" s="16" t="n"/>
      <c r="H193" s="16" t="n"/>
      <c r="I193" s="17" t="n"/>
    </row>
    <row r="194">
      <c r="A194" s="16" t="n"/>
      <c r="B194" s="16" t="n"/>
      <c r="C194" s="9" t="n"/>
      <c r="D194" s="16" t="n"/>
      <c r="E194" s="17" t="n"/>
      <c r="F194" s="17" t="n"/>
      <c r="G194" s="16" t="n"/>
      <c r="H194" s="16" t="n"/>
      <c r="I194" s="17" t="n"/>
    </row>
    <row r="195">
      <c r="A195" s="16" t="n"/>
      <c r="B195" s="16" t="n"/>
      <c r="C195" s="9" t="n"/>
      <c r="D195" s="16" t="n"/>
      <c r="E195" s="17" t="n"/>
      <c r="F195" s="17" t="n"/>
      <c r="G195" s="16" t="n"/>
      <c r="H195" s="16" t="n"/>
      <c r="I195" s="17" t="n"/>
    </row>
    <row r="196">
      <c r="A196" s="16" t="n"/>
      <c r="B196" s="16" t="n"/>
      <c r="C196" s="9" t="n"/>
      <c r="D196" s="16" t="n"/>
      <c r="E196" s="17" t="n"/>
      <c r="F196" s="17" t="n"/>
      <c r="G196" s="16" t="n"/>
      <c r="H196" s="16" t="n"/>
      <c r="I196" s="17" t="n"/>
    </row>
    <row r="197">
      <c r="A197" s="16" t="n"/>
      <c r="B197" s="16" t="n"/>
      <c r="C197" s="9" t="n"/>
      <c r="D197" s="16" t="n"/>
      <c r="E197" s="17" t="n"/>
      <c r="F197" s="17" t="n"/>
      <c r="G197" s="16" t="n"/>
      <c r="H197" s="16" t="n"/>
      <c r="I197" s="17" t="n"/>
    </row>
    <row r="198">
      <c r="A198" s="16" t="n"/>
      <c r="B198" s="16" t="n"/>
      <c r="C198" s="9" t="n"/>
      <c r="D198" s="16" t="n"/>
      <c r="E198" s="17" t="n"/>
      <c r="F198" s="17" t="n"/>
      <c r="G198" s="16" t="n"/>
      <c r="H198" s="16" t="n"/>
      <c r="I198" s="17" t="n"/>
    </row>
    <row r="199">
      <c r="A199" s="16" t="n"/>
      <c r="B199" s="16" t="n"/>
      <c r="C199" s="9" t="n"/>
      <c r="D199" s="16" t="n"/>
      <c r="E199" s="17" t="n"/>
      <c r="F199" s="17" t="n"/>
      <c r="G199" s="16" t="n"/>
      <c r="H199" s="16" t="n"/>
      <c r="I199" s="17" t="n"/>
    </row>
    <row r="200">
      <c r="A200" s="16" t="n"/>
      <c r="B200" s="16" t="n"/>
      <c r="C200" s="9" t="n"/>
      <c r="D200" s="16" t="n"/>
      <c r="E200" s="17" t="n"/>
      <c r="F200" s="17" t="n"/>
      <c r="G200" s="16" t="n"/>
      <c r="H200" s="16" t="n"/>
      <c r="I200" s="17" t="n"/>
    </row>
    <row r="201">
      <c r="A201" s="16" t="n"/>
      <c r="B201" s="16" t="n"/>
      <c r="C201" s="9" t="n"/>
      <c r="D201" s="16" t="n"/>
      <c r="E201" s="17" t="n"/>
      <c r="F201" s="17" t="n"/>
      <c r="G201" s="16" t="n"/>
      <c r="H201" s="16" t="n"/>
      <c r="I201" s="17" t="n"/>
    </row>
    <row r="202">
      <c r="A202" s="16" t="n"/>
      <c r="B202" s="16" t="n"/>
      <c r="C202" s="9" t="n"/>
      <c r="D202" s="16" t="n"/>
      <c r="E202" s="17" t="n"/>
      <c r="F202" s="17" t="n"/>
      <c r="G202" s="16" t="n"/>
      <c r="H202" s="16" t="n"/>
      <c r="I202" s="17" t="n"/>
    </row>
    <row r="203">
      <c r="A203" s="16" t="n"/>
      <c r="B203" s="16" t="n"/>
      <c r="C203" s="9" t="n"/>
      <c r="D203" s="16" t="n"/>
      <c r="E203" s="17" t="n"/>
      <c r="F203" s="17" t="n"/>
      <c r="G203" s="16" t="n"/>
      <c r="H203" s="16" t="n"/>
      <c r="I203" s="17" t="n"/>
    </row>
    <row r="204">
      <c r="A204" s="16" t="n"/>
      <c r="B204" s="16" t="n"/>
      <c r="C204" s="9" t="n"/>
      <c r="D204" s="16" t="n"/>
      <c r="E204" s="17" t="n"/>
      <c r="F204" s="17" t="n"/>
      <c r="G204" s="16" t="n"/>
      <c r="H204" s="16" t="n"/>
      <c r="I204" s="17" t="n"/>
    </row>
    <row r="205">
      <c r="A205" s="16" t="n"/>
      <c r="B205" s="16" t="n"/>
      <c r="C205" s="9" t="n"/>
      <c r="D205" s="16" t="n"/>
      <c r="E205" s="17" t="n"/>
      <c r="F205" s="17" t="n"/>
      <c r="G205" s="16" t="n"/>
      <c r="H205" s="16" t="n"/>
      <c r="I205" s="17" t="n"/>
    </row>
    <row r="206">
      <c r="A206" s="16" t="n"/>
      <c r="B206" s="16" t="n"/>
      <c r="C206" s="9" t="n"/>
      <c r="D206" s="16" t="n"/>
      <c r="E206" s="17" t="n"/>
      <c r="F206" s="17" t="n"/>
      <c r="G206" s="16" t="n"/>
      <c r="H206" s="16" t="n"/>
      <c r="I206" s="17" t="n"/>
    </row>
    <row r="207">
      <c r="A207" s="16" t="n"/>
      <c r="B207" s="16" t="n"/>
      <c r="C207" s="9" t="n"/>
      <c r="D207" s="16" t="n"/>
      <c r="E207" s="17" t="n"/>
      <c r="F207" s="17" t="n"/>
      <c r="G207" s="16" t="n"/>
      <c r="H207" s="16" t="n"/>
      <c r="I207" s="17" t="n"/>
    </row>
    <row r="208">
      <c r="A208" s="16" t="n"/>
      <c r="B208" s="16" t="n"/>
      <c r="C208" s="9" t="n"/>
      <c r="D208" s="16" t="n"/>
      <c r="E208" s="17" t="n"/>
      <c r="F208" s="17" t="n"/>
      <c r="G208" s="16" t="n"/>
      <c r="H208" s="16" t="n"/>
      <c r="I208" s="17" t="n"/>
    </row>
    <row r="209">
      <c r="A209" s="16" t="n"/>
      <c r="B209" s="16" t="n"/>
      <c r="C209" s="9" t="n"/>
      <c r="D209" s="16" t="n"/>
      <c r="E209" s="17" t="n"/>
      <c r="F209" s="17" t="n"/>
      <c r="G209" s="16" t="n"/>
      <c r="H209" s="16" t="n"/>
      <c r="I209" s="17" t="n"/>
    </row>
    <row r="210">
      <c r="A210" s="16" t="n"/>
      <c r="B210" s="16" t="n"/>
      <c r="C210" s="9" t="n"/>
      <c r="D210" s="16" t="n"/>
      <c r="E210" s="17" t="n"/>
      <c r="F210" s="17" t="n"/>
      <c r="G210" s="16" t="n"/>
      <c r="H210" s="16" t="n"/>
      <c r="I210" s="17" t="n"/>
    </row>
    <row r="211">
      <c r="A211" s="16" t="n"/>
      <c r="B211" s="16" t="n"/>
      <c r="C211" s="9" t="n"/>
      <c r="D211" s="16" t="n"/>
      <c r="E211" s="17" t="n"/>
      <c r="F211" s="17" t="n"/>
      <c r="G211" s="16" t="n"/>
      <c r="H211" s="16" t="n"/>
      <c r="I211" s="17" t="n"/>
    </row>
    <row r="212">
      <c r="A212" s="16" t="n"/>
      <c r="B212" s="16" t="n"/>
      <c r="C212" s="9" t="n"/>
      <c r="D212" s="16" t="n"/>
      <c r="E212" s="17" t="n"/>
      <c r="F212" s="17" t="n"/>
      <c r="G212" s="16" t="n"/>
      <c r="H212" s="16" t="n"/>
      <c r="I212" s="17" t="n"/>
    </row>
    <row r="213">
      <c r="A213" s="16" t="n"/>
      <c r="B213" s="16" t="n"/>
      <c r="C213" s="9" t="n"/>
      <c r="D213" s="16" t="n"/>
      <c r="E213" s="17" t="n"/>
      <c r="F213" s="17" t="n"/>
      <c r="G213" s="16" t="n"/>
      <c r="H213" s="16" t="n"/>
      <c r="I213" s="17" t="n"/>
    </row>
    <row r="214">
      <c r="A214" s="16" t="n"/>
      <c r="B214" s="16" t="n"/>
      <c r="C214" s="9" t="n"/>
      <c r="D214" s="16" t="n"/>
      <c r="E214" s="17" t="n"/>
      <c r="F214" s="17" t="n"/>
      <c r="G214" s="16" t="n"/>
      <c r="H214" s="16" t="n"/>
      <c r="I214" s="17" t="n"/>
    </row>
    <row r="215">
      <c r="A215" s="16" t="n"/>
      <c r="B215" s="16" t="n"/>
      <c r="C215" s="9" t="n"/>
      <c r="D215" s="16" t="n"/>
      <c r="E215" s="17" t="n"/>
      <c r="F215" s="17" t="n"/>
      <c r="G215" s="16" t="n"/>
      <c r="H215" s="16" t="n"/>
      <c r="I215" s="17" t="n"/>
    </row>
    <row r="216">
      <c r="A216" s="16" t="n"/>
      <c r="B216" s="16" t="n"/>
      <c r="C216" s="9" t="n"/>
      <c r="D216" s="16" t="n"/>
      <c r="E216" s="17" t="n"/>
      <c r="F216" s="17" t="n"/>
      <c r="G216" s="16" t="n"/>
      <c r="H216" s="16" t="n"/>
      <c r="I216" s="17" t="n"/>
    </row>
    <row r="217">
      <c r="A217" s="16" t="n"/>
      <c r="B217" s="16" t="n"/>
      <c r="C217" s="9" t="n"/>
      <c r="D217" s="16" t="n"/>
      <c r="E217" s="17" t="n"/>
      <c r="F217" s="17" t="n"/>
      <c r="G217" s="16" t="n"/>
      <c r="H217" s="16" t="n"/>
      <c r="I217" s="17" t="n"/>
    </row>
    <row r="218">
      <c r="A218" s="16" t="n"/>
      <c r="B218" s="16" t="n"/>
      <c r="C218" s="9" t="n"/>
      <c r="D218" s="16" t="n"/>
      <c r="E218" s="17" t="n"/>
      <c r="F218" s="17" t="n"/>
      <c r="G218" s="16" t="n"/>
      <c r="H218" s="16" t="n"/>
      <c r="I218" s="17" t="n"/>
    </row>
    <row r="219">
      <c r="A219" s="16" t="n"/>
      <c r="B219" s="16" t="n"/>
      <c r="C219" s="9" t="n"/>
      <c r="D219" s="16" t="n"/>
      <c r="E219" s="17" t="n"/>
      <c r="F219" s="17" t="n"/>
      <c r="G219" s="16" t="n"/>
      <c r="H219" s="16" t="n"/>
      <c r="I219" s="17" t="n"/>
    </row>
    <row r="220">
      <c r="A220" s="16" t="n"/>
      <c r="B220" s="16" t="n"/>
      <c r="C220" s="9" t="n"/>
      <c r="D220" s="16" t="n"/>
      <c r="E220" s="17" t="n"/>
      <c r="F220" s="17" t="n"/>
      <c r="G220" s="16" t="n"/>
      <c r="H220" s="16" t="n"/>
      <c r="I220" s="17" t="n"/>
    </row>
    <row r="221">
      <c r="A221" s="16" t="n"/>
      <c r="B221" s="16" t="n"/>
      <c r="C221" s="9" t="n"/>
      <c r="D221" s="16" t="n"/>
      <c r="E221" s="17" t="n"/>
      <c r="F221" s="17" t="n"/>
      <c r="G221" s="16" t="n"/>
      <c r="H221" s="16" t="n"/>
      <c r="I221" s="17" t="n"/>
    </row>
    <row r="222">
      <c r="A222" s="16" t="n"/>
      <c r="B222" s="16" t="n"/>
      <c r="C222" s="9" t="n"/>
      <c r="D222" s="16" t="n"/>
      <c r="E222" s="17" t="n"/>
      <c r="F222" s="17" t="n"/>
      <c r="G222" s="16" t="n"/>
      <c r="H222" s="16" t="n"/>
      <c r="I222" s="17" t="n"/>
    </row>
    <row r="223">
      <c r="A223" s="16" t="n"/>
      <c r="B223" s="16" t="n"/>
      <c r="C223" s="9" t="n"/>
      <c r="D223" s="16" t="n"/>
      <c r="E223" s="17" t="n"/>
      <c r="F223" s="17" t="n"/>
      <c r="G223" s="16" t="n"/>
      <c r="H223" s="16" t="n"/>
      <c r="I223" s="17" t="n"/>
    </row>
    <row r="224">
      <c r="A224" s="16" t="n"/>
      <c r="B224" s="16" t="n"/>
      <c r="C224" s="9" t="n"/>
      <c r="D224" s="16" t="n"/>
      <c r="E224" s="17" t="n"/>
      <c r="F224" s="17" t="n"/>
      <c r="G224" s="16" t="n"/>
      <c r="H224" s="16" t="n"/>
      <c r="I224" s="17" t="n"/>
    </row>
    <row r="225">
      <c r="A225" s="16" t="n"/>
      <c r="B225" s="16" t="n"/>
      <c r="C225" s="9" t="n"/>
      <c r="D225" s="16" t="n"/>
      <c r="E225" s="17" t="n"/>
      <c r="F225" s="17" t="n"/>
      <c r="G225" s="16" t="n"/>
      <c r="H225" s="16" t="n"/>
      <c r="I225" s="17" t="n"/>
    </row>
    <row r="226">
      <c r="A226" s="16" t="n"/>
      <c r="B226" s="16" t="n"/>
      <c r="C226" s="9" t="n"/>
      <c r="D226" s="16" t="n"/>
      <c r="E226" s="17" t="n"/>
      <c r="F226" s="17" t="n"/>
      <c r="G226" s="16" t="n"/>
      <c r="H226" s="16" t="n"/>
      <c r="I226" s="17" t="n"/>
    </row>
    <row r="227">
      <c r="A227" s="16" t="n"/>
      <c r="B227" s="16" t="n"/>
      <c r="C227" s="9" t="n"/>
      <c r="D227" s="16" t="n"/>
      <c r="E227" s="17" t="n"/>
      <c r="F227" s="17" t="n"/>
      <c r="G227" s="16" t="n"/>
      <c r="H227" s="16" t="n"/>
      <c r="I227" s="17" t="n"/>
    </row>
    <row r="228">
      <c r="A228" s="16" t="n"/>
      <c r="B228" s="16" t="n"/>
      <c r="C228" s="9" t="n"/>
      <c r="D228" s="16" t="n"/>
      <c r="E228" s="17" t="n"/>
      <c r="F228" s="17" t="n"/>
      <c r="G228" s="16" t="n"/>
      <c r="H228" s="16" t="n"/>
      <c r="I228" s="17" t="n"/>
    </row>
    <row r="229">
      <c r="A229" s="16" t="n"/>
      <c r="B229" s="16" t="n"/>
      <c r="C229" s="9" t="n"/>
      <c r="D229" s="16" t="n"/>
      <c r="E229" s="17" t="n"/>
      <c r="F229" s="17" t="n"/>
      <c r="G229" s="16" t="n"/>
      <c r="H229" s="16" t="n"/>
      <c r="I229" s="17" t="n"/>
    </row>
    <row r="230">
      <c r="A230" s="16" t="n"/>
      <c r="B230" s="16" t="n"/>
      <c r="C230" s="9" t="n"/>
      <c r="D230" s="16" t="n"/>
      <c r="E230" s="17" t="n"/>
      <c r="F230" s="17" t="n"/>
      <c r="G230" s="16" t="n"/>
      <c r="H230" s="16" t="n"/>
      <c r="I230" s="17" t="n"/>
    </row>
    <row r="231">
      <c r="A231" s="16" t="n"/>
      <c r="B231" s="16" t="n"/>
      <c r="C231" s="9" t="n"/>
      <c r="D231" s="16" t="n"/>
      <c r="E231" s="17" t="n"/>
      <c r="F231" s="17" t="n"/>
      <c r="G231" s="16" t="n"/>
      <c r="H231" s="16" t="n"/>
      <c r="I231" s="17" t="n"/>
    </row>
    <row r="232">
      <c r="A232" s="16" t="n"/>
      <c r="B232" s="16" t="n"/>
      <c r="C232" s="9" t="n"/>
      <c r="D232" s="16" t="n"/>
      <c r="E232" s="17" t="n"/>
      <c r="F232" s="17" t="n"/>
      <c r="G232" s="16" t="n"/>
      <c r="H232" s="16" t="n"/>
      <c r="I232" s="17" t="n"/>
    </row>
    <row r="233">
      <c r="A233" s="16" t="n"/>
      <c r="B233" s="16" t="n"/>
      <c r="C233" s="9" t="n"/>
      <c r="D233" s="16" t="n"/>
      <c r="E233" s="17" t="n"/>
      <c r="F233" s="17" t="n"/>
      <c r="G233" s="16" t="n"/>
      <c r="H233" s="16" t="n"/>
      <c r="I233" s="17" t="n"/>
    </row>
    <row r="234">
      <c r="A234" s="16" t="n"/>
      <c r="B234" s="16" t="n"/>
      <c r="C234" s="9" t="n"/>
      <c r="D234" s="16" t="n"/>
      <c r="E234" s="17" t="n"/>
      <c r="F234" s="17" t="n"/>
      <c r="G234" s="16" t="n"/>
      <c r="H234" s="16" t="n"/>
      <c r="I234" s="17" t="n"/>
    </row>
    <row r="235">
      <c r="A235" s="16" t="n"/>
      <c r="B235" s="16" t="n"/>
      <c r="C235" s="9" t="n"/>
      <c r="D235" s="16" t="n"/>
      <c r="E235" s="17" t="n"/>
      <c r="F235" s="17" t="n"/>
      <c r="G235" s="16" t="n"/>
      <c r="H235" s="16" t="n"/>
      <c r="I235" s="17" t="n"/>
    </row>
    <row r="236">
      <c r="A236" s="16" t="n"/>
      <c r="B236" s="16" t="n"/>
      <c r="C236" s="9" t="n"/>
      <c r="D236" s="16" t="n"/>
      <c r="E236" s="17" t="n"/>
      <c r="F236" s="17" t="n"/>
      <c r="G236" s="16" t="n"/>
      <c r="H236" s="16" t="n"/>
      <c r="I236" s="17" t="n"/>
    </row>
    <row r="237">
      <c r="A237" s="16" t="n"/>
      <c r="B237" s="16" t="n"/>
      <c r="C237" s="9" t="n"/>
      <c r="D237" s="16" t="n"/>
      <c r="E237" s="17" t="n"/>
      <c r="F237" s="17" t="n"/>
      <c r="G237" s="16" t="n"/>
      <c r="H237" s="16" t="n"/>
      <c r="I237" s="17" t="n"/>
    </row>
    <row r="238">
      <c r="A238" s="16" t="n"/>
      <c r="B238" s="16" t="n"/>
      <c r="C238" s="9" t="n"/>
      <c r="D238" s="16" t="n"/>
      <c r="E238" s="17" t="n"/>
      <c r="F238" s="17" t="n"/>
      <c r="G238" s="16" t="n"/>
      <c r="H238" s="16" t="n"/>
      <c r="I238" s="17" t="n"/>
    </row>
    <row r="239">
      <c r="A239" s="16" t="n"/>
      <c r="B239" s="16" t="n"/>
      <c r="C239" s="9" t="n"/>
      <c r="D239" s="16" t="n"/>
      <c r="E239" s="17" t="n"/>
      <c r="F239" s="17" t="n"/>
      <c r="G239" s="16" t="n"/>
      <c r="H239" s="16" t="n"/>
      <c r="I239" s="17" t="n"/>
    </row>
    <row r="240">
      <c r="A240" s="16" t="n"/>
      <c r="B240" s="16" t="n"/>
      <c r="C240" s="9" t="n"/>
      <c r="D240" s="16" t="n"/>
      <c r="E240" s="17" t="n"/>
      <c r="F240" s="17" t="n"/>
      <c r="G240" s="16" t="n"/>
      <c r="H240" s="16" t="n"/>
      <c r="I240" s="17" t="n"/>
    </row>
    <row r="241">
      <c r="A241" s="16" t="n"/>
      <c r="B241" s="16" t="n"/>
      <c r="C241" s="9" t="n"/>
      <c r="D241" s="16" t="n"/>
      <c r="E241" s="17" t="n"/>
      <c r="F241" s="17" t="n"/>
      <c r="G241" s="16" t="n"/>
      <c r="H241" s="16" t="n"/>
      <c r="I241" s="17" t="n"/>
    </row>
    <row r="242">
      <c r="A242" s="16" t="n"/>
      <c r="B242" s="16" t="n"/>
      <c r="C242" s="9" t="n"/>
      <c r="D242" s="16" t="n"/>
      <c r="E242" s="17" t="n"/>
      <c r="F242" s="17" t="n"/>
      <c r="G242" s="16" t="n"/>
      <c r="H242" s="16" t="n"/>
      <c r="I242" s="17" t="n"/>
    </row>
    <row r="243">
      <c r="A243" s="16" t="n"/>
      <c r="B243" s="16" t="n"/>
      <c r="C243" s="9" t="n"/>
      <c r="D243" s="16" t="n"/>
      <c r="E243" s="17" t="n"/>
      <c r="F243" s="17" t="n"/>
      <c r="G243" s="16" t="n"/>
      <c r="H243" s="16" t="n"/>
      <c r="I243" s="17" t="n"/>
    </row>
    <row r="244">
      <c r="A244" s="16" t="n"/>
      <c r="B244" s="16" t="n"/>
      <c r="C244" s="9" t="n"/>
      <c r="D244" s="16" t="n"/>
      <c r="E244" s="17" t="n"/>
      <c r="F244" s="17" t="n"/>
      <c r="G244" s="16" t="n"/>
      <c r="H244" s="16" t="n"/>
      <c r="I244" s="17" t="n"/>
    </row>
    <row r="245">
      <c r="A245" s="16" t="n"/>
      <c r="B245" s="16" t="n"/>
      <c r="C245" s="9" t="n"/>
      <c r="D245" s="16" t="n"/>
      <c r="E245" s="17" t="n"/>
      <c r="F245" s="17" t="n"/>
      <c r="G245" s="16" t="n"/>
      <c r="H245" s="16" t="n"/>
      <c r="I245" s="17" t="n"/>
    </row>
    <row r="246">
      <c r="A246" s="16" t="n"/>
      <c r="B246" s="16" t="n"/>
      <c r="C246" s="9" t="n"/>
      <c r="D246" s="16" t="n"/>
      <c r="E246" s="17" t="n"/>
      <c r="F246" s="17" t="n"/>
      <c r="G246" s="16" t="n"/>
      <c r="H246" s="16" t="n"/>
      <c r="I246" s="17" t="n"/>
    </row>
    <row r="247">
      <c r="A247" s="16" t="n"/>
      <c r="B247" s="16" t="n"/>
      <c r="C247" s="9" t="n"/>
      <c r="D247" s="16" t="n"/>
      <c r="E247" s="17" t="n"/>
      <c r="F247" s="17" t="n"/>
      <c r="G247" s="16" t="n"/>
      <c r="H247" s="16" t="n"/>
      <c r="I247" s="17" t="n"/>
    </row>
    <row r="248">
      <c r="A248" s="16" t="n"/>
      <c r="B248" s="16" t="n"/>
      <c r="C248" s="9" t="n"/>
      <c r="D248" s="16" t="n"/>
      <c r="E248" s="17" t="n"/>
      <c r="F248" s="17" t="n"/>
      <c r="G248" s="16" t="n"/>
      <c r="H248" s="16" t="n"/>
      <c r="I248" s="17" t="n"/>
    </row>
    <row r="249">
      <c r="A249" s="16" t="n"/>
      <c r="B249" s="16" t="n"/>
      <c r="C249" s="9" t="n"/>
      <c r="D249" s="16" t="n"/>
      <c r="E249" s="17" t="n"/>
      <c r="F249" s="17" t="n"/>
      <c r="G249" s="16" t="n"/>
      <c r="H249" s="16" t="n"/>
      <c r="I249" s="17" t="n"/>
    </row>
    <row r="250">
      <c r="A250" s="16" t="n"/>
      <c r="B250" s="16" t="n"/>
      <c r="C250" s="9" t="n"/>
      <c r="D250" s="16" t="n"/>
      <c r="E250" s="17" t="n"/>
      <c r="F250" s="17" t="n"/>
      <c r="G250" s="16" t="n"/>
      <c r="H250" s="16" t="n"/>
      <c r="I250" s="17" t="n"/>
    </row>
    <row r="251">
      <c r="A251" s="16" t="n"/>
      <c r="B251" s="16" t="n"/>
      <c r="C251" s="9" t="n"/>
      <c r="D251" s="16" t="n"/>
      <c r="E251" s="17" t="n"/>
      <c r="F251" s="17" t="n"/>
      <c r="G251" s="16" t="n"/>
      <c r="H251" s="16" t="n"/>
      <c r="I251" s="17" t="n"/>
    </row>
    <row r="252">
      <c r="A252" s="16" t="n"/>
      <c r="B252" s="16" t="n"/>
      <c r="C252" s="9" t="n"/>
      <c r="D252" s="16" t="n"/>
      <c r="E252" s="17" t="n"/>
      <c r="F252" s="17" t="n"/>
      <c r="G252" s="16" t="n"/>
      <c r="H252" s="16" t="n"/>
      <c r="I252" s="17" t="n"/>
    </row>
    <row r="253">
      <c r="A253" s="16" t="n"/>
      <c r="B253" s="16" t="n"/>
      <c r="C253" s="9" t="n"/>
      <c r="D253" s="16" t="n"/>
      <c r="E253" s="17" t="n"/>
      <c r="F253" s="17" t="n"/>
      <c r="G253" s="16" t="n"/>
      <c r="H253" s="16" t="n"/>
      <c r="I253" s="17" t="n"/>
    </row>
    <row r="254">
      <c r="A254" s="16" t="n"/>
      <c r="B254" s="16" t="n"/>
      <c r="C254" s="9" t="n"/>
      <c r="D254" s="16" t="n"/>
      <c r="E254" s="17" t="n"/>
      <c r="F254" s="17" t="n"/>
      <c r="G254" s="16" t="n"/>
      <c r="H254" s="16" t="n"/>
      <c r="I254" s="17" t="n"/>
    </row>
    <row r="255">
      <c r="A255" s="16" t="n"/>
      <c r="B255" s="16" t="n"/>
      <c r="C255" s="9" t="n"/>
      <c r="D255" s="16" t="n"/>
      <c r="E255" s="17" t="n"/>
      <c r="F255" s="17" t="n"/>
      <c r="G255" s="16" t="n"/>
      <c r="H255" s="16" t="n"/>
      <c r="I255" s="17" t="n"/>
    </row>
    <row r="256">
      <c r="A256" s="16" t="n"/>
      <c r="B256" s="16" t="n"/>
      <c r="C256" s="9" t="n"/>
      <c r="D256" s="16" t="n"/>
      <c r="E256" s="17" t="n"/>
      <c r="F256" s="17" t="n"/>
      <c r="G256" s="16" t="n"/>
      <c r="H256" s="16" t="n"/>
      <c r="I256" s="17" t="n"/>
    </row>
    <row r="257">
      <c r="A257" s="16" t="n"/>
      <c r="B257" s="16" t="n"/>
      <c r="C257" s="9" t="n"/>
      <c r="D257" s="16" t="n"/>
      <c r="E257" s="17" t="n"/>
      <c r="F257" s="17" t="n"/>
      <c r="G257" s="16" t="n"/>
      <c r="H257" s="16" t="n"/>
      <c r="I257" s="17" t="n"/>
    </row>
    <row r="258">
      <c r="A258" s="16" t="n"/>
      <c r="B258" s="16" t="n"/>
      <c r="C258" s="9" t="n"/>
      <c r="D258" s="16" t="n"/>
      <c r="E258" s="17" t="n"/>
      <c r="F258" s="17" t="n"/>
      <c r="G258" s="16" t="n"/>
      <c r="H258" s="16" t="n"/>
      <c r="I258" s="17" t="n"/>
    </row>
    <row r="259">
      <c r="A259" s="16" t="n"/>
      <c r="B259" s="16" t="n"/>
      <c r="C259" s="9" t="n"/>
      <c r="D259" s="16" t="n"/>
      <c r="E259" s="17" t="n"/>
      <c r="F259" s="17" t="n"/>
      <c r="G259" s="16" t="n"/>
      <c r="H259" s="16" t="n"/>
      <c r="I259" s="17" t="n"/>
    </row>
    <row r="260">
      <c r="A260" s="16" t="n"/>
      <c r="B260" s="16" t="n"/>
      <c r="C260" s="9" t="n"/>
      <c r="D260" s="16" t="n"/>
      <c r="E260" s="17" t="n"/>
      <c r="F260" s="17" t="n"/>
      <c r="G260" s="16" t="n"/>
      <c r="H260" s="16" t="n"/>
      <c r="I260" s="17" t="n"/>
    </row>
    <row r="261">
      <c r="A261" s="16" t="n"/>
      <c r="B261" s="16" t="n"/>
      <c r="C261" s="9" t="n"/>
      <c r="D261" s="16" t="n"/>
      <c r="E261" s="17" t="n"/>
      <c r="F261" s="17" t="n"/>
      <c r="G261" s="16" t="n"/>
      <c r="H261" s="16" t="n"/>
      <c r="I261" s="17" t="n"/>
    </row>
    <row r="262">
      <c r="A262" s="16" t="n"/>
      <c r="B262" s="16" t="n"/>
      <c r="C262" s="9" t="n"/>
      <c r="D262" s="16" t="n"/>
      <c r="E262" s="17" t="n"/>
      <c r="F262" s="17" t="n"/>
      <c r="G262" s="16" t="n"/>
      <c r="H262" s="16" t="n"/>
      <c r="I262" s="17" t="n"/>
    </row>
    <row r="263">
      <c r="A263" s="16" t="n"/>
      <c r="B263" s="16" t="n"/>
      <c r="C263" s="9" t="n"/>
      <c r="D263" s="16" t="n"/>
      <c r="E263" s="17" t="n"/>
      <c r="F263" s="17" t="n"/>
      <c r="G263" s="16" t="n"/>
      <c r="H263" s="16" t="n"/>
      <c r="I263" s="17" t="n"/>
    </row>
    <row r="264">
      <c r="A264" s="16" t="n"/>
      <c r="B264" s="16" t="n"/>
      <c r="C264" s="9" t="n"/>
      <c r="D264" s="16" t="n"/>
      <c r="E264" s="17" t="n"/>
      <c r="F264" s="17" t="n"/>
      <c r="G264" s="16" t="n"/>
      <c r="H264" s="16" t="n"/>
      <c r="I264" s="17" t="n"/>
    </row>
    <row r="265">
      <c r="A265" s="16" t="n"/>
      <c r="B265" s="16" t="n"/>
      <c r="C265" s="9" t="n"/>
      <c r="D265" s="16" t="n"/>
      <c r="E265" s="17" t="n"/>
      <c r="F265" s="17" t="n"/>
      <c r="G265" s="16" t="n"/>
      <c r="H265" s="16" t="n"/>
      <c r="I265" s="17" t="n"/>
    </row>
    <row r="266">
      <c r="A266" s="16" t="n"/>
      <c r="B266" s="16" t="n"/>
      <c r="C266" s="9" t="n"/>
      <c r="D266" s="16" t="n"/>
      <c r="E266" s="17" t="n"/>
      <c r="F266" s="17" t="n"/>
      <c r="G266" s="16" t="n"/>
      <c r="H266" s="16" t="n"/>
      <c r="I266" s="17" t="n"/>
    </row>
    <row r="267">
      <c r="A267" s="16" t="n"/>
      <c r="B267" s="16" t="n"/>
      <c r="C267" s="9" t="n"/>
      <c r="D267" s="16" t="n"/>
      <c r="E267" s="17" t="n"/>
      <c r="F267" s="17" t="n"/>
      <c r="G267" s="16" t="n"/>
      <c r="H267" s="16" t="n"/>
      <c r="I267" s="17" t="n"/>
    </row>
    <row r="268">
      <c r="A268" s="16" t="n"/>
      <c r="B268" s="16" t="n"/>
      <c r="C268" s="9" t="n"/>
      <c r="D268" s="16" t="n"/>
      <c r="E268" s="17" t="n"/>
      <c r="F268" s="17" t="n"/>
      <c r="G268" s="16" t="n"/>
      <c r="H268" s="16" t="n"/>
      <c r="I268" s="17" t="n"/>
    </row>
    <row r="269">
      <c r="A269" s="16" t="n"/>
      <c r="B269" s="16" t="n"/>
      <c r="C269" s="9" t="n"/>
      <c r="D269" s="16" t="n"/>
      <c r="E269" s="17" t="n"/>
      <c r="F269" s="17" t="n"/>
      <c r="G269" s="16" t="n"/>
      <c r="H269" s="16" t="n"/>
      <c r="I269" s="17" t="n"/>
    </row>
    <row r="270">
      <c r="A270" s="16" t="n"/>
      <c r="B270" s="16" t="n"/>
      <c r="C270" s="9" t="n"/>
      <c r="D270" s="16" t="n"/>
      <c r="E270" s="17" t="n"/>
      <c r="F270" s="17" t="n"/>
      <c r="G270" s="16" t="n"/>
      <c r="H270" s="16" t="n"/>
      <c r="I270" s="17" t="n"/>
    </row>
    <row r="271">
      <c r="A271" s="16" t="n"/>
      <c r="B271" s="16" t="n"/>
      <c r="C271" s="9" t="n"/>
      <c r="D271" s="16" t="n"/>
      <c r="E271" s="17" t="n"/>
      <c r="F271" s="17" t="n"/>
      <c r="G271" s="16" t="n"/>
      <c r="H271" s="16" t="n"/>
      <c r="I271" s="17" t="n"/>
    </row>
    <row r="272">
      <c r="A272" s="16" t="n"/>
      <c r="B272" s="16" t="n"/>
      <c r="C272" s="9" t="n"/>
      <c r="D272" s="16" t="n"/>
      <c r="E272" s="17" t="n"/>
      <c r="F272" s="17" t="n"/>
      <c r="G272" s="16" t="n"/>
      <c r="H272" s="16" t="n"/>
      <c r="I272" s="17" t="n"/>
    </row>
    <row r="273">
      <c r="A273" s="16" t="n"/>
      <c r="B273" s="16" t="n"/>
      <c r="C273" s="9" t="n"/>
      <c r="D273" s="16" t="n"/>
      <c r="E273" s="17" t="n"/>
      <c r="F273" s="17" t="n"/>
      <c r="G273" s="16" t="n"/>
      <c r="H273" s="16" t="n"/>
      <c r="I273" s="17" t="n"/>
    </row>
    <row r="274">
      <c r="A274" s="16" t="n"/>
      <c r="B274" s="16" t="n"/>
      <c r="C274" s="9" t="n"/>
      <c r="D274" s="16" t="n"/>
      <c r="E274" s="17" t="n"/>
      <c r="F274" s="17" t="n"/>
      <c r="G274" s="16" t="n"/>
      <c r="H274" s="16" t="n"/>
      <c r="I274" s="17" t="n"/>
    </row>
    <row r="275">
      <c r="A275" s="16" t="n"/>
      <c r="B275" s="16" t="n"/>
      <c r="C275" s="9" t="n"/>
      <c r="D275" s="16" t="n"/>
      <c r="E275" s="17" t="n"/>
      <c r="F275" s="17" t="n"/>
      <c r="G275" s="16" t="n"/>
      <c r="H275" s="16" t="n"/>
      <c r="I275" s="17" t="n"/>
    </row>
    <row r="276">
      <c r="A276" s="16" t="n"/>
      <c r="B276" s="16" t="n"/>
      <c r="C276" s="9" t="n"/>
      <c r="D276" s="16" t="n"/>
      <c r="E276" s="17" t="n"/>
      <c r="F276" s="17" t="n"/>
      <c r="G276" s="16" t="n"/>
      <c r="H276" s="16" t="n"/>
      <c r="I276" s="17" t="n"/>
    </row>
    <row r="277">
      <c r="A277" s="16" t="n"/>
      <c r="B277" s="16" t="n"/>
      <c r="C277" s="9" t="n"/>
      <c r="D277" s="16" t="n"/>
      <c r="E277" s="17" t="n"/>
      <c r="F277" s="17" t="n"/>
      <c r="G277" s="16" t="n"/>
      <c r="H277" s="16" t="n"/>
      <c r="I277" s="17" t="n"/>
    </row>
    <row r="278">
      <c r="A278" s="16" t="n"/>
      <c r="B278" s="16" t="n"/>
      <c r="C278" s="9" t="n"/>
      <c r="D278" s="16" t="n"/>
      <c r="E278" s="17" t="n"/>
      <c r="F278" s="17" t="n"/>
      <c r="G278" s="16" t="n"/>
      <c r="H278" s="16" t="n"/>
      <c r="I278" s="17" t="n"/>
    </row>
    <row r="279">
      <c r="A279" s="16" t="n"/>
      <c r="B279" s="16" t="n"/>
      <c r="C279" s="9" t="n"/>
      <c r="D279" s="16" t="n"/>
      <c r="E279" s="17" t="n"/>
      <c r="F279" s="17" t="n"/>
      <c r="G279" s="16" t="n"/>
      <c r="H279" s="16" t="n"/>
      <c r="I279" s="17" t="n"/>
    </row>
    <row r="280">
      <c r="A280" s="16" t="n"/>
      <c r="B280" s="16" t="n"/>
      <c r="C280" s="9" t="n"/>
      <c r="D280" s="16" t="n"/>
      <c r="E280" s="17" t="n"/>
      <c r="F280" s="17" t="n"/>
      <c r="G280" s="16" t="n"/>
      <c r="H280" s="16" t="n"/>
      <c r="I280" s="17" t="n"/>
    </row>
    <row r="281">
      <c r="A281" s="16" t="n"/>
      <c r="B281" s="16" t="n"/>
      <c r="C281" s="9" t="n"/>
      <c r="D281" s="16" t="n"/>
      <c r="E281" s="17" t="n"/>
      <c r="F281" s="17" t="n"/>
      <c r="G281" s="16" t="n"/>
      <c r="H281" s="16" t="n"/>
      <c r="I281" s="17" t="n"/>
    </row>
    <row r="282">
      <c r="A282" s="16" t="n"/>
      <c r="B282" s="16" t="n"/>
      <c r="C282" s="9" t="n"/>
      <c r="D282" s="16" t="n"/>
      <c r="E282" s="17" t="n"/>
      <c r="F282" s="17" t="n"/>
      <c r="G282" s="16" t="n"/>
      <c r="H282" s="16" t="n"/>
      <c r="I282" s="17" t="n"/>
    </row>
    <row r="283">
      <c r="A283" s="16" t="n"/>
      <c r="B283" s="16" t="n"/>
      <c r="C283" s="9" t="n"/>
      <c r="D283" s="16" t="n"/>
      <c r="E283" s="17" t="n"/>
      <c r="F283" s="17" t="n"/>
      <c r="G283" s="16" t="n"/>
      <c r="H283" s="16" t="n"/>
      <c r="I283" s="17" t="n"/>
    </row>
    <row r="284">
      <c r="A284" s="16" t="n"/>
      <c r="B284" s="16" t="n"/>
      <c r="C284" s="9" t="n"/>
      <c r="D284" s="16" t="n"/>
      <c r="E284" s="17" t="n"/>
      <c r="F284" s="17" t="n"/>
      <c r="G284" s="16" t="n"/>
      <c r="H284" s="16" t="n"/>
      <c r="I284" s="17" t="n"/>
    </row>
    <row r="285">
      <c r="A285" s="16" t="n"/>
      <c r="B285" s="16" t="n"/>
      <c r="C285" s="9" t="n"/>
      <c r="D285" s="16" t="n"/>
      <c r="E285" s="17" t="n"/>
      <c r="F285" s="17" t="n"/>
      <c r="G285" s="16" t="n"/>
      <c r="H285" s="16" t="n"/>
      <c r="I285" s="17" t="n"/>
    </row>
    <row r="286">
      <c r="A286" s="16" t="n"/>
      <c r="B286" s="16" t="n"/>
      <c r="C286" s="9" t="n"/>
      <c r="D286" s="16" t="n"/>
      <c r="E286" s="17" t="n"/>
      <c r="F286" s="17" t="n"/>
      <c r="G286" s="16" t="n"/>
      <c r="H286" s="16" t="n"/>
      <c r="I286" s="17" t="n"/>
    </row>
    <row r="287">
      <c r="A287" s="16" t="n"/>
      <c r="B287" s="16" t="n"/>
      <c r="C287" s="9" t="n"/>
      <c r="D287" s="16" t="n"/>
      <c r="E287" s="17" t="n"/>
      <c r="F287" s="17" t="n"/>
      <c r="G287" s="16" t="n"/>
      <c r="H287" s="16" t="n"/>
      <c r="I287" s="17" t="n"/>
    </row>
    <row r="288">
      <c r="A288" s="16" t="n"/>
      <c r="B288" s="16" t="n"/>
      <c r="C288" s="9" t="n"/>
      <c r="D288" s="16" t="n"/>
      <c r="E288" s="17" t="n"/>
      <c r="F288" s="17" t="n"/>
      <c r="G288" s="16" t="n"/>
      <c r="H288" s="16" t="n"/>
      <c r="I288" s="17" t="n"/>
    </row>
    <row r="289">
      <c r="A289" s="16" t="n"/>
      <c r="B289" s="16" t="n"/>
      <c r="C289" s="9" t="n"/>
      <c r="D289" s="16" t="n"/>
      <c r="E289" s="17" t="n"/>
      <c r="F289" s="17" t="n"/>
      <c r="G289" s="16" t="n"/>
      <c r="H289" s="16" t="n"/>
      <c r="I289" s="17" t="n"/>
    </row>
    <row r="290">
      <c r="A290" s="16" t="n"/>
      <c r="B290" s="16" t="n"/>
      <c r="C290" s="9" t="n"/>
      <c r="D290" s="16" t="n"/>
      <c r="E290" s="17" t="n"/>
      <c r="F290" s="17" t="n"/>
      <c r="G290" s="16" t="n"/>
      <c r="H290" s="16" t="n"/>
      <c r="I290" s="17" t="n"/>
    </row>
    <row r="291">
      <c r="A291" s="16" t="n"/>
      <c r="B291" s="16" t="n"/>
      <c r="C291" s="9" t="n"/>
      <c r="D291" s="16" t="n"/>
      <c r="E291" s="17" t="n"/>
      <c r="F291" s="17" t="n"/>
      <c r="G291" s="16" t="n"/>
      <c r="H291" s="16" t="n"/>
      <c r="I291" s="17" t="n"/>
    </row>
    <row r="292">
      <c r="A292" s="16" t="n"/>
      <c r="B292" s="16" t="n"/>
      <c r="C292" s="9" t="n"/>
      <c r="D292" s="16" t="n"/>
      <c r="E292" s="17" t="n"/>
      <c r="F292" s="17" t="n"/>
      <c r="G292" s="16" t="n"/>
      <c r="H292" s="16" t="n"/>
      <c r="I292" s="17" t="n"/>
    </row>
    <row r="293">
      <c r="A293" s="16" t="n"/>
      <c r="B293" s="16" t="n"/>
      <c r="C293" s="9" t="n"/>
      <c r="D293" s="16" t="n"/>
      <c r="E293" s="17" t="n"/>
      <c r="F293" s="17" t="n"/>
      <c r="G293" s="16" t="n"/>
      <c r="H293" s="16" t="n"/>
      <c r="I293" s="17" t="n"/>
    </row>
    <row r="294">
      <c r="A294" s="16" t="n"/>
      <c r="B294" s="16" t="n"/>
      <c r="C294" s="9" t="n"/>
      <c r="D294" s="16" t="n"/>
      <c r="E294" s="17" t="n"/>
      <c r="F294" s="17" t="n"/>
      <c r="G294" s="16" t="n"/>
      <c r="H294" s="16" t="n"/>
      <c r="I294" s="17" t="n"/>
    </row>
    <row r="295">
      <c r="A295" s="16" t="n"/>
      <c r="B295" s="16" t="n"/>
      <c r="C295" s="9" t="n"/>
      <c r="D295" s="16" t="n"/>
      <c r="E295" s="17" t="n"/>
      <c r="F295" s="17" t="n"/>
      <c r="G295" s="16" t="n"/>
      <c r="H295" s="16" t="n"/>
      <c r="I295" s="17" t="n"/>
    </row>
    <row r="296">
      <c r="A296" s="16" t="n"/>
      <c r="B296" s="16" t="n"/>
      <c r="C296" s="9" t="n"/>
      <c r="D296" s="16" t="n"/>
      <c r="E296" s="17" t="n"/>
      <c r="F296" s="17" t="n"/>
      <c r="G296" s="16" t="n"/>
      <c r="H296" s="16" t="n"/>
      <c r="I296" s="17" t="n"/>
    </row>
    <row r="297">
      <c r="A297" s="16" t="n"/>
      <c r="B297" s="16" t="n"/>
      <c r="C297" s="9" t="n"/>
      <c r="D297" s="16" t="n"/>
      <c r="E297" s="17" t="n"/>
      <c r="F297" s="17" t="n"/>
      <c r="G297" s="16" t="n"/>
      <c r="H297" s="16" t="n"/>
      <c r="I297" s="17" t="n"/>
    </row>
    <row r="298">
      <c r="A298" s="16" t="n"/>
      <c r="B298" s="16" t="n"/>
      <c r="C298" s="9" t="n"/>
      <c r="D298" s="16" t="n"/>
      <c r="E298" s="17" t="n"/>
      <c r="F298" s="17" t="n"/>
      <c r="G298" s="16" t="n"/>
      <c r="H298" s="16" t="n"/>
      <c r="I298" s="17" t="n"/>
    </row>
    <row r="299">
      <c r="A299" s="16" t="n"/>
      <c r="B299" s="16" t="n"/>
      <c r="C299" s="9" t="n"/>
      <c r="D299" s="16" t="n"/>
      <c r="E299" s="17" t="n"/>
      <c r="F299" s="17" t="n"/>
      <c r="G299" s="16" t="n"/>
      <c r="H299" s="16" t="n"/>
      <c r="I299" s="17" t="n"/>
    </row>
    <row r="300">
      <c r="A300" s="16" t="n"/>
      <c r="B300" s="16" t="n"/>
      <c r="C300" s="9" t="n"/>
      <c r="D300" s="16" t="n"/>
      <c r="E300" s="17" t="n"/>
      <c r="F300" s="17" t="n"/>
      <c r="G300" s="16" t="n"/>
      <c r="H300" s="16" t="n"/>
      <c r="I300" s="17" t="n"/>
    </row>
    <row r="301">
      <c r="A301" s="16" t="n"/>
      <c r="B301" s="16" t="n"/>
      <c r="C301" s="9" t="n"/>
      <c r="D301" s="16" t="n"/>
      <c r="E301" s="17" t="n"/>
      <c r="F301" s="17" t="n"/>
      <c r="G301" s="16" t="n"/>
      <c r="H301" s="16" t="n"/>
      <c r="I301" s="17" t="n"/>
    </row>
    <row r="302">
      <c r="A302" s="16" t="n"/>
      <c r="B302" s="16" t="n"/>
      <c r="C302" s="9" t="n"/>
      <c r="D302" s="16" t="n"/>
      <c r="E302" s="17" t="n"/>
      <c r="F302" s="17" t="n"/>
      <c r="G302" s="16" t="n"/>
      <c r="H302" s="16" t="n"/>
      <c r="I302" s="17" t="n"/>
    </row>
    <row r="303">
      <c r="A303" s="16" t="n"/>
      <c r="B303" s="16" t="n"/>
      <c r="C303" s="9" t="n"/>
      <c r="D303" s="16" t="n"/>
      <c r="E303" s="17" t="n"/>
      <c r="F303" s="17" t="n"/>
      <c r="G303" s="16" t="n"/>
      <c r="H303" s="16" t="n"/>
      <c r="I303" s="17" t="n"/>
    </row>
    <row r="304">
      <c r="A304" s="16" t="n"/>
      <c r="B304" s="16" t="n"/>
      <c r="C304" s="9" t="n"/>
      <c r="D304" s="16" t="n"/>
      <c r="E304" s="17" t="n"/>
      <c r="F304" s="17" t="n"/>
      <c r="G304" s="16" t="n"/>
      <c r="H304" s="16" t="n"/>
      <c r="I304" s="17" t="n"/>
    </row>
    <row r="305">
      <c r="A305" s="16" t="n"/>
      <c r="B305" s="16" t="n"/>
      <c r="C305" s="9" t="n"/>
      <c r="D305" s="16" t="n"/>
      <c r="E305" s="17" t="n"/>
      <c r="F305" s="17" t="n"/>
      <c r="G305" s="16" t="n"/>
      <c r="H305" s="16" t="n"/>
      <c r="I305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I305"/>
  <mergeCells count="1">
    <mergeCell ref="A2:I2"/>
  </mergeCells>
  <conditionalFormatting sqref="G6:G305">
    <cfRule type="expression" priority="1" dxfId="0">
      <formula>OR(G6="Pending Review",G6="Draft",G6="Needs Review",G6="Suggested")</formula>
    </cfRule>
    <cfRule type="expression" priority="2" dxfId="1">
      <formula>OR(G6="Rejected",G6="Expired")</formula>
    </cfRule>
  </conditionalFormatting>
  <dataValidations count="2">
    <dataValidation sqref="E6:E306" showDropDown="0" showInputMessage="0" showErrorMessage="0" allowBlank="1" errorTitle="Invalid value" error="Pick a value from the list." type="list">
      <formula1>=Lists!$U$2:$U$1000</formula1>
    </dataValidation>
    <dataValidation sqref="I6:I306" showDropDown="0" showInputMessage="0" showErrorMessage="1" allowBlank="1" errorTitle="Invalid value" error="Pick a value from the list." type="list">
      <formula1>=Lists!$D$2:$D$60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J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8" customWidth="1" min="3" max="3"/>
    <col width="14" customWidth="1" min="4" max="4"/>
    <col width="16" customWidth="1" min="5" max="5"/>
    <col width="18" customWidth="1" min="6" max="6"/>
    <col width="18" customWidth="1" min="7" max="7"/>
    <col width="12" customWidth="1" min="8" max="8"/>
    <col width="14" customWidth="1" min="9" max="9"/>
    <col width="30" customWidth="1" min="10" max="10"/>
  </cols>
  <sheetData>
    <row r="1">
      <c r="A1" s="4" t="inlineStr">
        <is>
          <t>Pricing Schedule (client-facing basis)</t>
        </is>
      </c>
    </row>
    <row r="2" ht="48" customHeight="1">
      <c r="A2" s="3" t="inlineStr">
        <is>
          <t>Tendered unit rates and amounts from the application. Amount = ROUND(quantity x unit rate, 2). 'Engine amount' is the authoritative application value; 'Check' flags any difference (stale or edited formula).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item_code</t>
        </is>
      </c>
      <c r="B4" t="inlineStr">
        <is>
          <t>description</t>
        </is>
      </c>
      <c r="C4" t="inlineStr">
        <is>
          <t>unit</t>
        </is>
      </c>
      <c r="D4" t="inlineStr">
        <is>
          <t>quantity</t>
        </is>
      </c>
      <c r="E4" t="inlineStr">
        <is>
          <t>unit_rate</t>
        </is>
      </c>
      <c r="F4" t="inlineStr">
        <is>
          <t>amount</t>
        </is>
      </c>
      <c r="G4" t="inlineStr">
        <is>
          <t>engine_amount</t>
        </is>
      </c>
      <c r="H4" t="inlineStr">
        <is>
          <t>check</t>
        </is>
      </c>
      <c r="I4" t="inlineStr">
        <is>
          <t>status</t>
        </is>
      </c>
      <c r="J4" t="inlineStr">
        <is>
          <t>flags</t>
        </is>
      </c>
    </row>
    <row r="5" ht="34" customHeight="1">
      <c r="A5" s="15" t="inlineStr">
        <is>
          <t>Item</t>
        </is>
      </c>
      <c r="B5" s="15" t="inlineStr">
        <is>
          <t>Description</t>
        </is>
      </c>
      <c r="C5" s="15" t="inlineStr">
        <is>
          <t>Unit</t>
        </is>
      </c>
      <c r="D5" s="15" t="inlineStr">
        <is>
          <t>Quantity</t>
        </is>
      </c>
      <c r="E5" s="15" t="inlineStr">
        <is>
          <t>Unit rate (SAR)</t>
        </is>
      </c>
      <c r="F5" s="15" t="inlineStr">
        <is>
          <t>Amount (SAR)</t>
        </is>
      </c>
      <c r="G5" s="15" t="inlineStr">
        <is>
          <t>Engine amount</t>
        </is>
      </c>
      <c r="H5" s="15" t="inlineStr">
        <is>
          <t>Check</t>
        </is>
      </c>
      <c r="I5" s="15" t="inlineStr">
        <is>
          <t>Status</t>
        </is>
      </c>
      <c r="J5" s="15" t="inlineStr">
        <is>
          <t>Flags</t>
        </is>
      </c>
    </row>
    <row r="6">
      <c r="A6" s="16" t="n"/>
      <c r="B6" s="9" t="n"/>
      <c r="C6" s="16" t="n"/>
      <c r="D6" s="18" t="n"/>
      <c r="E6" s="19" t="n"/>
      <c r="F6" s="20">
        <f>IF(OR(D6="",E6=""),"",ROUND(D6*E6,2))</f>
        <v/>
      </c>
      <c r="G6" s="19" t="n"/>
      <c r="H6" s="21">
        <f>IF(OR(F6="",G6=""),"",IF(ABS(F6-G6)&gt;0.01,"MISMATCH","OK"))</f>
        <v/>
      </c>
      <c r="I6" s="16" t="n"/>
      <c r="J6" s="9" t="n"/>
    </row>
    <row r="7">
      <c r="A7" s="16" t="n"/>
      <c r="B7" s="9" t="n"/>
      <c r="C7" s="16" t="n"/>
      <c r="D7" s="18" t="n"/>
      <c r="E7" s="19" t="n"/>
      <c r="F7" s="20">
        <f>IF(OR(D7="",E7=""),"",ROUND(D7*E7,2))</f>
        <v/>
      </c>
      <c r="G7" s="19" t="n"/>
      <c r="H7" s="21">
        <f>IF(OR(F7="",G7=""),"",IF(ABS(F7-G7)&gt;0.01,"MISMATCH","OK"))</f>
        <v/>
      </c>
      <c r="I7" s="16" t="n"/>
      <c r="J7" s="9" t="n"/>
    </row>
    <row r="8">
      <c r="A8" s="16" t="n"/>
      <c r="B8" s="9" t="n"/>
      <c r="C8" s="16" t="n"/>
      <c r="D8" s="18" t="n"/>
      <c r="E8" s="19" t="n"/>
      <c r="F8" s="20">
        <f>IF(OR(D8="",E8=""),"",ROUND(D8*E8,2))</f>
        <v/>
      </c>
      <c r="G8" s="19" t="n"/>
      <c r="H8" s="21">
        <f>IF(OR(F8="",G8=""),"",IF(ABS(F8-G8)&gt;0.01,"MISMATCH","OK"))</f>
        <v/>
      </c>
      <c r="I8" s="16" t="n"/>
      <c r="J8" s="9" t="n"/>
    </row>
    <row r="9">
      <c r="A9" s="16" t="n"/>
      <c r="B9" s="9" t="n"/>
      <c r="C9" s="16" t="n"/>
      <c r="D9" s="18" t="n"/>
      <c r="E9" s="19" t="n"/>
      <c r="F9" s="20">
        <f>IF(OR(D9="",E9=""),"",ROUND(D9*E9,2))</f>
        <v/>
      </c>
      <c r="G9" s="19" t="n"/>
      <c r="H9" s="21">
        <f>IF(OR(F9="",G9=""),"",IF(ABS(F9-G9)&gt;0.01,"MISMATCH","OK"))</f>
        <v/>
      </c>
      <c r="I9" s="16" t="n"/>
      <c r="J9" s="9" t="n"/>
    </row>
    <row r="10">
      <c r="A10" s="16" t="n"/>
      <c r="B10" s="9" t="n"/>
      <c r="C10" s="16" t="n"/>
      <c r="D10" s="18" t="n"/>
      <c r="E10" s="19" t="n"/>
      <c r="F10" s="20">
        <f>IF(OR(D10="",E10=""),"",ROUND(D10*E10,2))</f>
        <v/>
      </c>
      <c r="G10" s="19" t="n"/>
      <c r="H10" s="21">
        <f>IF(OR(F10="",G10=""),"",IF(ABS(F10-G10)&gt;0.01,"MISMATCH","OK"))</f>
        <v/>
      </c>
      <c r="I10" s="16" t="n"/>
      <c r="J10" s="9" t="n"/>
    </row>
    <row r="11">
      <c r="A11" s="16" t="n"/>
      <c r="B11" s="9" t="n"/>
      <c r="C11" s="16" t="n"/>
      <c r="D11" s="18" t="n"/>
      <c r="E11" s="19" t="n"/>
      <c r="F11" s="20">
        <f>IF(OR(D11="",E11=""),"",ROUND(D11*E11,2))</f>
        <v/>
      </c>
      <c r="G11" s="19" t="n"/>
      <c r="H11" s="21">
        <f>IF(OR(F11="",G11=""),"",IF(ABS(F11-G11)&gt;0.01,"MISMATCH","OK"))</f>
        <v/>
      </c>
      <c r="I11" s="16" t="n"/>
      <c r="J11" s="9" t="n"/>
    </row>
    <row r="12">
      <c r="A12" s="16" t="n"/>
      <c r="B12" s="9" t="n"/>
      <c r="C12" s="16" t="n"/>
      <c r="D12" s="18" t="n"/>
      <c r="E12" s="19" t="n"/>
      <c r="F12" s="20">
        <f>IF(OR(D12="",E12=""),"",ROUND(D12*E12,2))</f>
        <v/>
      </c>
      <c r="G12" s="19" t="n"/>
      <c r="H12" s="21">
        <f>IF(OR(F12="",G12=""),"",IF(ABS(F12-G12)&gt;0.01,"MISMATCH","OK"))</f>
        <v/>
      </c>
      <c r="I12" s="16" t="n"/>
      <c r="J12" s="9" t="n"/>
    </row>
    <row r="13">
      <c r="A13" s="16" t="n"/>
      <c r="B13" s="9" t="n"/>
      <c r="C13" s="16" t="n"/>
      <c r="D13" s="18" t="n"/>
      <c r="E13" s="19" t="n"/>
      <c r="F13" s="20">
        <f>IF(OR(D13="",E13=""),"",ROUND(D13*E13,2))</f>
        <v/>
      </c>
      <c r="G13" s="19" t="n"/>
      <c r="H13" s="21">
        <f>IF(OR(F13="",G13=""),"",IF(ABS(F13-G13)&gt;0.01,"MISMATCH","OK"))</f>
        <v/>
      </c>
      <c r="I13" s="16" t="n"/>
      <c r="J13" s="9" t="n"/>
    </row>
    <row r="14">
      <c r="A14" s="16" t="n"/>
      <c r="B14" s="9" t="n"/>
      <c r="C14" s="16" t="n"/>
      <c r="D14" s="18" t="n"/>
      <c r="E14" s="19" t="n"/>
      <c r="F14" s="20">
        <f>IF(OR(D14="",E14=""),"",ROUND(D14*E14,2))</f>
        <v/>
      </c>
      <c r="G14" s="19" t="n"/>
      <c r="H14" s="21">
        <f>IF(OR(F14="",G14=""),"",IF(ABS(F14-G14)&gt;0.01,"MISMATCH","OK"))</f>
        <v/>
      </c>
      <c r="I14" s="16" t="n"/>
      <c r="J14" s="9" t="n"/>
    </row>
    <row r="15">
      <c r="A15" s="16" t="n"/>
      <c r="B15" s="9" t="n"/>
      <c r="C15" s="16" t="n"/>
      <c r="D15" s="18" t="n"/>
      <c r="E15" s="19" t="n"/>
      <c r="F15" s="20">
        <f>IF(OR(D15="",E15=""),"",ROUND(D15*E15,2))</f>
        <v/>
      </c>
      <c r="G15" s="19" t="n"/>
      <c r="H15" s="21">
        <f>IF(OR(F15="",G15=""),"",IF(ABS(F15-G15)&gt;0.01,"MISMATCH","OK"))</f>
        <v/>
      </c>
      <c r="I15" s="16" t="n"/>
      <c r="J15" s="9" t="n"/>
    </row>
    <row r="16">
      <c r="A16" s="16" t="n"/>
      <c r="B16" s="9" t="n"/>
      <c r="C16" s="16" t="n"/>
      <c r="D16" s="18" t="n"/>
      <c r="E16" s="19" t="n"/>
      <c r="F16" s="20">
        <f>IF(OR(D16="",E16=""),"",ROUND(D16*E16,2))</f>
        <v/>
      </c>
      <c r="G16" s="19" t="n"/>
      <c r="H16" s="21">
        <f>IF(OR(F16="",G16=""),"",IF(ABS(F16-G16)&gt;0.01,"MISMATCH","OK"))</f>
        <v/>
      </c>
      <c r="I16" s="16" t="n"/>
      <c r="J16" s="9" t="n"/>
    </row>
    <row r="17">
      <c r="A17" s="16" t="n"/>
      <c r="B17" s="9" t="n"/>
      <c r="C17" s="16" t="n"/>
      <c r="D17" s="18" t="n"/>
      <c r="E17" s="19" t="n"/>
      <c r="F17" s="20">
        <f>IF(OR(D17="",E17=""),"",ROUND(D17*E17,2))</f>
        <v/>
      </c>
      <c r="G17" s="19" t="n"/>
      <c r="H17" s="21">
        <f>IF(OR(F17="",G17=""),"",IF(ABS(F17-G17)&gt;0.01,"MISMATCH","OK"))</f>
        <v/>
      </c>
      <c r="I17" s="16" t="n"/>
      <c r="J17" s="9" t="n"/>
    </row>
    <row r="18">
      <c r="A18" s="16" t="n"/>
      <c r="B18" s="9" t="n"/>
      <c r="C18" s="16" t="n"/>
      <c r="D18" s="18" t="n"/>
      <c r="E18" s="19" t="n"/>
      <c r="F18" s="20">
        <f>IF(OR(D18="",E18=""),"",ROUND(D18*E18,2))</f>
        <v/>
      </c>
      <c r="G18" s="19" t="n"/>
      <c r="H18" s="21">
        <f>IF(OR(F18="",G18=""),"",IF(ABS(F18-G18)&gt;0.01,"MISMATCH","OK"))</f>
        <v/>
      </c>
      <c r="I18" s="16" t="n"/>
      <c r="J18" s="9" t="n"/>
    </row>
    <row r="19">
      <c r="A19" s="16" t="n"/>
      <c r="B19" s="9" t="n"/>
      <c r="C19" s="16" t="n"/>
      <c r="D19" s="18" t="n"/>
      <c r="E19" s="19" t="n"/>
      <c r="F19" s="20">
        <f>IF(OR(D19="",E19=""),"",ROUND(D19*E19,2))</f>
        <v/>
      </c>
      <c r="G19" s="19" t="n"/>
      <c r="H19" s="21">
        <f>IF(OR(F19="",G19=""),"",IF(ABS(F19-G19)&gt;0.01,"MISMATCH","OK"))</f>
        <v/>
      </c>
      <c r="I19" s="16" t="n"/>
      <c r="J19" s="9" t="n"/>
    </row>
    <row r="20">
      <c r="A20" s="16" t="n"/>
      <c r="B20" s="9" t="n"/>
      <c r="C20" s="16" t="n"/>
      <c r="D20" s="18" t="n"/>
      <c r="E20" s="19" t="n"/>
      <c r="F20" s="20">
        <f>IF(OR(D20="",E20=""),"",ROUND(D20*E20,2))</f>
        <v/>
      </c>
      <c r="G20" s="19" t="n"/>
      <c r="H20" s="21">
        <f>IF(OR(F20="",G20=""),"",IF(ABS(F20-G20)&gt;0.01,"MISMATCH","OK"))</f>
        <v/>
      </c>
      <c r="I20" s="16" t="n"/>
      <c r="J20" s="9" t="n"/>
    </row>
    <row r="21">
      <c r="A21" s="16" t="n"/>
      <c r="B21" s="9" t="n"/>
      <c r="C21" s="16" t="n"/>
      <c r="D21" s="18" t="n"/>
      <c r="E21" s="19" t="n"/>
      <c r="F21" s="20">
        <f>IF(OR(D21="",E21=""),"",ROUND(D21*E21,2))</f>
        <v/>
      </c>
      <c r="G21" s="19" t="n"/>
      <c r="H21" s="21">
        <f>IF(OR(F21="",G21=""),"",IF(ABS(F21-G21)&gt;0.01,"MISMATCH","OK"))</f>
        <v/>
      </c>
      <c r="I21" s="16" t="n"/>
      <c r="J21" s="9" t="n"/>
    </row>
    <row r="22">
      <c r="A22" s="16" t="n"/>
      <c r="B22" s="9" t="n"/>
      <c r="C22" s="16" t="n"/>
      <c r="D22" s="18" t="n"/>
      <c r="E22" s="19" t="n"/>
      <c r="F22" s="20">
        <f>IF(OR(D22="",E22=""),"",ROUND(D22*E22,2))</f>
        <v/>
      </c>
      <c r="G22" s="19" t="n"/>
      <c r="H22" s="21">
        <f>IF(OR(F22="",G22=""),"",IF(ABS(F22-G22)&gt;0.01,"MISMATCH","OK"))</f>
        <v/>
      </c>
      <c r="I22" s="16" t="n"/>
      <c r="J22" s="9" t="n"/>
    </row>
    <row r="23">
      <c r="A23" s="16" t="n"/>
      <c r="B23" s="9" t="n"/>
      <c r="C23" s="16" t="n"/>
      <c r="D23" s="18" t="n"/>
      <c r="E23" s="19" t="n"/>
      <c r="F23" s="20">
        <f>IF(OR(D23="",E23=""),"",ROUND(D23*E23,2))</f>
        <v/>
      </c>
      <c r="G23" s="19" t="n"/>
      <c r="H23" s="21">
        <f>IF(OR(F23="",G23=""),"",IF(ABS(F23-G23)&gt;0.01,"MISMATCH","OK"))</f>
        <v/>
      </c>
      <c r="I23" s="16" t="n"/>
      <c r="J23" s="9" t="n"/>
    </row>
    <row r="24">
      <c r="A24" s="16" t="n"/>
      <c r="B24" s="9" t="n"/>
      <c r="C24" s="16" t="n"/>
      <c r="D24" s="18" t="n"/>
      <c r="E24" s="19" t="n"/>
      <c r="F24" s="20">
        <f>IF(OR(D24="",E24=""),"",ROUND(D24*E24,2))</f>
        <v/>
      </c>
      <c r="G24" s="19" t="n"/>
      <c r="H24" s="21">
        <f>IF(OR(F24="",G24=""),"",IF(ABS(F24-G24)&gt;0.01,"MISMATCH","OK"))</f>
        <v/>
      </c>
      <c r="I24" s="16" t="n"/>
      <c r="J24" s="9" t="n"/>
    </row>
    <row r="25">
      <c r="A25" s="16" t="n"/>
      <c r="B25" s="9" t="n"/>
      <c r="C25" s="16" t="n"/>
      <c r="D25" s="18" t="n"/>
      <c r="E25" s="19" t="n"/>
      <c r="F25" s="20">
        <f>IF(OR(D25="",E25=""),"",ROUND(D25*E25,2))</f>
        <v/>
      </c>
      <c r="G25" s="19" t="n"/>
      <c r="H25" s="21">
        <f>IF(OR(F25="",G25=""),"",IF(ABS(F25-G25)&gt;0.01,"MISMATCH","OK"))</f>
        <v/>
      </c>
      <c r="I25" s="16" t="n"/>
      <c r="J25" s="9" t="n"/>
    </row>
    <row r="26">
      <c r="A26" s="16" t="n"/>
      <c r="B26" s="9" t="n"/>
      <c r="C26" s="16" t="n"/>
      <c r="D26" s="18" t="n"/>
      <c r="E26" s="19" t="n"/>
      <c r="F26" s="20">
        <f>IF(OR(D26="",E26=""),"",ROUND(D26*E26,2))</f>
        <v/>
      </c>
      <c r="G26" s="19" t="n"/>
      <c r="H26" s="21">
        <f>IF(OR(F26="",G26=""),"",IF(ABS(F26-G26)&gt;0.01,"MISMATCH","OK"))</f>
        <v/>
      </c>
      <c r="I26" s="16" t="n"/>
      <c r="J26" s="9" t="n"/>
    </row>
    <row r="27">
      <c r="A27" s="16" t="n"/>
      <c r="B27" s="9" t="n"/>
      <c r="C27" s="16" t="n"/>
      <c r="D27" s="18" t="n"/>
      <c r="E27" s="19" t="n"/>
      <c r="F27" s="20">
        <f>IF(OR(D27="",E27=""),"",ROUND(D27*E27,2))</f>
        <v/>
      </c>
      <c r="G27" s="19" t="n"/>
      <c r="H27" s="21">
        <f>IF(OR(F27="",G27=""),"",IF(ABS(F27-G27)&gt;0.01,"MISMATCH","OK"))</f>
        <v/>
      </c>
      <c r="I27" s="16" t="n"/>
      <c r="J27" s="9" t="n"/>
    </row>
    <row r="28">
      <c r="A28" s="16" t="n"/>
      <c r="B28" s="9" t="n"/>
      <c r="C28" s="16" t="n"/>
      <c r="D28" s="18" t="n"/>
      <c r="E28" s="19" t="n"/>
      <c r="F28" s="20">
        <f>IF(OR(D28="",E28=""),"",ROUND(D28*E28,2))</f>
        <v/>
      </c>
      <c r="G28" s="19" t="n"/>
      <c r="H28" s="21">
        <f>IF(OR(F28="",G28=""),"",IF(ABS(F28-G28)&gt;0.01,"MISMATCH","OK"))</f>
        <v/>
      </c>
      <c r="I28" s="16" t="n"/>
      <c r="J28" s="9" t="n"/>
    </row>
    <row r="29">
      <c r="A29" s="16" t="n"/>
      <c r="B29" s="9" t="n"/>
      <c r="C29" s="16" t="n"/>
      <c r="D29" s="18" t="n"/>
      <c r="E29" s="19" t="n"/>
      <c r="F29" s="20">
        <f>IF(OR(D29="",E29=""),"",ROUND(D29*E29,2))</f>
        <v/>
      </c>
      <c r="G29" s="19" t="n"/>
      <c r="H29" s="21">
        <f>IF(OR(F29="",G29=""),"",IF(ABS(F29-G29)&gt;0.01,"MISMATCH","OK"))</f>
        <v/>
      </c>
      <c r="I29" s="16" t="n"/>
      <c r="J29" s="9" t="n"/>
    </row>
    <row r="30">
      <c r="A30" s="16" t="n"/>
      <c r="B30" s="9" t="n"/>
      <c r="C30" s="16" t="n"/>
      <c r="D30" s="18" t="n"/>
      <c r="E30" s="19" t="n"/>
      <c r="F30" s="20">
        <f>IF(OR(D30="",E30=""),"",ROUND(D30*E30,2))</f>
        <v/>
      </c>
      <c r="G30" s="19" t="n"/>
      <c r="H30" s="21">
        <f>IF(OR(F30="",G30=""),"",IF(ABS(F30-G30)&gt;0.01,"MISMATCH","OK"))</f>
        <v/>
      </c>
      <c r="I30" s="16" t="n"/>
      <c r="J30" s="9" t="n"/>
    </row>
    <row r="31">
      <c r="A31" s="16" t="n"/>
      <c r="B31" s="9" t="n"/>
      <c r="C31" s="16" t="n"/>
      <c r="D31" s="18" t="n"/>
      <c r="E31" s="19" t="n"/>
      <c r="F31" s="20">
        <f>IF(OR(D31="",E31=""),"",ROUND(D31*E31,2))</f>
        <v/>
      </c>
      <c r="G31" s="19" t="n"/>
      <c r="H31" s="21">
        <f>IF(OR(F31="",G31=""),"",IF(ABS(F31-G31)&gt;0.01,"MISMATCH","OK"))</f>
        <v/>
      </c>
      <c r="I31" s="16" t="n"/>
      <c r="J31" s="9" t="n"/>
    </row>
    <row r="32">
      <c r="A32" s="16" t="n"/>
      <c r="B32" s="9" t="n"/>
      <c r="C32" s="16" t="n"/>
      <c r="D32" s="18" t="n"/>
      <c r="E32" s="19" t="n"/>
      <c r="F32" s="20">
        <f>IF(OR(D32="",E32=""),"",ROUND(D32*E32,2))</f>
        <v/>
      </c>
      <c r="G32" s="19" t="n"/>
      <c r="H32" s="21">
        <f>IF(OR(F32="",G32=""),"",IF(ABS(F32-G32)&gt;0.01,"MISMATCH","OK"))</f>
        <v/>
      </c>
      <c r="I32" s="16" t="n"/>
      <c r="J32" s="9" t="n"/>
    </row>
    <row r="33">
      <c r="A33" s="16" t="n"/>
      <c r="B33" s="9" t="n"/>
      <c r="C33" s="16" t="n"/>
      <c r="D33" s="18" t="n"/>
      <c r="E33" s="19" t="n"/>
      <c r="F33" s="20">
        <f>IF(OR(D33="",E33=""),"",ROUND(D33*E33,2))</f>
        <v/>
      </c>
      <c r="G33" s="19" t="n"/>
      <c r="H33" s="21">
        <f>IF(OR(F33="",G33=""),"",IF(ABS(F33-G33)&gt;0.01,"MISMATCH","OK"))</f>
        <v/>
      </c>
      <c r="I33" s="16" t="n"/>
      <c r="J33" s="9" t="n"/>
    </row>
    <row r="34">
      <c r="A34" s="16" t="n"/>
      <c r="B34" s="9" t="n"/>
      <c r="C34" s="16" t="n"/>
      <c r="D34" s="18" t="n"/>
      <c r="E34" s="19" t="n"/>
      <c r="F34" s="20">
        <f>IF(OR(D34="",E34=""),"",ROUND(D34*E34,2))</f>
        <v/>
      </c>
      <c r="G34" s="19" t="n"/>
      <c r="H34" s="21">
        <f>IF(OR(F34="",G34=""),"",IF(ABS(F34-G34)&gt;0.01,"MISMATCH","OK"))</f>
        <v/>
      </c>
      <c r="I34" s="16" t="n"/>
      <c r="J34" s="9" t="n"/>
    </row>
    <row r="35">
      <c r="A35" s="16" t="n"/>
      <c r="B35" s="9" t="n"/>
      <c r="C35" s="16" t="n"/>
      <c r="D35" s="18" t="n"/>
      <c r="E35" s="19" t="n"/>
      <c r="F35" s="20">
        <f>IF(OR(D35="",E35=""),"",ROUND(D35*E35,2))</f>
        <v/>
      </c>
      <c r="G35" s="19" t="n"/>
      <c r="H35" s="21">
        <f>IF(OR(F35="",G35=""),"",IF(ABS(F35-G35)&gt;0.01,"MISMATCH","OK"))</f>
        <v/>
      </c>
      <c r="I35" s="16" t="n"/>
      <c r="J35" s="9" t="n"/>
    </row>
    <row r="36">
      <c r="A36" s="16" t="n"/>
      <c r="B36" s="9" t="n"/>
      <c r="C36" s="16" t="n"/>
      <c r="D36" s="18" t="n"/>
      <c r="E36" s="19" t="n"/>
      <c r="F36" s="20">
        <f>IF(OR(D36="",E36=""),"",ROUND(D36*E36,2))</f>
        <v/>
      </c>
      <c r="G36" s="19" t="n"/>
      <c r="H36" s="21">
        <f>IF(OR(F36="",G36=""),"",IF(ABS(F36-G36)&gt;0.01,"MISMATCH","OK"))</f>
        <v/>
      </c>
      <c r="I36" s="16" t="n"/>
      <c r="J36" s="9" t="n"/>
    </row>
    <row r="37">
      <c r="A37" s="16" t="n"/>
      <c r="B37" s="9" t="n"/>
      <c r="C37" s="16" t="n"/>
      <c r="D37" s="18" t="n"/>
      <c r="E37" s="19" t="n"/>
      <c r="F37" s="20">
        <f>IF(OR(D37="",E37=""),"",ROUND(D37*E37,2))</f>
        <v/>
      </c>
      <c r="G37" s="19" t="n"/>
      <c r="H37" s="21">
        <f>IF(OR(F37="",G37=""),"",IF(ABS(F37-G37)&gt;0.01,"MISMATCH","OK"))</f>
        <v/>
      </c>
      <c r="I37" s="16" t="n"/>
      <c r="J37" s="9" t="n"/>
    </row>
    <row r="38">
      <c r="A38" s="16" t="n"/>
      <c r="B38" s="9" t="n"/>
      <c r="C38" s="16" t="n"/>
      <c r="D38" s="18" t="n"/>
      <c r="E38" s="19" t="n"/>
      <c r="F38" s="20">
        <f>IF(OR(D38="",E38=""),"",ROUND(D38*E38,2))</f>
        <v/>
      </c>
      <c r="G38" s="19" t="n"/>
      <c r="H38" s="21">
        <f>IF(OR(F38="",G38=""),"",IF(ABS(F38-G38)&gt;0.01,"MISMATCH","OK"))</f>
        <v/>
      </c>
      <c r="I38" s="16" t="n"/>
      <c r="J38" s="9" t="n"/>
    </row>
    <row r="39">
      <c r="A39" s="16" t="n"/>
      <c r="B39" s="9" t="n"/>
      <c r="C39" s="16" t="n"/>
      <c r="D39" s="18" t="n"/>
      <c r="E39" s="19" t="n"/>
      <c r="F39" s="20">
        <f>IF(OR(D39="",E39=""),"",ROUND(D39*E39,2))</f>
        <v/>
      </c>
      <c r="G39" s="19" t="n"/>
      <c r="H39" s="21">
        <f>IF(OR(F39="",G39=""),"",IF(ABS(F39-G39)&gt;0.01,"MISMATCH","OK"))</f>
        <v/>
      </c>
      <c r="I39" s="16" t="n"/>
      <c r="J39" s="9" t="n"/>
    </row>
    <row r="40">
      <c r="A40" s="16" t="n"/>
      <c r="B40" s="9" t="n"/>
      <c r="C40" s="16" t="n"/>
      <c r="D40" s="18" t="n"/>
      <c r="E40" s="19" t="n"/>
      <c r="F40" s="20">
        <f>IF(OR(D40="",E40=""),"",ROUND(D40*E40,2))</f>
        <v/>
      </c>
      <c r="G40" s="19" t="n"/>
      <c r="H40" s="21">
        <f>IF(OR(F40="",G40=""),"",IF(ABS(F40-G40)&gt;0.01,"MISMATCH","OK"))</f>
        <v/>
      </c>
      <c r="I40" s="16" t="n"/>
      <c r="J40" s="9" t="n"/>
    </row>
    <row r="41">
      <c r="A41" s="16" t="n"/>
      <c r="B41" s="9" t="n"/>
      <c r="C41" s="16" t="n"/>
      <c r="D41" s="18" t="n"/>
      <c r="E41" s="19" t="n"/>
      <c r="F41" s="20">
        <f>IF(OR(D41="",E41=""),"",ROUND(D41*E41,2))</f>
        <v/>
      </c>
      <c r="G41" s="19" t="n"/>
      <c r="H41" s="21">
        <f>IF(OR(F41="",G41=""),"",IF(ABS(F41-G41)&gt;0.01,"MISMATCH","OK"))</f>
        <v/>
      </c>
      <c r="I41" s="16" t="n"/>
      <c r="J41" s="9" t="n"/>
    </row>
    <row r="42">
      <c r="A42" s="16" t="n"/>
      <c r="B42" s="9" t="n"/>
      <c r="C42" s="16" t="n"/>
      <c r="D42" s="18" t="n"/>
      <c r="E42" s="19" t="n"/>
      <c r="F42" s="20">
        <f>IF(OR(D42="",E42=""),"",ROUND(D42*E42,2))</f>
        <v/>
      </c>
      <c r="G42" s="19" t="n"/>
      <c r="H42" s="21">
        <f>IF(OR(F42="",G42=""),"",IF(ABS(F42-G42)&gt;0.01,"MISMATCH","OK"))</f>
        <v/>
      </c>
      <c r="I42" s="16" t="n"/>
      <c r="J42" s="9" t="n"/>
    </row>
    <row r="43">
      <c r="A43" s="16" t="n"/>
      <c r="B43" s="9" t="n"/>
      <c r="C43" s="16" t="n"/>
      <c r="D43" s="18" t="n"/>
      <c r="E43" s="19" t="n"/>
      <c r="F43" s="20">
        <f>IF(OR(D43="",E43=""),"",ROUND(D43*E43,2))</f>
        <v/>
      </c>
      <c r="G43" s="19" t="n"/>
      <c r="H43" s="21">
        <f>IF(OR(F43="",G43=""),"",IF(ABS(F43-G43)&gt;0.01,"MISMATCH","OK"))</f>
        <v/>
      </c>
      <c r="I43" s="16" t="n"/>
      <c r="J43" s="9" t="n"/>
    </row>
    <row r="44">
      <c r="A44" s="16" t="n"/>
      <c r="B44" s="9" t="n"/>
      <c r="C44" s="16" t="n"/>
      <c r="D44" s="18" t="n"/>
      <c r="E44" s="19" t="n"/>
      <c r="F44" s="20">
        <f>IF(OR(D44="",E44=""),"",ROUND(D44*E44,2))</f>
        <v/>
      </c>
      <c r="G44" s="19" t="n"/>
      <c r="H44" s="21">
        <f>IF(OR(F44="",G44=""),"",IF(ABS(F44-G44)&gt;0.01,"MISMATCH","OK"))</f>
        <v/>
      </c>
      <c r="I44" s="16" t="n"/>
      <c r="J44" s="9" t="n"/>
    </row>
    <row r="45">
      <c r="A45" s="16" t="n"/>
      <c r="B45" s="9" t="n"/>
      <c r="C45" s="16" t="n"/>
      <c r="D45" s="18" t="n"/>
      <c r="E45" s="19" t="n"/>
      <c r="F45" s="20">
        <f>IF(OR(D45="",E45=""),"",ROUND(D45*E45,2))</f>
        <v/>
      </c>
      <c r="G45" s="19" t="n"/>
      <c r="H45" s="21">
        <f>IF(OR(F45="",G45=""),"",IF(ABS(F45-G45)&gt;0.01,"MISMATCH","OK"))</f>
        <v/>
      </c>
      <c r="I45" s="16" t="n"/>
      <c r="J45" s="9" t="n"/>
    </row>
    <row r="46">
      <c r="A46" s="16" t="n"/>
      <c r="B46" s="9" t="n"/>
      <c r="C46" s="16" t="n"/>
      <c r="D46" s="18" t="n"/>
      <c r="E46" s="19" t="n"/>
      <c r="F46" s="20">
        <f>IF(OR(D46="",E46=""),"",ROUND(D46*E46,2))</f>
        <v/>
      </c>
      <c r="G46" s="19" t="n"/>
      <c r="H46" s="21">
        <f>IF(OR(F46="",G46=""),"",IF(ABS(F46-G46)&gt;0.01,"MISMATCH","OK"))</f>
        <v/>
      </c>
      <c r="I46" s="16" t="n"/>
      <c r="J46" s="9" t="n"/>
    </row>
    <row r="47">
      <c r="A47" s="16" t="n"/>
      <c r="B47" s="9" t="n"/>
      <c r="C47" s="16" t="n"/>
      <c r="D47" s="18" t="n"/>
      <c r="E47" s="19" t="n"/>
      <c r="F47" s="20">
        <f>IF(OR(D47="",E47=""),"",ROUND(D47*E47,2))</f>
        <v/>
      </c>
      <c r="G47" s="19" t="n"/>
      <c r="H47" s="21">
        <f>IF(OR(F47="",G47=""),"",IF(ABS(F47-G47)&gt;0.01,"MISMATCH","OK"))</f>
        <v/>
      </c>
      <c r="I47" s="16" t="n"/>
      <c r="J47" s="9" t="n"/>
    </row>
    <row r="48">
      <c r="A48" s="16" t="n"/>
      <c r="B48" s="9" t="n"/>
      <c r="C48" s="16" t="n"/>
      <c r="D48" s="18" t="n"/>
      <c r="E48" s="19" t="n"/>
      <c r="F48" s="20">
        <f>IF(OR(D48="",E48=""),"",ROUND(D48*E48,2))</f>
        <v/>
      </c>
      <c r="G48" s="19" t="n"/>
      <c r="H48" s="21">
        <f>IF(OR(F48="",G48=""),"",IF(ABS(F48-G48)&gt;0.01,"MISMATCH","OK"))</f>
        <v/>
      </c>
      <c r="I48" s="16" t="n"/>
      <c r="J48" s="9" t="n"/>
    </row>
    <row r="49">
      <c r="A49" s="16" t="n"/>
      <c r="B49" s="9" t="n"/>
      <c r="C49" s="16" t="n"/>
      <c r="D49" s="18" t="n"/>
      <c r="E49" s="19" t="n"/>
      <c r="F49" s="20">
        <f>IF(OR(D49="",E49=""),"",ROUND(D49*E49,2))</f>
        <v/>
      </c>
      <c r="G49" s="19" t="n"/>
      <c r="H49" s="21">
        <f>IF(OR(F49="",G49=""),"",IF(ABS(F49-G49)&gt;0.01,"MISMATCH","OK"))</f>
        <v/>
      </c>
      <c r="I49" s="16" t="n"/>
      <c r="J49" s="9" t="n"/>
    </row>
    <row r="50">
      <c r="A50" s="16" t="n"/>
      <c r="B50" s="9" t="n"/>
      <c r="C50" s="16" t="n"/>
      <c r="D50" s="18" t="n"/>
      <c r="E50" s="19" t="n"/>
      <c r="F50" s="20">
        <f>IF(OR(D50="",E50=""),"",ROUND(D50*E50,2))</f>
        <v/>
      </c>
      <c r="G50" s="19" t="n"/>
      <c r="H50" s="21">
        <f>IF(OR(F50="",G50=""),"",IF(ABS(F50-G50)&gt;0.01,"MISMATCH","OK"))</f>
        <v/>
      </c>
      <c r="I50" s="16" t="n"/>
      <c r="J50" s="9" t="n"/>
    </row>
    <row r="51">
      <c r="A51" s="16" t="n"/>
      <c r="B51" s="9" t="n"/>
      <c r="C51" s="16" t="n"/>
      <c r="D51" s="18" t="n"/>
      <c r="E51" s="19" t="n"/>
      <c r="F51" s="20">
        <f>IF(OR(D51="",E51=""),"",ROUND(D51*E51,2))</f>
        <v/>
      </c>
      <c r="G51" s="19" t="n"/>
      <c r="H51" s="21">
        <f>IF(OR(F51="",G51=""),"",IF(ABS(F51-G51)&gt;0.01,"MISMATCH","OK"))</f>
        <v/>
      </c>
      <c r="I51" s="16" t="n"/>
      <c r="J51" s="9" t="n"/>
    </row>
    <row r="52">
      <c r="A52" s="16" t="n"/>
      <c r="B52" s="9" t="n"/>
      <c r="C52" s="16" t="n"/>
      <c r="D52" s="18" t="n"/>
      <c r="E52" s="19" t="n"/>
      <c r="F52" s="20">
        <f>IF(OR(D52="",E52=""),"",ROUND(D52*E52,2))</f>
        <v/>
      </c>
      <c r="G52" s="19" t="n"/>
      <c r="H52" s="21">
        <f>IF(OR(F52="",G52=""),"",IF(ABS(F52-G52)&gt;0.01,"MISMATCH","OK"))</f>
        <v/>
      </c>
      <c r="I52" s="16" t="n"/>
      <c r="J52" s="9" t="n"/>
    </row>
    <row r="53">
      <c r="A53" s="16" t="n"/>
      <c r="B53" s="9" t="n"/>
      <c r="C53" s="16" t="n"/>
      <c r="D53" s="18" t="n"/>
      <c r="E53" s="19" t="n"/>
      <c r="F53" s="20">
        <f>IF(OR(D53="",E53=""),"",ROUND(D53*E53,2))</f>
        <v/>
      </c>
      <c r="G53" s="19" t="n"/>
      <c r="H53" s="21">
        <f>IF(OR(F53="",G53=""),"",IF(ABS(F53-G53)&gt;0.01,"MISMATCH","OK"))</f>
        <v/>
      </c>
      <c r="I53" s="16" t="n"/>
      <c r="J53" s="9" t="n"/>
    </row>
    <row r="54">
      <c r="A54" s="16" t="n"/>
      <c r="B54" s="9" t="n"/>
      <c r="C54" s="16" t="n"/>
      <c r="D54" s="18" t="n"/>
      <c r="E54" s="19" t="n"/>
      <c r="F54" s="20">
        <f>IF(OR(D54="",E54=""),"",ROUND(D54*E54,2))</f>
        <v/>
      </c>
      <c r="G54" s="19" t="n"/>
      <c r="H54" s="21">
        <f>IF(OR(F54="",G54=""),"",IF(ABS(F54-G54)&gt;0.01,"MISMATCH","OK"))</f>
        <v/>
      </c>
      <c r="I54" s="16" t="n"/>
      <c r="J54" s="9" t="n"/>
    </row>
    <row r="55">
      <c r="A55" s="16" t="n"/>
      <c r="B55" s="9" t="n"/>
      <c r="C55" s="16" t="n"/>
      <c r="D55" s="18" t="n"/>
      <c r="E55" s="19" t="n"/>
      <c r="F55" s="20">
        <f>IF(OR(D55="",E55=""),"",ROUND(D55*E55,2))</f>
        <v/>
      </c>
      <c r="G55" s="19" t="n"/>
      <c r="H55" s="21">
        <f>IF(OR(F55="",G55=""),"",IF(ABS(F55-G55)&gt;0.01,"MISMATCH","OK"))</f>
        <v/>
      </c>
      <c r="I55" s="16" t="n"/>
      <c r="J55" s="9" t="n"/>
    </row>
    <row r="56">
      <c r="A56" s="16" t="n"/>
      <c r="B56" s="9" t="n"/>
      <c r="C56" s="16" t="n"/>
      <c r="D56" s="18" t="n"/>
      <c r="E56" s="19" t="n"/>
      <c r="F56" s="20">
        <f>IF(OR(D56="",E56=""),"",ROUND(D56*E56,2))</f>
        <v/>
      </c>
      <c r="G56" s="19" t="n"/>
      <c r="H56" s="21">
        <f>IF(OR(F56="",G56=""),"",IF(ABS(F56-G56)&gt;0.01,"MISMATCH","OK"))</f>
        <v/>
      </c>
      <c r="I56" s="16" t="n"/>
      <c r="J56" s="9" t="n"/>
    </row>
    <row r="57">
      <c r="A57" s="16" t="n"/>
      <c r="B57" s="9" t="n"/>
      <c r="C57" s="16" t="n"/>
      <c r="D57" s="18" t="n"/>
      <c r="E57" s="19" t="n"/>
      <c r="F57" s="20">
        <f>IF(OR(D57="",E57=""),"",ROUND(D57*E57,2))</f>
        <v/>
      </c>
      <c r="G57" s="19" t="n"/>
      <c r="H57" s="21">
        <f>IF(OR(F57="",G57=""),"",IF(ABS(F57-G57)&gt;0.01,"MISMATCH","OK"))</f>
        <v/>
      </c>
      <c r="I57" s="16" t="n"/>
      <c r="J57" s="9" t="n"/>
    </row>
    <row r="58">
      <c r="A58" s="16" t="n"/>
      <c r="B58" s="9" t="n"/>
      <c r="C58" s="16" t="n"/>
      <c r="D58" s="18" t="n"/>
      <c r="E58" s="19" t="n"/>
      <c r="F58" s="20">
        <f>IF(OR(D58="",E58=""),"",ROUND(D58*E58,2))</f>
        <v/>
      </c>
      <c r="G58" s="19" t="n"/>
      <c r="H58" s="21">
        <f>IF(OR(F58="",G58=""),"",IF(ABS(F58-G58)&gt;0.01,"MISMATCH","OK"))</f>
        <v/>
      </c>
      <c r="I58" s="16" t="n"/>
      <c r="J58" s="9" t="n"/>
    </row>
    <row r="59">
      <c r="A59" s="16" t="n"/>
      <c r="B59" s="9" t="n"/>
      <c r="C59" s="16" t="n"/>
      <c r="D59" s="18" t="n"/>
      <c r="E59" s="19" t="n"/>
      <c r="F59" s="20">
        <f>IF(OR(D59="",E59=""),"",ROUND(D59*E59,2))</f>
        <v/>
      </c>
      <c r="G59" s="19" t="n"/>
      <c r="H59" s="21">
        <f>IF(OR(F59="",G59=""),"",IF(ABS(F59-G59)&gt;0.01,"MISMATCH","OK"))</f>
        <v/>
      </c>
      <c r="I59" s="16" t="n"/>
      <c r="J59" s="9" t="n"/>
    </row>
    <row r="60">
      <c r="A60" s="16" t="n"/>
      <c r="B60" s="9" t="n"/>
      <c r="C60" s="16" t="n"/>
      <c r="D60" s="18" t="n"/>
      <c r="E60" s="19" t="n"/>
      <c r="F60" s="20">
        <f>IF(OR(D60="",E60=""),"",ROUND(D60*E60,2))</f>
        <v/>
      </c>
      <c r="G60" s="19" t="n"/>
      <c r="H60" s="21">
        <f>IF(OR(F60="",G60=""),"",IF(ABS(F60-G60)&gt;0.01,"MISMATCH","OK"))</f>
        <v/>
      </c>
      <c r="I60" s="16" t="n"/>
      <c r="J60" s="9" t="n"/>
    </row>
    <row r="61">
      <c r="A61" s="16" t="n"/>
      <c r="B61" s="9" t="n"/>
      <c r="C61" s="16" t="n"/>
      <c r="D61" s="18" t="n"/>
      <c r="E61" s="19" t="n"/>
      <c r="F61" s="20">
        <f>IF(OR(D61="",E61=""),"",ROUND(D61*E61,2))</f>
        <v/>
      </c>
      <c r="G61" s="19" t="n"/>
      <c r="H61" s="21">
        <f>IF(OR(F61="",G61=""),"",IF(ABS(F61-G61)&gt;0.01,"MISMATCH","OK"))</f>
        <v/>
      </c>
      <c r="I61" s="16" t="n"/>
      <c r="J61" s="9" t="n"/>
    </row>
    <row r="62">
      <c r="A62" s="16" t="n"/>
      <c r="B62" s="9" t="n"/>
      <c r="C62" s="16" t="n"/>
      <c r="D62" s="18" t="n"/>
      <c r="E62" s="19" t="n"/>
      <c r="F62" s="20">
        <f>IF(OR(D62="",E62=""),"",ROUND(D62*E62,2))</f>
        <v/>
      </c>
      <c r="G62" s="19" t="n"/>
      <c r="H62" s="21">
        <f>IF(OR(F62="",G62=""),"",IF(ABS(F62-G62)&gt;0.01,"MISMATCH","OK"))</f>
        <v/>
      </c>
      <c r="I62" s="16" t="n"/>
      <c r="J62" s="9" t="n"/>
    </row>
    <row r="63">
      <c r="A63" s="16" t="n"/>
      <c r="B63" s="9" t="n"/>
      <c r="C63" s="16" t="n"/>
      <c r="D63" s="18" t="n"/>
      <c r="E63" s="19" t="n"/>
      <c r="F63" s="20">
        <f>IF(OR(D63="",E63=""),"",ROUND(D63*E63,2))</f>
        <v/>
      </c>
      <c r="G63" s="19" t="n"/>
      <c r="H63" s="21">
        <f>IF(OR(F63="",G63=""),"",IF(ABS(F63-G63)&gt;0.01,"MISMATCH","OK"))</f>
        <v/>
      </c>
      <c r="I63" s="16" t="n"/>
      <c r="J63" s="9" t="n"/>
    </row>
    <row r="64">
      <c r="A64" s="16" t="n"/>
      <c r="B64" s="9" t="n"/>
      <c r="C64" s="16" t="n"/>
      <c r="D64" s="18" t="n"/>
      <c r="E64" s="19" t="n"/>
      <c r="F64" s="20">
        <f>IF(OR(D64="",E64=""),"",ROUND(D64*E64,2))</f>
        <v/>
      </c>
      <c r="G64" s="19" t="n"/>
      <c r="H64" s="21">
        <f>IF(OR(F64="",G64=""),"",IF(ABS(F64-G64)&gt;0.01,"MISMATCH","OK"))</f>
        <v/>
      </c>
      <c r="I64" s="16" t="n"/>
      <c r="J64" s="9" t="n"/>
    </row>
    <row r="65">
      <c r="A65" s="16" t="n"/>
      <c r="B65" s="9" t="n"/>
      <c r="C65" s="16" t="n"/>
      <c r="D65" s="18" t="n"/>
      <c r="E65" s="19" t="n"/>
      <c r="F65" s="20">
        <f>IF(OR(D65="",E65=""),"",ROUND(D65*E65,2))</f>
        <v/>
      </c>
      <c r="G65" s="19" t="n"/>
      <c r="H65" s="21">
        <f>IF(OR(F65="",G65=""),"",IF(ABS(F65-G65)&gt;0.01,"MISMATCH","OK"))</f>
        <v/>
      </c>
      <c r="I65" s="16" t="n"/>
      <c r="J65" s="9" t="n"/>
    </row>
    <row r="66">
      <c r="A66" s="16" t="n"/>
      <c r="B66" s="9" t="n"/>
      <c r="C66" s="16" t="n"/>
      <c r="D66" s="18" t="n"/>
      <c r="E66" s="19" t="n"/>
      <c r="F66" s="20">
        <f>IF(OR(D66="",E66=""),"",ROUND(D66*E66,2))</f>
        <v/>
      </c>
      <c r="G66" s="19" t="n"/>
      <c r="H66" s="21">
        <f>IF(OR(F66="",G66=""),"",IF(ABS(F66-G66)&gt;0.01,"MISMATCH","OK"))</f>
        <v/>
      </c>
      <c r="I66" s="16" t="n"/>
      <c r="J66" s="9" t="n"/>
    </row>
    <row r="67">
      <c r="A67" s="16" t="n"/>
      <c r="B67" s="9" t="n"/>
      <c r="C67" s="16" t="n"/>
      <c r="D67" s="18" t="n"/>
      <c r="E67" s="19" t="n"/>
      <c r="F67" s="20">
        <f>IF(OR(D67="",E67=""),"",ROUND(D67*E67,2))</f>
        <v/>
      </c>
      <c r="G67" s="19" t="n"/>
      <c r="H67" s="21">
        <f>IF(OR(F67="",G67=""),"",IF(ABS(F67-G67)&gt;0.01,"MISMATCH","OK"))</f>
        <v/>
      </c>
      <c r="I67" s="16" t="n"/>
      <c r="J67" s="9" t="n"/>
    </row>
    <row r="68">
      <c r="A68" s="16" t="n"/>
      <c r="B68" s="9" t="n"/>
      <c r="C68" s="16" t="n"/>
      <c r="D68" s="18" t="n"/>
      <c r="E68" s="19" t="n"/>
      <c r="F68" s="20">
        <f>IF(OR(D68="",E68=""),"",ROUND(D68*E68,2))</f>
        <v/>
      </c>
      <c r="G68" s="19" t="n"/>
      <c r="H68" s="21">
        <f>IF(OR(F68="",G68=""),"",IF(ABS(F68-G68)&gt;0.01,"MISMATCH","OK"))</f>
        <v/>
      </c>
      <c r="I68" s="16" t="n"/>
      <c r="J68" s="9" t="n"/>
    </row>
    <row r="69">
      <c r="A69" s="16" t="n"/>
      <c r="B69" s="9" t="n"/>
      <c r="C69" s="16" t="n"/>
      <c r="D69" s="18" t="n"/>
      <c r="E69" s="19" t="n"/>
      <c r="F69" s="20">
        <f>IF(OR(D69="",E69=""),"",ROUND(D69*E69,2))</f>
        <v/>
      </c>
      <c r="G69" s="19" t="n"/>
      <c r="H69" s="21">
        <f>IF(OR(F69="",G69=""),"",IF(ABS(F69-G69)&gt;0.01,"MISMATCH","OK"))</f>
        <v/>
      </c>
      <c r="I69" s="16" t="n"/>
      <c r="J69" s="9" t="n"/>
    </row>
    <row r="70">
      <c r="A70" s="16" t="n"/>
      <c r="B70" s="9" t="n"/>
      <c r="C70" s="16" t="n"/>
      <c r="D70" s="18" t="n"/>
      <c r="E70" s="19" t="n"/>
      <c r="F70" s="20">
        <f>IF(OR(D70="",E70=""),"",ROUND(D70*E70,2))</f>
        <v/>
      </c>
      <c r="G70" s="19" t="n"/>
      <c r="H70" s="21">
        <f>IF(OR(F70="",G70=""),"",IF(ABS(F70-G70)&gt;0.01,"MISMATCH","OK"))</f>
        <v/>
      </c>
      <c r="I70" s="16" t="n"/>
      <c r="J70" s="9" t="n"/>
    </row>
    <row r="71">
      <c r="A71" s="16" t="n"/>
      <c r="B71" s="9" t="n"/>
      <c r="C71" s="16" t="n"/>
      <c r="D71" s="18" t="n"/>
      <c r="E71" s="19" t="n"/>
      <c r="F71" s="20">
        <f>IF(OR(D71="",E71=""),"",ROUND(D71*E71,2))</f>
        <v/>
      </c>
      <c r="G71" s="19" t="n"/>
      <c r="H71" s="21">
        <f>IF(OR(F71="",G71=""),"",IF(ABS(F71-G71)&gt;0.01,"MISMATCH","OK"))</f>
        <v/>
      </c>
      <c r="I71" s="16" t="n"/>
      <c r="J71" s="9" t="n"/>
    </row>
    <row r="72">
      <c r="A72" s="16" t="n"/>
      <c r="B72" s="9" t="n"/>
      <c r="C72" s="16" t="n"/>
      <c r="D72" s="18" t="n"/>
      <c r="E72" s="19" t="n"/>
      <c r="F72" s="20">
        <f>IF(OR(D72="",E72=""),"",ROUND(D72*E72,2))</f>
        <v/>
      </c>
      <c r="G72" s="19" t="n"/>
      <c r="H72" s="21">
        <f>IF(OR(F72="",G72=""),"",IF(ABS(F72-G72)&gt;0.01,"MISMATCH","OK"))</f>
        <v/>
      </c>
      <c r="I72" s="16" t="n"/>
      <c r="J72" s="9" t="n"/>
    </row>
    <row r="73">
      <c r="A73" s="16" t="n"/>
      <c r="B73" s="9" t="n"/>
      <c r="C73" s="16" t="n"/>
      <c r="D73" s="18" t="n"/>
      <c r="E73" s="19" t="n"/>
      <c r="F73" s="20">
        <f>IF(OR(D73="",E73=""),"",ROUND(D73*E73,2))</f>
        <v/>
      </c>
      <c r="G73" s="19" t="n"/>
      <c r="H73" s="21">
        <f>IF(OR(F73="",G73=""),"",IF(ABS(F73-G73)&gt;0.01,"MISMATCH","OK"))</f>
        <v/>
      </c>
      <c r="I73" s="16" t="n"/>
      <c r="J73" s="9" t="n"/>
    </row>
    <row r="74">
      <c r="A74" s="16" t="n"/>
      <c r="B74" s="9" t="n"/>
      <c r="C74" s="16" t="n"/>
      <c r="D74" s="18" t="n"/>
      <c r="E74" s="19" t="n"/>
      <c r="F74" s="20">
        <f>IF(OR(D74="",E74=""),"",ROUND(D74*E74,2))</f>
        <v/>
      </c>
      <c r="G74" s="19" t="n"/>
      <c r="H74" s="21">
        <f>IF(OR(F74="",G74=""),"",IF(ABS(F74-G74)&gt;0.01,"MISMATCH","OK"))</f>
        <v/>
      </c>
      <c r="I74" s="16" t="n"/>
      <c r="J74" s="9" t="n"/>
    </row>
    <row r="75">
      <c r="A75" s="16" t="n"/>
      <c r="B75" s="9" t="n"/>
      <c r="C75" s="16" t="n"/>
      <c r="D75" s="18" t="n"/>
      <c r="E75" s="19" t="n"/>
      <c r="F75" s="20">
        <f>IF(OR(D75="",E75=""),"",ROUND(D75*E75,2))</f>
        <v/>
      </c>
      <c r="G75" s="19" t="n"/>
      <c r="H75" s="21">
        <f>IF(OR(F75="",G75=""),"",IF(ABS(F75-G75)&gt;0.01,"MISMATCH","OK"))</f>
        <v/>
      </c>
      <c r="I75" s="16" t="n"/>
      <c r="J75" s="9" t="n"/>
    </row>
    <row r="76">
      <c r="A76" s="16" t="n"/>
      <c r="B76" s="9" t="n"/>
      <c r="C76" s="16" t="n"/>
      <c r="D76" s="18" t="n"/>
      <c r="E76" s="19" t="n"/>
      <c r="F76" s="20">
        <f>IF(OR(D76="",E76=""),"",ROUND(D76*E76,2))</f>
        <v/>
      </c>
      <c r="G76" s="19" t="n"/>
      <c r="H76" s="21">
        <f>IF(OR(F76="",G76=""),"",IF(ABS(F76-G76)&gt;0.01,"MISMATCH","OK"))</f>
        <v/>
      </c>
      <c r="I76" s="16" t="n"/>
      <c r="J76" s="9" t="n"/>
    </row>
    <row r="77">
      <c r="A77" s="16" t="n"/>
      <c r="B77" s="9" t="n"/>
      <c r="C77" s="16" t="n"/>
      <c r="D77" s="18" t="n"/>
      <c r="E77" s="19" t="n"/>
      <c r="F77" s="20">
        <f>IF(OR(D77="",E77=""),"",ROUND(D77*E77,2))</f>
        <v/>
      </c>
      <c r="G77" s="19" t="n"/>
      <c r="H77" s="21">
        <f>IF(OR(F77="",G77=""),"",IF(ABS(F77-G77)&gt;0.01,"MISMATCH","OK"))</f>
        <v/>
      </c>
      <c r="I77" s="16" t="n"/>
      <c r="J77" s="9" t="n"/>
    </row>
    <row r="78">
      <c r="A78" s="16" t="n"/>
      <c r="B78" s="9" t="n"/>
      <c r="C78" s="16" t="n"/>
      <c r="D78" s="18" t="n"/>
      <c r="E78" s="19" t="n"/>
      <c r="F78" s="20">
        <f>IF(OR(D78="",E78=""),"",ROUND(D78*E78,2))</f>
        <v/>
      </c>
      <c r="G78" s="19" t="n"/>
      <c r="H78" s="21">
        <f>IF(OR(F78="",G78=""),"",IF(ABS(F78-G78)&gt;0.01,"MISMATCH","OK"))</f>
        <v/>
      </c>
      <c r="I78" s="16" t="n"/>
      <c r="J78" s="9" t="n"/>
    </row>
    <row r="79">
      <c r="A79" s="16" t="n"/>
      <c r="B79" s="9" t="n"/>
      <c r="C79" s="16" t="n"/>
      <c r="D79" s="18" t="n"/>
      <c r="E79" s="19" t="n"/>
      <c r="F79" s="20">
        <f>IF(OR(D79="",E79=""),"",ROUND(D79*E79,2))</f>
        <v/>
      </c>
      <c r="G79" s="19" t="n"/>
      <c r="H79" s="21">
        <f>IF(OR(F79="",G79=""),"",IF(ABS(F79-G79)&gt;0.01,"MISMATCH","OK"))</f>
        <v/>
      </c>
      <c r="I79" s="16" t="n"/>
      <c r="J79" s="9" t="n"/>
    </row>
    <row r="80">
      <c r="A80" s="16" t="n"/>
      <c r="B80" s="9" t="n"/>
      <c r="C80" s="16" t="n"/>
      <c r="D80" s="18" t="n"/>
      <c r="E80" s="19" t="n"/>
      <c r="F80" s="20">
        <f>IF(OR(D80="",E80=""),"",ROUND(D80*E80,2))</f>
        <v/>
      </c>
      <c r="G80" s="19" t="n"/>
      <c r="H80" s="21">
        <f>IF(OR(F80="",G80=""),"",IF(ABS(F80-G80)&gt;0.01,"MISMATCH","OK"))</f>
        <v/>
      </c>
      <c r="I80" s="16" t="n"/>
      <c r="J80" s="9" t="n"/>
    </row>
    <row r="81">
      <c r="A81" s="16" t="n"/>
      <c r="B81" s="9" t="n"/>
      <c r="C81" s="16" t="n"/>
      <c r="D81" s="18" t="n"/>
      <c r="E81" s="19" t="n"/>
      <c r="F81" s="20">
        <f>IF(OR(D81="",E81=""),"",ROUND(D81*E81,2))</f>
        <v/>
      </c>
      <c r="G81" s="19" t="n"/>
      <c r="H81" s="21">
        <f>IF(OR(F81="",G81=""),"",IF(ABS(F81-G81)&gt;0.01,"MISMATCH","OK"))</f>
        <v/>
      </c>
      <c r="I81" s="16" t="n"/>
      <c r="J81" s="9" t="n"/>
    </row>
    <row r="82">
      <c r="A82" s="16" t="n"/>
      <c r="B82" s="9" t="n"/>
      <c r="C82" s="16" t="n"/>
      <c r="D82" s="18" t="n"/>
      <c r="E82" s="19" t="n"/>
      <c r="F82" s="20">
        <f>IF(OR(D82="",E82=""),"",ROUND(D82*E82,2))</f>
        <v/>
      </c>
      <c r="G82" s="19" t="n"/>
      <c r="H82" s="21">
        <f>IF(OR(F82="",G82=""),"",IF(ABS(F82-G82)&gt;0.01,"MISMATCH","OK"))</f>
        <v/>
      </c>
      <c r="I82" s="16" t="n"/>
      <c r="J82" s="9" t="n"/>
    </row>
    <row r="83">
      <c r="A83" s="16" t="n"/>
      <c r="B83" s="9" t="n"/>
      <c r="C83" s="16" t="n"/>
      <c r="D83" s="18" t="n"/>
      <c r="E83" s="19" t="n"/>
      <c r="F83" s="20">
        <f>IF(OR(D83="",E83=""),"",ROUND(D83*E83,2))</f>
        <v/>
      </c>
      <c r="G83" s="19" t="n"/>
      <c r="H83" s="21">
        <f>IF(OR(F83="",G83=""),"",IF(ABS(F83-G83)&gt;0.01,"MISMATCH","OK"))</f>
        <v/>
      </c>
      <c r="I83" s="16" t="n"/>
      <c r="J83" s="9" t="n"/>
    </row>
    <row r="84">
      <c r="A84" s="16" t="n"/>
      <c r="B84" s="9" t="n"/>
      <c r="C84" s="16" t="n"/>
      <c r="D84" s="18" t="n"/>
      <c r="E84" s="19" t="n"/>
      <c r="F84" s="20">
        <f>IF(OR(D84="",E84=""),"",ROUND(D84*E84,2))</f>
        <v/>
      </c>
      <c r="G84" s="19" t="n"/>
      <c r="H84" s="21">
        <f>IF(OR(F84="",G84=""),"",IF(ABS(F84-G84)&gt;0.01,"MISMATCH","OK"))</f>
        <v/>
      </c>
      <c r="I84" s="16" t="n"/>
      <c r="J84" s="9" t="n"/>
    </row>
    <row r="85">
      <c r="A85" s="16" t="n"/>
      <c r="B85" s="9" t="n"/>
      <c r="C85" s="16" t="n"/>
      <c r="D85" s="18" t="n"/>
      <c r="E85" s="19" t="n"/>
      <c r="F85" s="20">
        <f>IF(OR(D85="",E85=""),"",ROUND(D85*E85,2))</f>
        <v/>
      </c>
      <c r="G85" s="19" t="n"/>
      <c r="H85" s="21">
        <f>IF(OR(F85="",G85=""),"",IF(ABS(F85-G85)&gt;0.01,"MISMATCH","OK"))</f>
        <v/>
      </c>
      <c r="I85" s="16" t="n"/>
      <c r="J85" s="9" t="n"/>
    </row>
    <row r="86">
      <c r="A86" s="16" t="n"/>
      <c r="B86" s="9" t="n"/>
      <c r="C86" s="16" t="n"/>
      <c r="D86" s="18" t="n"/>
      <c r="E86" s="19" t="n"/>
      <c r="F86" s="20">
        <f>IF(OR(D86="",E86=""),"",ROUND(D86*E86,2))</f>
        <v/>
      </c>
      <c r="G86" s="19" t="n"/>
      <c r="H86" s="21">
        <f>IF(OR(F86="",G86=""),"",IF(ABS(F86-G86)&gt;0.01,"MISMATCH","OK"))</f>
        <v/>
      </c>
      <c r="I86" s="16" t="n"/>
      <c r="J86" s="9" t="n"/>
    </row>
    <row r="87">
      <c r="A87" s="16" t="n"/>
      <c r="B87" s="9" t="n"/>
      <c r="C87" s="16" t="n"/>
      <c r="D87" s="18" t="n"/>
      <c r="E87" s="19" t="n"/>
      <c r="F87" s="20">
        <f>IF(OR(D87="",E87=""),"",ROUND(D87*E87,2))</f>
        <v/>
      </c>
      <c r="G87" s="19" t="n"/>
      <c r="H87" s="21">
        <f>IF(OR(F87="",G87=""),"",IF(ABS(F87-G87)&gt;0.01,"MISMATCH","OK"))</f>
        <v/>
      </c>
      <c r="I87" s="16" t="n"/>
      <c r="J87" s="9" t="n"/>
    </row>
    <row r="88">
      <c r="A88" s="16" t="n"/>
      <c r="B88" s="9" t="n"/>
      <c r="C88" s="16" t="n"/>
      <c r="D88" s="18" t="n"/>
      <c r="E88" s="19" t="n"/>
      <c r="F88" s="20">
        <f>IF(OR(D88="",E88=""),"",ROUND(D88*E88,2))</f>
        <v/>
      </c>
      <c r="G88" s="19" t="n"/>
      <c r="H88" s="21">
        <f>IF(OR(F88="",G88=""),"",IF(ABS(F88-G88)&gt;0.01,"MISMATCH","OK"))</f>
        <v/>
      </c>
      <c r="I88" s="16" t="n"/>
      <c r="J88" s="9" t="n"/>
    </row>
    <row r="89">
      <c r="A89" s="16" t="n"/>
      <c r="B89" s="9" t="n"/>
      <c r="C89" s="16" t="n"/>
      <c r="D89" s="18" t="n"/>
      <c r="E89" s="19" t="n"/>
      <c r="F89" s="20">
        <f>IF(OR(D89="",E89=""),"",ROUND(D89*E89,2))</f>
        <v/>
      </c>
      <c r="G89" s="19" t="n"/>
      <c r="H89" s="21">
        <f>IF(OR(F89="",G89=""),"",IF(ABS(F89-G89)&gt;0.01,"MISMATCH","OK"))</f>
        <v/>
      </c>
      <c r="I89" s="16" t="n"/>
      <c r="J89" s="9" t="n"/>
    </row>
    <row r="90">
      <c r="A90" s="16" t="n"/>
      <c r="B90" s="9" t="n"/>
      <c r="C90" s="16" t="n"/>
      <c r="D90" s="18" t="n"/>
      <c r="E90" s="19" t="n"/>
      <c r="F90" s="20">
        <f>IF(OR(D90="",E90=""),"",ROUND(D90*E90,2))</f>
        <v/>
      </c>
      <c r="G90" s="19" t="n"/>
      <c r="H90" s="21">
        <f>IF(OR(F90="",G90=""),"",IF(ABS(F90-G90)&gt;0.01,"MISMATCH","OK"))</f>
        <v/>
      </c>
      <c r="I90" s="16" t="n"/>
      <c r="J90" s="9" t="n"/>
    </row>
    <row r="91">
      <c r="A91" s="16" t="n"/>
      <c r="B91" s="9" t="n"/>
      <c r="C91" s="16" t="n"/>
      <c r="D91" s="18" t="n"/>
      <c r="E91" s="19" t="n"/>
      <c r="F91" s="20">
        <f>IF(OR(D91="",E91=""),"",ROUND(D91*E91,2))</f>
        <v/>
      </c>
      <c r="G91" s="19" t="n"/>
      <c r="H91" s="21">
        <f>IF(OR(F91="",G91=""),"",IF(ABS(F91-G91)&gt;0.01,"MISMATCH","OK"))</f>
        <v/>
      </c>
      <c r="I91" s="16" t="n"/>
      <c r="J91" s="9" t="n"/>
    </row>
    <row r="92">
      <c r="A92" s="16" t="n"/>
      <c r="B92" s="9" t="n"/>
      <c r="C92" s="16" t="n"/>
      <c r="D92" s="18" t="n"/>
      <c r="E92" s="19" t="n"/>
      <c r="F92" s="20">
        <f>IF(OR(D92="",E92=""),"",ROUND(D92*E92,2))</f>
        <v/>
      </c>
      <c r="G92" s="19" t="n"/>
      <c r="H92" s="21">
        <f>IF(OR(F92="",G92=""),"",IF(ABS(F92-G92)&gt;0.01,"MISMATCH","OK"))</f>
        <v/>
      </c>
      <c r="I92" s="16" t="n"/>
      <c r="J92" s="9" t="n"/>
    </row>
    <row r="93">
      <c r="A93" s="16" t="n"/>
      <c r="B93" s="9" t="n"/>
      <c r="C93" s="16" t="n"/>
      <c r="D93" s="18" t="n"/>
      <c r="E93" s="19" t="n"/>
      <c r="F93" s="20">
        <f>IF(OR(D93="",E93=""),"",ROUND(D93*E93,2))</f>
        <v/>
      </c>
      <c r="G93" s="19" t="n"/>
      <c r="H93" s="21">
        <f>IF(OR(F93="",G93=""),"",IF(ABS(F93-G93)&gt;0.01,"MISMATCH","OK"))</f>
        <v/>
      </c>
      <c r="I93" s="16" t="n"/>
      <c r="J93" s="9" t="n"/>
    </row>
    <row r="94">
      <c r="A94" s="16" t="n"/>
      <c r="B94" s="9" t="n"/>
      <c r="C94" s="16" t="n"/>
      <c r="D94" s="18" t="n"/>
      <c r="E94" s="19" t="n"/>
      <c r="F94" s="20">
        <f>IF(OR(D94="",E94=""),"",ROUND(D94*E94,2))</f>
        <v/>
      </c>
      <c r="G94" s="19" t="n"/>
      <c r="H94" s="21">
        <f>IF(OR(F94="",G94=""),"",IF(ABS(F94-G94)&gt;0.01,"MISMATCH","OK"))</f>
        <v/>
      </c>
      <c r="I94" s="16" t="n"/>
      <c r="J94" s="9" t="n"/>
    </row>
    <row r="95">
      <c r="A95" s="16" t="n"/>
      <c r="B95" s="9" t="n"/>
      <c r="C95" s="16" t="n"/>
      <c r="D95" s="18" t="n"/>
      <c r="E95" s="19" t="n"/>
      <c r="F95" s="20">
        <f>IF(OR(D95="",E95=""),"",ROUND(D95*E95,2))</f>
        <v/>
      </c>
      <c r="G95" s="19" t="n"/>
      <c r="H95" s="21">
        <f>IF(OR(F95="",G95=""),"",IF(ABS(F95-G95)&gt;0.01,"MISMATCH","OK"))</f>
        <v/>
      </c>
      <c r="I95" s="16" t="n"/>
      <c r="J95" s="9" t="n"/>
    </row>
    <row r="96">
      <c r="A96" s="16" t="n"/>
      <c r="B96" s="9" t="n"/>
      <c r="C96" s="16" t="n"/>
      <c r="D96" s="18" t="n"/>
      <c r="E96" s="19" t="n"/>
      <c r="F96" s="20">
        <f>IF(OR(D96="",E96=""),"",ROUND(D96*E96,2))</f>
        <v/>
      </c>
      <c r="G96" s="19" t="n"/>
      <c r="H96" s="21">
        <f>IF(OR(F96="",G96=""),"",IF(ABS(F96-G96)&gt;0.01,"MISMATCH","OK"))</f>
        <v/>
      </c>
      <c r="I96" s="16" t="n"/>
      <c r="J96" s="9" t="n"/>
    </row>
    <row r="97">
      <c r="A97" s="16" t="n"/>
      <c r="B97" s="9" t="n"/>
      <c r="C97" s="16" t="n"/>
      <c r="D97" s="18" t="n"/>
      <c r="E97" s="19" t="n"/>
      <c r="F97" s="20">
        <f>IF(OR(D97="",E97=""),"",ROUND(D97*E97,2))</f>
        <v/>
      </c>
      <c r="G97" s="19" t="n"/>
      <c r="H97" s="21">
        <f>IF(OR(F97="",G97=""),"",IF(ABS(F97-G97)&gt;0.01,"MISMATCH","OK"))</f>
        <v/>
      </c>
      <c r="I97" s="16" t="n"/>
      <c r="J97" s="9" t="n"/>
    </row>
    <row r="98">
      <c r="A98" s="16" t="n"/>
      <c r="B98" s="9" t="n"/>
      <c r="C98" s="16" t="n"/>
      <c r="D98" s="18" t="n"/>
      <c r="E98" s="19" t="n"/>
      <c r="F98" s="20">
        <f>IF(OR(D98="",E98=""),"",ROUND(D98*E98,2))</f>
        <v/>
      </c>
      <c r="G98" s="19" t="n"/>
      <c r="H98" s="21">
        <f>IF(OR(F98="",G98=""),"",IF(ABS(F98-G98)&gt;0.01,"MISMATCH","OK"))</f>
        <v/>
      </c>
      <c r="I98" s="16" t="n"/>
      <c r="J98" s="9" t="n"/>
    </row>
    <row r="99">
      <c r="A99" s="16" t="n"/>
      <c r="B99" s="9" t="n"/>
      <c r="C99" s="16" t="n"/>
      <c r="D99" s="18" t="n"/>
      <c r="E99" s="19" t="n"/>
      <c r="F99" s="20">
        <f>IF(OR(D99="",E99=""),"",ROUND(D99*E99,2))</f>
        <v/>
      </c>
      <c r="G99" s="19" t="n"/>
      <c r="H99" s="21">
        <f>IF(OR(F99="",G99=""),"",IF(ABS(F99-G99)&gt;0.01,"MISMATCH","OK"))</f>
        <v/>
      </c>
      <c r="I99" s="16" t="n"/>
      <c r="J99" s="9" t="n"/>
    </row>
    <row r="100">
      <c r="A100" s="16" t="n"/>
      <c r="B100" s="9" t="n"/>
      <c r="C100" s="16" t="n"/>
      <c r="D100" s="18" t="n"/>
      <c r="E100" s="19" t="n"/>
      <c r="F100" s="20">
        <f>IF(OR(D100="",E100=""),"",ROUND(D100*E100,2))</f>
        <v/>
      </c>
      <c r="G100" s="19" t="n"/>
      <c r="H100" s="21">
        <f>IF(OR(F100="",G100=""),"",IF(ABS(F100-G100)&gt;0.01,"MISMATCH","OK"))</f>
        <v/>
      </c>
      <c r="I100" s="16" t="n"/>
      <c r="J100" s="9" t="n"/>
    </row>
    <row r="101">
      <c r="A101" s="16" t="n"/>
      <c r="B101" s="9" t="n"/>
      <c r="C101" s="16" t="n"/>
      <c r="D101" s="18" t="n"/>
      <c r="E101" s="19" t="n"/>
      <c r="F101" s="20">
        <f>IF(OR(D101="",E101=""),"",ROUND(D101*E101,2))</f>
        <v/>
      </c>
      <c r="G101" s="19" t="n"/>
      <c r="H101" s="21">
        <f>IF(OR(F101="",G101=""),"",IF(ABS(F101-G101)&gt;0.01,"MISMATCH","OK"))</f>
        <v/>
      </c>
      <c r="I101" s="16" t="n"/>
      <c r="J101" s="9" t="n"/>
    </row>
    <row r="102">
      <c r="A102" s="16" t="n"/>
      <c r="B102" s="9" t="n"/>
      <c r="C102" s="16" t="n"/>
      <c r="D102" s="18" t="n"/>
      <c r="E102" s="19" t="n"/>
      <c r="F102" s="20">
        <f>IF(OR(D102="",E102=""),"",ROUND(D102*E102,2))</f>
        <v/>
      </c>
      <c r="G102" s="19" t="n"/>
      <c r="H102" s="21">
        <f>IF(OR(F102="",G102=""),"",IF(ABS(F102-G102)&gt;0.01,"MISMATCH","OK"))</f>
        <v/>
      </c>
      <c r="I102" s="16" t="n"/>
      <c r="J102" s="9" t="n"/>
    </row>
    <row r="103">
      <c r="A103" s="16" t="n"/>
      <c r="B103" s="9" t="n"/>
      <c r="C103" s="16" t="n"/>
      <c r="D103" s="18" t="n"/>
      <c r="E103" s="19" t="n"/>
      <c r="F103" s="20">
        <f>IF(OR(D103="",E103=""),"",ROUND(D103*E103,2))</f>
        <v/>
      </c>
      <c r="G103" s="19" t="n"/>
      <c r="H103" s="21">
        <f>IF(OR(F103="",G103=""),"",IF(ABS(F103-G103)&gt;0.01,"MISMATCH","OK"))</f>
        <v/>
      </c>
      <c r="I103" s="16" t="n"/>
      <c r="J103" s="9" t="n"/>
    </row>
    <row r="104">
      <c r="A104" s="16" t="n"/>
      <c r="B104" s="9" t="n"/>
      <c r="C104" s="16" t="n"/>
      <c r="D104" s="18" t="n"/>
      <c r="E104" s="19" t="n"/>
      <c r="F104" s="20">
        <f>IF(OR(D104="",E104=""),"",ROUND(D104*E104,2))</f>
        <v/>
      </c>
      <c r="G104" s="19" t="n"/>
      <c r="H104" s="21">
        <f>IF(OR(F104="",G104=""),"",IF(ABS(F104-G104)&gt;0.01,"MISMATCH","OK"))</f>
        <v/>
      </c>
      <c r="I104" s="16" t="n"/>
      <c r="J104" s="9" t="n"/>
    </row>
    <row r="105">
      <c r="A105" s="16" t="n"/>
      <c r="B105" s="9" t="n"/>
      <c r="C105" s="16" t="n"/>
      <c r="D105" s="18" t="n"/>
      <c r="E105" s="19" t="n"/>
      <c r="F105" s="20">
        <f>IF(OR(D105="",E105=""),"",ROUND(D105*E105,2))</f>
        <v/>
      </c>
      <c r="G105" s="19" t="n"/>
      <c r="H105" s="21">
        <f>IF(OR(F105="",G105=""),"",IF(ABS(F105-G105)&gt;0.01,"MISMATCH","OK"))</f>
        <v/>
      </c>
      <c r="I105" s="16" t="n"/>
      <c r="J105" s="9" t="n"/>
    </row>
    <row r="106">
      <c r="A106" s="16" t="n"/>
      <c r="B106" s="9" t="n"/>
      <c r="C106" s="16" t="n"/>
      <c r="D106" s="18" t="n"/>
      <c r="E106" s="19" t="n"/>
      <c r="F106" s="20">
        <f>IF(OR(D106="",E106=""),"",ROUND(D106*E106,2))</f>
        <v/>
      </c>
      <c r="G106" s="19" t="n"/>
      <c r="H106" s="21">
        <f>IF(OR(F106="",G106=""),"",IF(ABS(F106-G106)&gt;0.01,"MISMATCH","OK"))</f>
        <v/>
      </c>
      <c r="I106" s="16" t="n"/>
      <c r="J106" s="9" t="n"/>
    </row>
    <row r="107">
      <c r="A107" s="16" t="n"/>
      <c r="B107" s="9" t="n"/>
      <c r="C107" s="16" t="n"/>
      <c r="D107" s="18" t="n"/>
      <c r="E107" s="19" t="n"/>
      <c r="F107" s="20">
        <f>IF(OR(D107="",E107=""),"",ROUND(D107*E107,2))</f>
        <v/>
      </c>
      <c r="G107" s="19" t="n"/>
      <c r="H107" s="21">
        <f>IF(OR(F107="",G107=""),"",IF(ABS(F107-G107)&gt;0.01,"MISMATCH","OK"))</f>
        <v/>
      </c>
      <c r="I107" s="16" t="n"/>
      <c r="J107" s="9" t="n"/>
    </row>
    <row r="108">
      <c r="A108" s="16" t="n"/>
      <c r="B108" s="9" t="n"/>
      <c r="C108" s="16" t="n"/>
      <c r="D108" s="18" t="n"/>
      <c r="E108" s="19" t="n"/>
      <c r="F108" s="20">
        <f>IF(OR(D108="",E108=""),"",ROUND(D108*E108,2))</f>
        <v/>
      </c>
      <c r="G108" s="19" t="n"/>
      <c r="H108" s="21">
        <f>IF(OR(F108="",G108=""),"",IF(ABS(F108-G108)&gt;0.01,"MISMATCH","OK"))</f>
        <v/>
      </c>
      <c r="I108" s="16" t="n"/>
      <c r="J108" s="9" t="n"/>
    </row>
    <row r="109">
      <c r="A109" s="16" t="n"/>
      <c r="B109" s="9" t="n"/>
      <c r="C109" s="16" t="n"/>
      <c r="D109" s="18" t="n"/>
      <c r="E109" s="19" t="n"/>
      <c r="F109" s="20">
        <f>IF(OR(D109="",E109=""),"",ROUND(D109*E109,2))</f>
        <v/>
      </c>
      <c r="G109" s="19" t="n"/>
      <c r="H109" s="21">
        <f>IF(OR(F109="",G109=""),"",IF(ABS(F109-G109)&gt;0.01,"MISMATCH","OK"))</f>
        <v/>
      </c>
      <c r="I109" s="16" t="n"/>
      <c r="J109" s="9" t="n"/>
    </row>
    <row r="110">
      <c r="A110" s="16" t="n"/>
      <c r="B110" s="9" t="n"/>
      <c r="C110" s="16" t="n"/>
      <c r="D110" s="18" t="n"/>
      <c r="E110" s="19" t="n"/>
      <c r="F110" s="20">
        <f>IF(OR(D110="",E110=""),"",ROUND(D110*E110,2))</f>
        <v/>
      </c>
      <c r="G110" s="19" t="n"/>
      <c r="H110" s="21">
        <f>IF(OR(F110="",G110=""),"",IF(ABS(F110-G110)&gt;0.01,"MISMATCH","OK"))</f>
        <v/>
      </c>
      <c r="I110" s="16" t="n"/>
      <c r="J110" s="9" t="n"/>
    </row>
    <row r="111">
      <c r="A111" s="16" t="n"/>
      <c r="B111" s="9" t="n"/>
      <c r="C111" s="16" t="n"/>
      <c r="D111" s="18" t="n"/>
      <c r="E111" s="19" t="n"/>
      <c r="F111" s="20">
        <f>IF(OR(D111="",E111=""),"",ROUND(D111*E111,2))</f>
        <v/>
      </c>
      <c r="G111" s="19" t="n"/>
      <c r="H111" s="21">
        <f>IF(OR(F111="",G111=""),"",IF(ABS(F111-G111)&gt;0.01,"MISMATCH","OK"))</f>
        <v/>
      </c>
      <c r="I111" s="16" t="n"/>
      <c r="J111" s="9" t="n"/>
    </row>
    <row r="112">
      <c r="A112" s="16" t="n"/>
      <c r="B112" s="9" t="n"/>
      <c r="C112" s="16" t="n"/>
      <c r="D112" s="18" t="n"/>
      <c r="E112" s="19" t="n"/>
      <c r="F112" s="20">
        <f>IF(OR(D112="",E112=""),"",ROUND(D112*E112,2))</f>
        <v/>
      </c>
      <c r="G112" s="19" t="n"/>
      <c r="H112" s="21">
        <f>IF(OR(F112="",G112=""),"",IF(ABS(F112-G112)&gt;0.01,"MISMATCH","OK"))</f>
        <v/>
      </c>
      <c r="I112" s="16" t="n"/>
      <c r="J112" s="9" t="n"/>
    </row>
    <row r="113">
      <c r="A113" s="16" t="n"/>
      <c r="B113" s="9" t="n"/>
      <c r="C113" s="16" t="n"/>
      <c r="D113" s="18" t="n"/>
      <c r="E113" s="19" t="n"/>
      <c r="F113" s="20">
        <f>IF(OR(D113="",E113=""),"",ROUND(D113*E113,2))</f>
        <v/>
      </c>
      <c r="G113" s="19" t="n"/>
      <c r="H113" s="21">
        <f>IF(OR(F113="",G113=""),"",IF(ABS(F113-G113)&gt;0.01,"MISMATCH","OK"))</f>
        <v/>
      </c>
      <c r="I113" s="16" t="n"/>
      <c r="J113" s="9" t="n"/>
    </row>
    <row r="114">
      <c r="A114" s="16" t="n"/>
      <c r="B114" s="9" t="n"/>
      <c r="C114" s="16" t="n"/>
      <c r="D114" s="18" t="n"/>
      <c r="E114" s="19" t="n"/>
      <c r="F114" s="20">
        <f>IF(OR(D114="",E114=""),"",ROUND(D114*E114,2))</f>
        <v/>
      </c>
      <c r="G114" s="19" t="n"/>
      <c r="H114" s="21">
        <f>IF(OR(F114="",G114=""),"",IF(ABS(F114-G114)&gt;0.01,"MISMATCH","OK"))</f>
        <v/>
      </c>
      <c r="I114" s="16" t="n"/>
      <c r="J114" s="9" t="n"/>
    </row>
    <row r="115">
      <c r="A115" s="16" t="n"/>
      <c r="B115" s="9" t="n"/>
      <c r="C115" s="16" t="n"/>
      <c r="D115" s="18" t="n"/>
      <c r="E115" s="19" t="n"/>
      <c r="F115" s="20">
        <f>IF(OR(D115="",E115=""),"",ROUND(D115*E115,2))</f>
        <v/>
      </c>
      <c r="G115" s="19" t="n"/>
      <c r="H115" s="21">
        <f>IF(OR(F115="",G115=""),"",IF(ABS(F115-G115)&gt;0.01,"MISMATCH","OK"))</f>
        <v/>
      </c>
      <c r="I115" s="16" t="n"/>
      <c r="J115" s="9" t="n"/>
    </row>
    <row r="116">
      <c r="A116" s="16" t="n"/>
      <c r="B116" s="9" t="n"/>
      <c r="C116" s="16" t="n"/>
      <c r="D116" s="18" t="n"/>
      <c r="E116" s="19" t="n"/>
      <c r="F116" s="20">
        <f>IF(OR(D116="",E116=""),"",ROUND(D116*E116,2))</f>
        <v/>
      </c>
      <c r="G116" s="19" t="n"/>
      <c r="H116" s="21">
        <f>IF(OR(F116="",G116=""),"",IF(ABS(F116-G116)&gt;0.01,"MISMATCH","OK"))</f>
        <v/>
      </c>
      <c r="I116" s="16" t="n"/>
      <c r="J116" s="9" t="n"/>
    </row>
    <row r="117">
      <c r="A117" s="16" t="n"/>
      <c r="B117" s="9" t="n"/>
      <c r="C117" s="16" t="n"/>
      <c r="D117" s="18" t="n"/>
      <c r="E117" s="19" t="n"/>
      <c r="F117" s="20">
        <f>IF(OR(D117="",E117=""),"",ROUND(D117*E117,2))</f>
        <v/>
      </c>
      <c r="G117" s="19" t="n"/>
      <c r="H117" s="21">
        <f>IF(OR(F117="",G117=""),"",IF(ABS(F117-G117)&gt;0.01,"MISMATCH","OK"))</f>
        <v/>
      </c>
      <c r="I117" s="16" t="n"/>
      <c r="J117" s="9" t="n"/>
    </row>
    <row r="118">
      <c r="A118" s="16" t="n"/>
      <c r="B118" s="9" t="n"/>
      <c r="C118" s="16" t="n"/>
      <c r="D118" s="18" t="n"/>
      <c r="E118" s="19" t="n"/>
      <c r="F118" s="20">
        <f>IF(OR(D118="",E118=""),"",ROUND(D118*E118,2))</f>
        <v/>
      </c>
      <c r="G118" s="19" t="n"/>
      <c r="H118" s="21">
        <f>IF(OR(F118="",G118=""),"",IF(ABS(F118-G118)&gt;0.01,"MISMATCH","OK"))</f>
        <v/>
      </c>
      <c r="I118" s="16" t="n"/>
      <c r="J118" s="9" t="n"/>
    </row>
    <row r="119">
      <c r="A119" s="16" t="n"/>
      <c r="B119" s="9" t="n"/>
      <c r="C119" s="16" t="n"/>
      <c r="D119" s="18" t="n"/>
      <c r="E119" s="19" t="n"/>
      <c r="F119" s="20">
        <f>IF(OR(D119="",E119=""),"",ROUND(D119*E119,2))</f>
        <v/>
      </c>
      <c r="G119" s="19" t="n"/>
      <c r="H119" s="21">
        <f>IF(OR(F119="",G119=""),"",IF(ABS(F119-G119)&gt;0.01,"MISMATCH","OK"))</f>
        <v/>
      </c>
      <c r="I119" s="16" t="n"/>
      <c r="J119" s="9" t="n"/>
    </row>
    <row r="120">
      <c r="A120" s="16" t="n"/>
      <c r="B120" s="9" t="n"/>
      <c r="C120" s="16" t="n"/>
      <c r="D120" s="18" t="n"/>
      <c r="E120" s="19" t="n"/>
      <c r="F120" s="20">
        <f>IF(OR(D120="",E120=""),"",ROUND(D120*E120,2))</f>
        <v/>
      </c>
      <c r="G120" s="19" t="n"/>
      <c r="H120" s="21">
        <f>IF(OR(F120="",G120=""),"",IF(ABS(F120-G120)&gt;0.01,"MISMATCH","OK"))</f>
        <v/>
      </c>
      <c r="I120" s="16" t="n"/>
      <c r="J120" s="9" t="n"/>
    </row>
    <row r="121">
      <c r="A121" s="16" t="n"/>
      <c r="B121" s="9" t="n"/>
      <c r="C121" s="16" t="n"/>
      <c r="D121" s="18" t="n"/>
      <c r="E121" s="19" t="n"/>
      <c r="F121" s="20">
        <f>IF(OR(D121="",E121=""),"",ROUND(D121*E121,2))</f>
        <v/>
      </c>
      <c r="G121" s="19" t="n"/>
      <c r="H121" s="21">
        <f>IF(OR(F121="",G121=""),"",IF(ABS(F121-G121)&gt;0.01,"MISMATCH","OK"))</f>
        <v/>
      </c>
      <c r="I121" s="16" t="n"/>
      <c r="J121" s="9" t="n"/>
    </row>
    <row r="122">
      <c r="A122" s="16" t="n"/>
      <c r="B122" s="9" t="n"/>
      <c r="C122" s="16" t="n"/>
      <c r="D122" s="18" t="n"/>
      <c r="E122" s="19" t="n"/>
      <c r="F122" s="20">
        <f>IF(OR(D122="",E122=""),"",ROUND(D122*E122,2))</f>
        <v/>
      </c>
      <c r="G122" s="19" t="n"/>
      <c r="H122" s="21">
        <f>IF(OR(F122="",G122=""),"",IF(ABS(F122-G122)&gt;0.01,"MISMATCH","OK"))</f>
        <v/>
      </c>
      <c r="I122" s="16" t="n"/>
      <c r="J122" s="9" t="n"/>
    </row>
    <row r="123">
      <c r="A123" s="16" t="n"/>
      <c r="B123" s="9" t="n"/>
      <c r="C123" s="16" t="n"/>
      <c r="D123" s="18" t="n"/>
      <c r="E123" s="19" t="n"/>
      <c r="F123" s="20">
        <f>IF(OR(D123="",E123=""),"",ROUND(D123*E123,2))</f>
        <v/>
      </c>
      <c r="G123" s="19" t="n"/>
      <c r="H123" s="21">
        <f>IF(OR(F123="",G123=""),"",IF(ABS(F123-G123)&gt;0.01,"MISMATCH","OK"))</f>
        <v/>
      </c>
      <c r="I123" s="16" t="n"/>
      <c r="J123" s="9" t="n"/>
    </row>
    <row r="124">
      <c r="A124" s="16" t="n"/>
      <c r="B124" s="9" t="n"/>
      <c r="C124" s="16" t="n"/>
      <c r="D124" s="18" t="n"/>
      <c r="E124" s="19" t="n"/>
      <c r="F124" s="20">
        <f>IF(OR(D124="",E124=""),"",ROUND(D124*E124,2))</f>
        <v/>
      </c>
      <c r="G124" s="19" t="n"/>
      <c r="H124" s="21">
        <f>IF(OR(F124="",G124=""),"",IF(ABS(F124-G124)&gt;0.01,"MISMATCH","OK"))</f>
        <v/>
      </c>
      <c r="I124" s="16" t="n"/>
      <c r="J124" s="9" t="n"/>
    </row>
    <row r="125">
      <c r="A125" s="16" t="n"/>
      <c r="B125" s="9" t="n"/>
      <c r="C125" s="16" t="n"/>
      <c r="D125" s="18" t="n"/>
      <c r="E125" s="19" t="n"/>
      <c r="F125" s="20">
        <f>IF(OR(D125="",E125=""),"",ROUND(D125*E125,2))</f>
        <v/>
      </c>
      <c r="G125" s="19" t="n"/>
      <c r="H125" s="21">
        <f>IF(OR(F125="",G125=""),"",IF(ABS(F125-G125)&gt;0.01,"MISMATCH","OK"))</f>
        <v/>
      </c>
      <c r="I125" s="16" t="n"/>
      <c r="J125" s="9" t="n"/>
    </row>
    <row r="126">
      <c r="A126" s="16" t="n"/>
      <c r="B126" s="9" t="n"/>
      <c r="C126" s="16" t="n"/>
      <c r="D126" s="18" t="n"/>
      <c r="E126" s="19" t="n"/>
      <c r="F126" s="20">
        <f>IF(OR(D126="",E126=""),"",ROUND(D126*E126,2))</f>
        <v/>
      </c>
      <c r="G126" s="19" t="n"/>
      <c r="H126" s="21">
        <f>IF(OR(F126="",G126=""),"",IF(ABS(F126-G126)&gt;0.01,"MISMATCH","OK"))</f>
        <v/>
      </c>
      <c r="I126" s="16" t="n"/>
      <c r="J126" s="9" t="n"/>
    </row>
    <row r="127">
      <c r="A127" s="16" t="n"/>
      <c r="B127" s="9" t="n"/>
      <c r="C127" s="16" t="n"/>
      <c r="D127" s="18" t="n"/>
      <c r="E127" s="19" t="n"/>
      <c r="F127" s="20">
        <f>IF(OR(D127="",E127=""),"",ROUND(D127*E127,2))</f>
        <v/>
      </c>
      <c r="G127" s="19" t="n"/>
      <c r="H127" s="21">
        <f>IF(OR(F127="",G127=""),"",IF(ABS(F127-G127)&gt;0.01,"MISMATCH","OK"))</f>
        <v/>
      </c>
      <c r="I127" s="16" t="n"/>
      <c r="J127" s="9" t="n"/>
    </row>
    <row r="128">
      <c r="A128" s="16" t="n"/>
      <c r="B128" s="9" t="n"/>
      <c r="C128" s="16" t="n"/>
      <c r="D128" s="18" t="n"/>
      <c r="E128" s="19" t="n"/>
      <c r="F128" s="20">
        <f>IF(OR(D128="",E128=""),"",ROUND(D128*E128,2))</f>
        <v/>
      </c>
      <c r="G128" s="19" t="n"/>
      <c r="H128" s="21">
        <f>IF(OR(F128="",G128=""),"",IF(ABS(F128-G128)&gt;0.01,"MISMATCH","OK"))</f>
        <v/>
      </c>
      <c r="I128" s="16" t="n"/>
      <c r="J128" s="9" t="n"/>
    </row>
    <row r="129">
      <c r="A129" s="16" t="n"/>
      <c r="B129" s="9" t="n"/>
      <c r="C129" s="16" t="n"/>
      <c r="D129" s="18" t="n"/>
      <c r="E129" s="19" t="n"/>
      <c r="F129" s="20">
        <f>IF(OR(D129="",E129=""),"",ROUND(D129*E129,2))</f>
        <v/>
      </c>
      <c r="G129" s="19" t="n"/>
      <c r="H129" s="21">
        <f>IF(OR(F129="",G129=""),"",IF(ABS(F129-G129)&gt;0.01,"MISMATCH","OK"))</f>
        <v/>
      </c>
      <c r="I129" s="16" t="n"/>
      <c r="J129" s="9" t="n"/>
    </row>
    <row r="130">
      <c r="A130" s="16" t="n"/>
      <c r="B130" s="9" t="n"/>
      <c r="C130" s="16" t="n"/>
      <c r="D130" s="18" t="n"/>
      <c r="E130" s="19" t="n"/>
      <c r="F130" s="20">
        <f>IF(OR(D130="",E130=""),"",ROUND(D130*E130,2))</f>
        <v/>
      </c>
      <c r="G130" s="19" t="n"/>
      <c r="H130" s="21">
        <f>IF(OR(F130="",G130=""),"",IF(ABS(F130-G130)&gt;0.01,"MISMATCH","OK"))</f>
        <v/>
      </c>
      <c r="I130" s="16" t="n"/>
      <c r="J130" s="9" t="n"/>
    </row>
    <row r="131">
      <c r="A131" s="16" t="n"/>
      <c r="B131" s="9" t="n"/>
      <c r="C131" s="16" t="n"/>
      <c r="D131" s="18" t="n"/>
      <c r="E131" s="19" t="n"/>
      <c r="F131" s="20">
        <f>IF(OR(D131="",E131=""),"",ROUND(D131*E131,2))</f>
        <v/>
      </c>
      <c r="G131" s="19" t="n"/>
      <c r="H131" s="21">
        <f>IF(OR(F131="",G131=""),"",IF(ABS(F131-G131)&gt;0.01,"MISMATCH","OK"))</f>
        <v/>
      </c>
      <c r="I131" s="16" t="n"/>
      <c r="J131" s="9" t="n"/>
    </row>
    <row r="132">
      <c r="A132" s="16" t="n"/>
      <c r="B132" s="9" t="n"/>
      <c r="C132" s="16" t="n"/>
      <c r="D132" s="18" t="n"/>
      <c r="E132" s="19" t="n"/>
      <c r="F132" s="20">
        <f>IF(OR(D132="",E132=""),"",ROUND(D132*E132,2))</f>
        <v/>
      </c>
      <c r="G132" s="19" t="n"/>
      <c r="H132" s="21">
        <f>IF(OR(F132="",G132=""),"",IF(ABS(F132-G132)&gt;0.01,"MISMATCH","OK"))</f>
        <v/>
      </c>
      <c r="I132" s="16" t="n"/>
      <c r="J132" s="9" t="n"/>
    </row>
    <row r="133">
      <c r="A133" s="16" t="n"/>
      <c r="B133" s="9" t="n"/>
      <c r="C133" s="16" t="n"/>
      <c r="D133" s="18" t="n"/>
      <c r="E133" s="19" t="n"/>
      <c r="F133" s="20">
        <f>IF(OR(D133="",E133=""),"",ROUND(D133*E133,2))</f>
        <v/>
      </c>
      <c r="G133" s="19" t="n"/>
      <c r="H133" s="21">
        <f>IF(OR(F133="",G133=""),"",IF(ABS(F133-G133)&gt;0.01,"MISMATCH","OK"))</f>
        <v/>
      </c>
      <c r="I133" s="16" t="n"/>
      <c r="J133" s="9" t="n"/>
    </row>
    <row r="134">
      <c r="A134" s="16" t="n"/>
      <c r="B134" s="9" t="n"/>
      <c r="C134" s="16" t="n"/>
      <c r="D134" s="18" t="n"/>
      <c r="E134" s="19" t="n"/>
      <c r="F134" s="20">
        <f>IF(OR(D134="",E134=""),"",ROUND(D134*E134,2))</f>
        <v/>
      </c>
      <c r="G134" s="19" t="n"/>
      <c r="H134" s="21">
        <f>IF(OR(F134="",G134=""),"",IF(ABS(F134-G134)&gt;0.01,"MISMATCH","OK"))</f>
        <v/>
      </c>
      <c r="I134" s="16" t="n"/>
      <c r="J134" s="9" t="n"/>
    </row>
    <row r="135">
      <c r="A135" s="16" t="n"/>
      <c r="B135" s="9" t="n"/>
      <c r="C135" s="16" t="n"/>
      <c r="D135" s="18" t="n"/>
      <c r="E135" s="19" t="n"/>
      <c r="F135" s="20">
        <f>IF(OR(D135="",E135=""),"",ROUND(D135*E135,2))</f>
        <v/>
      </c>
      <c r="G135" s="19" t="n"/>
      <c r="H135" s="21">
        <f>IF(OR(F135="",G135=""),"",IF(ABS(F135-G135)&gt;0.01,"MISMATCH","OK"))</f>
        <v/>
      </c>
      <c r="I135" s="16" t="n"/>
      <c r="J135" s="9" t="n"/>
    </row>
    <row r="136">
      <c r="A136" s="16" t="n"/>
      <c r="B136" s="9" t="n"/>
      <c r="C136" s="16" t="n"/>
      <c r="D136" s="18" t="n"/>
      <c r="E136" s="19" t="n"/>
      <c r="F136" s="20">
        <f>IF(OR(D136="",E136=""),"",ROUND(D136*E136,2))</f>
        <v/>
      </c>
      <c r="G136" s="19" t="n"/>
      <c r="H136" s="21">
        <f>IF(OR(F136="",G136=""),"",IF(ABS(F136-G136)&gt;0.01,"MISMATCH","OK"))</f>
        <v/>
      </c>
      <c r="I136" s="16" t="n"/>
      <c r="J136" s="9" t="n"/>
    </row>
    <row r="137">
      <c r="A137" s="16" t="n"/>
      <c r="B137" s="9" t="n"/>
      <c r="C137" s="16" t="n"/>
      <c r="D137" s="18" t="n"/>
      <c r="E137" s="19" t="n"/>
      <c r="F137" s="20">
        <f>IF(OR(D137="",E137=""),"",ROUND(D137*E137,2))</f>
        <v/>
      </c>
      <c r="G137" s="19" t="n"/>
      <c r="H137" s="21">
        <f>IF(OR(F137="",G137=""),"",IF(ABS(F137-G137)&gt;0.01,"MISMATCH","OK"))</f>
        <v/>
      </c>
      <c r="I137" s="16" t="n"/>
      <c r="J137" s="9" t="n"/>
    </row>
    <row r="138">
      <c r="A138" s="16" t="n"/>
      <c r="B138" s="9" t="n"/>
      <c r="C138" s="16" t="n"/>
      <c r="D138" s="18" t="n"/>
      <c r="E138" s="19" t="n"/>
      <c r="F138" s="20">
        <f>IF(OR(D138="",E138=""),"",ROUND(D138*E138,2))</f>
        <v/>
      </c>
      <c r="G138" s="19" t="n"/>
      <c r="H138" s="21">
        <f>IF(OR(F138="",G138=""),"",IF(ABS(F138-G138)&gt;0.01,"MISMATCH","OK"))</f>
        <v/>
      </c>
      <c r="I138" s="16" t="n"/>
      <c r="J138" s="9" t="n"/>
    </row>
    <row r="139">
      <c r="A139" s="16" t="n"/>
      <c r="B139" s="9" t="n"/>
      <c r="C139" s="16" t="n"/>
      <c r="D139" s="18" t="n"/>
      <c r="E139" s="19" t="n"/>
      <c r="F139" s="20">
        <f>IF(OR(D139="",E139=""),"",ROUND(D139*E139,2))</f>
        <v/>
      </c>
      <c r="G139" s="19" t="n"/>
      <c r="H139" s="21">
        <f>IF(OR(F139="",G139=""),"",IF(ABS(F139-G139)&gt;0.01,"MISMATCH","OK"))</f>
        <v/>
      </c>
      <c r="I139" s="16" t="n"/>
      <c r="J139" s="9" t="n"/>
    </row>
    <row r="140">
      <c r="A140" s="16" t="n"/>
      <c r="B140" s="9" t="n"/>
      <c r="C140" s="16" t="n"/>
      <c r="D140" s="18" t="n"/>
      <c r="E140" s="19" t="n"/>
      <c r="F140" s="20">
        <f>IF(OR(D140="",E140=""),"",ROUND(D140*E140,2))</f>
        <v/>
      </c>
      <c r="G140" s="19" t="n"/>
      <c r="H140" s="21">
        <f>IF(OR(F140="",G140=""),"",IF(ABS(F140-G140)&gt;0.01,"MISMATCH","OK"))</f>
        <v/>
      </c>
      <c r="I140" s="16" t="n"/>
      <c r="J140" s="9" t="n"/>
    </row>
    <row r="141">
      <c r="A141" s="16" t="n"/>
      <c r="B141" s="9" t="n"/>
      <c r="C141" s="16" t="n"/>
      <c r="D141" s="18" t="n"/>
      <c r="E141" s="19" t="n"/>
      <c r="F141" s="20">
        <f>IF(OR(D141="",E141=""),"",ROUND(D141*E141,2))</f>
        <v/>
      </c>
      <c r="G141" s="19" t="n"/>
      <c r="H141" s="21">
        <f>IF(OR(F141="",G141=""),"",IF(ABS(F141-G141)&gt;0.01,"MISMATCH","OK"))</f>
        <v/>
      </c>
      <c r="I141" s="16" t="n"/>
      <c r="J141" s="9" t="n"/>
    </row>
    <row r="142">
      <c r="A142" s="16" t="n"/>
      <c r="B142" s="9" t="n"/>
      <c r="C142" s="16" t="n"/>
      <c r="D142" s="18" t="n"/>
      <c r="E142" s="19" t="n"/>
      <c r="F142" s="20">
        <f>IF(OR(D142="",E142=""),"",ROUND(D142*E142,2))</f>
        <v/>
      </c>
      <c r="G142" s="19" t="n"/>
      <c r="H142" s="21">
        <f>IF(OR(F142="",G142=""),"",IF(ABS(F142-G142)&gt;0.01,"MISMATCH","OK"))</f>
        <v/>
      </c>
      <c r="I142" s="16" t="n"/>
      <c r="J142" s="9" t="n"/>
    </row>
    <row r="143">
      <c r="A143" s="16" t="n"/>
      <c r="B143" s="9" t="n"/>
      <c r="C143" s="16" t="n"/>
      <c r="D143" s="18" t="n"/>
      <c r="E143" s="19" t="n"/>
      <c r="F143" s="20">
        <f>IF(OR(D143="",E143=""),"",ROUND(D143*E143,2))</f>
        <v/>
      </c>
      <c r="G143" s="19" t="n"/>
      <c r="H143" s="21">
        <f>IF(OR(F143="",G143=""),"",IF(ABS(F143-G143)&gt;0.01,"MISMATCH","OK"))</f>
        <v/>
      </c>
      <c r="I143" s="16" t="n"/>
      <c r="J143" s="9" t="n"/>
    </row>
    <row r="144">
      <c r="A144" s="16" t="n"/>
      <c r="B144" s="9" t="n"/>
      <c r="C144" s="16" t="n"/>
      <c r="D144" s="18" t="n"/>
      <c r="E144" s="19" t="n"/>
      <c r="F144" s="20">
        <f>IF(OR(D144="",E144=""),"",ROUND(D144*E144,2))</f>
        <v/>
      </c>
      <c r="G144" s="19" t="n"/>
      <c r="H144" s="21">
        <f>IF(OR(F144="",G144=""),"",IF(ABS(F144-G144)&gt;0.01,"MISMATCH","OK"))</f>
        <v/>
      </c>
      <c r="I144" s="16" t="n"/>
      <c r="J144" s="9" t="n"/>
    </row>
    <row r="145">
      <c r="A145" s="16" t="n"/>
      <c r="B145" s="9" t="n"/>
      <c r="C145" s="16" t="n"/>
      <c r="D145" s="18" t="n"/>
      <c r="E145" s="19" t="n"/>
      <c r="F145" s="20">
        <f>IF(OR(D145="",E145=""),"",ROUND(D145*E145,2))</f>
        <v/>
      </c>
      <c r="G145" s="19" t="n"/>
      <c r="H145" s="21">
        <f>IF(OR(F145="",G145=""),"",IF(ABS(F145-G145)&gt;0.01,"MISMATCH","OK"))</f>
        <v/>
      </c>
      <c r="I145" s="16" t="n"/>
      <c r="J145" s="9" t="n"/>
    </row>
    <row r="146">
      <c r="A146" s="16" t="n"/>
      <c r="B146" s="9" t="n"/>
      <c r="C146" s="16" t="n"/>
      <c r="D146" s="18" t="n"/>
      <c r="E146" s="19" t="n"/>
      <c r="F146" s="20">
        <f>IF(OR(D146="",E146=""),"",ROUND(D146*E146,2))</f>
        <v/>
      </c>
      <c r="G146" s="19" t="n"/>
      <c r="H146" s="21">
        <f>IF(OR(F146="",G146=""),"",IF(ABS(F146-G146)&gt;0.01,"MISMATCH","OK"))</f>
        <v/>
      </c>
      <c r="I146" s="16" t="n"/>
      <c r="J146" s="9" t="n"/>
    </row>
    <row r="147">
      <c r="A147" s="16" t="n"/>
      <c r="B147" s="9" t="n"/>
      <c r="C147" s="16" t="n"/>
      <c r="D147" s="18" t="n"/>
      <c r="E147" s="19" t="n"/>
      <c r="F147" s="20">
        <f>IF(OR(D147="",E147=""),"",ROUND(D147*E147,2))</f>
        <v/>
      </c>
      <c r="G147" s="19" t="n"/>
      <c r="H147" s="21">
        <f>IF(OR(F147="",G147=""),"",IF(ABS(F147-G147)&gt;0.01,"MISMATCH","OK"))</f>
        <v/>
      </c>
      <c r="I147" s="16" t="n"/>
      <c r="J147" s="9" t="n"/>
    </row>
    <row r="148">
      <c r="A148" s="16" t="n"/>
      <c r="B148" s="9" t="n"/>
      <c r="C148" s="16" t="n"/>
      <c r="D148" s="18" t="n"/>
      <c r="E148" s="19" t="n"/>
      <c r="F148" s="20">
        <f>IF(OR(D148="",E148=""),"",ROUND(D148*E148,2))</f>
        <v/>
      </c>
      <c r="G148" s="19" t="n"/>
      <c r="H148" s="21">
        <f>IF(OR(F148="",G148=""),"",IF(ABS(F148-G148)&gt;0.01,"MISMATCH","OK"))</f>
        <v/>
      </c>
      <c r="I148" s="16" t="n"/>
      <c r="J148" s="9" t="n"/>
    </row>
    <row r="149">
      <c r="A149" s="16" t="n"/>
      <c r="B149" s="9" t="n"/>
      <c r="C149" s="16" t="n"/>
      <c r="D149" s="18" t="n"/>
      <c r="E149" s="19" t="n"/>
      <c r="F149" s="20">
        <f>IF(OR(D149="",E149=""),"",ROUND(D149*E149,2))</f>
        <v/>
      </c>
      <c r="G149" s="19" t="n"/>
      <c r="H149" s="21">
        <f>IF(OR(F149="",G149=""),"",IF(ABS(F149-G149)&gt;0.01,"MISMATCH","OK"))</f>
        <v/>
      </c>
      <c r="I149" s="16" t="n"/>
      <c r="J149" s="9" t="n"/>
    </row>
    <row r="150">
      <c r="A150" s="16" t="n"/>
      <c r="B150" s="9" t="n"/>
      <c r="C150" s="16" t="n"/>
      <c r="D150" s="18" t="n"/>
      <c r="E150" s="19" t="n"/>
      <c r="F150" s="20">
        <f>IF(OR(D150="",E150=""),"",ROUND(D150*E150,2))</f>
        <v/>
      </c>
      <c r="G150" s="19" t="n"/>
      <c r="H150" s="21">
        <f>IF(OR(F150="",G150=""),"",IF(ABS(F150-G150)&gt;0.01,"MISMATCH","OK"))</f>
        <v/>
      </c>
      <c r="I150" s="16" t="n"/>
      <c r="J150" s="9" t="n"/>
    </row>
    <row r="151">
      <c r="A151" s="16" t="n"/>
      <c r="B151" s="9" t="n"/>
      <c r="C151" s="16" t="n"/>
      <c r="D151" s="18" t="n"/>
      <c r="E151" s="19" t="n"/>
      <c r="F151" s="20">
        <f>IF(OR(D151="",E151=""),"",ROUND(D151*E151,2))</f>
        <v/>
      </c>
      <c r="G151" s="19" t="n"/>
      <c r="H151" s="21">
        <f>IF(OR(F151="",G151=""),"",IF(ABS(F151-G151)&gt;0.01,"MISMATCH","OK"))</f>
        <v/>
      </c>
      <c r="I151" s="16" t="n"/>
      <c r="J151" s="9" t="n"/>
    </row>
    <row r="152">
      <c r="A152" s="16" t="n"/>
      <c r="B152" s="9" t="n"/>
      <c r="C152" s="16" t="n"/>
      <c r="D152" s="18" t="n"/>
      <c r="E152" s="19" t="n"/>
      <c r="F152" s="20">
        <f>IF(OR(D152="",E152=""),"",ROUND(D152*E152,2))</f>
        <v/>
      </c>
      <c r="G152" s="19" t="n"/>
      <c r="H152" s="21">
        <f>IF(OR(F152="",G152=""),"",IF(ABS(F152-G152)&gt;0.01,"MISMATCH","OK"))</f>
        <v/>
      </c>
      <c r="I152" s="16" t="n"/>
      <c r="J152" s="9" t="n"/>
    </row>
    <row r="153">
      <c r="A153" s="16" t="n"/>
      <c r="B153" s="9" t="n"/>
      <c r="C153" s="16" t="n"/>
      <c r="D153" s="18" t="n"/>
      <c r="E153" s="19" t="n"/>
      <c r="F153" s="20">
        <f>IF(OR(D153="",E153=""),"",ROUND(D153*E153,2))</f>
        <v/>
      </c>
      <c r="G153" s="19" t="n"/>
      <c r="H153" s="21">
        <f>IF(OR(F153="",G153=""),"",IF(ABS(F153-G153)&gt;0.01,"MISMATCH","OK"))</f>
        <v/>
      </c>
      <c r="I153" s="16" t="n"/>
      <c r="J153" s="9" t="n"/>
    </row>
    <row r="154">
      <c r="A154" s="16" t="n"/>
      <c r="B154" s="9" t="n"/>
      <c r="C154" s="16" t="n"/>
      <c r="D154" s="18" t="n"/>
      <c r="E154" s="19" t="n"/>
      <c r="F154" s="20">
        <f>IF(OR(D154="",E154=""),"",ROUND(D154*E154,2))</f>
        <v/>
      </c>
      <c r="G154" s="19" t="n"/>
      <c r="H154" s="21">
        <f>IF(OR(F154="",G154=""),"",IF(ABS(F154-G154)&gt;0.01,"MISMATCH","OK"))</f>
        <v/>
      </c>
      <c r="I154" s="16" t="n"/>
      <c r="J154" s="9" t="n"/>
    </row>
    <row r="155">
      <c r="A155" s="16" t="n"/>
      <c r="B155" s="9" t="n"/>
      <c r="C155" s="16" t="n"/>
      <c r="D155" s="18" t="n"/>
      <c r="E155" s="19" t="n"/>
      <c r="F155" s="20">
        <f>IF(OR(D155="",E155=""),"",ROUND(D155*E155,2))</f>
        <v/>
      </c>
      <c r="G155" s="19" t="n"/>
      <c r="H155" s="21">
        <f>IF(OR(F155="",G155=""),"",IF(ABS(F155-G155)&gt;0.01,"MISMATCH","OK"))</f>
        <v/>
      </c>
      <c r="I155" s="16" t="n"/>
      <c r="J155" s="9" t="n"/>
    </row>
    <row r="156">
      <c r="A156" s="16" t="n"/>
      <c r="B156" s="9" t="n"/>
      <c r="C156" s="16" t="n"/>
      <c r="D156" s="18" t="n"/>
      <c r="E156" s="19" t="n"/>
      <c r="F156" s="20">
        <f>IF(OR(D156="",E156=""),"",ROUND(D156*E156,2))</f>
        <v/>
      </c>
      <c r="G156" s="19" t="n"/>
      <c r="H156" s="21">
        <f>IF(OR(F156="",G156=""),"",IF(ABS(F156-G156)&gt;0.01,"MISMATCH","OK"))</f>
        <v/>
      </c>
      <c r="I156" s="16" t="n"/>
      <c r="J156" s="9" t="n"/>
    </row>
    <row r="157">
      <c r="A157" s="16" t="n"/>
      <c r="B157" s="9" t="n"/>
      <c r="C157" s="16" t="n"/>
      <c r="D157" s="18" t="n"/>
      <c r="E157" s="19" t="n"/>
      <c r="F157" s="20">
        <f>IF(OR(D157="",E157=""),"",ROUND(D157*E157,2))</f>
        <v/>
      </c>
      <c r="G157" s="19" t="n"/>
      <c r="H157" s="21">
        <f>IF(OR(F157="",G157=""),"",IF(ABS(F157-G157)&gt;0.01,"MISMATCH","OK"))</f>
        <v/>
      </c>
      <c r="I157" s="16" t="n"/>
      <c r="J157" s="9" t="n"/>
    </row>
    <row r="158">
      <c r="A158" s="16" t="n"/>
      <c r="B158" s="9" t="n"/>
      <c r="C158" s="16" t="n"/>
      <c r="D158" s="18" t="n"/>
      <c r="E158" s="19" t="n"/>
      <c r="F158" s="20">
        <f>IF(OR(D158="",E158=""),"",ROUND(D158*E158,2))</f>
        <v/>
      </c>
      <c r="G158" s="19" t="n"/>
      <c r="H158" s="21">
        <f>IF(OR(F158="",G158=""),"",IF(ABS(F158-G158)&gt;0.01,"MISMATCH","OK"))</f>
        <v/>
      </c>
      <c r="I158" s="16" t="n"/>
      <c r="J158" s="9" t="n"/>
    </row>
    <row r="159">
      <c r="A159" s="16" t="n"/>
      <c r="B159" s="9" t="n"/>
      <c r="C159" s="16" t="n"/>
      <c r="D159" s="18" t="n"/>
      <c r="E159" s="19" t="n"/>
      <c r="F159" s="20">
        <f>IF(OR(D159="",E159=""),"",ROUND(D159*E159,2))</f>
        <v/>
      </c>
      <c r="G159" s="19" t="n"/>
      <c r="H159" s="21">
        <f>IF(OR(F159="",G159=""),"",IF(ABS(F159-G159)&gt;0.01,"MISMATCH","OK"))</f>
        <v/>
      </c>
      <c r="I159" s="16" t="n"/>
      <c r="J159" s="9" t="n"/>
    </row>
    <row r="160">
      <c r="A160" s="16" t="n"/>
      <c r="B160" s="9" t="n"/>
      <c r="C160" s="16" t="n"/>
      <c r="D160" s="18" t="n"/>
      <c r="E160" s="19" t="n"/>
      <c r="F160" s="20">
        <f>IF(OR(D160="",E160=""),"",ROUND(D160*E160,2))</f>
        <v/>
      </c>
      <c r="G160" s="19" t="n"/>
      <c r="H160" s="21">
        <f>IF(OR(F160="",G160=""),"",IF(ABS(F160-G160)&gt;0.01,"MISMATCH","OK"))</f>
        <v/>
      </c>
      <c r="I160" s="16" t="n"/>
      <c r="J160" s="9" t="n"/>
    </row>
    <row r="161">
      <c r="A161" s="16" t="n"/>
      <c r="B161" s="9" t="n"/>
      <c r="C161" s="16" t="n"/>
      <c r="D161" s="18" t="n"/>
      <c r="E161" s="19" t="n"/>
      <c r="F161" s="20">
        <f>IF(OR(D161="",E161=""),"",ROUND(D161*E161,2))</f>
        <v/>
      </c>
      <c r="G161" s="19" t="n"/>
      <c r="H161" s="21">
        <f>IF(OR(F161="",G161=""),"",IF(ABS(F161-G161)&gt;0.01,"MISMATCH","OK"))</f>
        <v/>
      </c>
      <c r="I161" s="16" t="n"/>
      <c r="J161" s="9" t="n"/>
    </row>
    <row r="162">
      <c r="A162" s="16" t="n"/>
      <c r="B162" s="9" t="n"/>
      <c r="C162" s="16" t="n"/>
      <c r="D162" s="18" t="n"/>
      <c r="E162" s="19" t="n"/>
      <c r="F162" s="20">
        <f>IF(OR(D162="",E162=""),"",ROUND(D162*E162,2))</f>
        <v/>
      </c>
      <c r="G162" s="19" t="n"/>
      <c r="H162" s="21">
        <f>IF(OR(F162="",G162=""),"",IF(ABS(F162-G162)&gt;0.01,"MISMATCH","OK"))</f>
        <v/>
      </c>
      <c r="I162" s="16" t="n"/>
      <c r="J162" s="9" t="n"/>
    </row>
    <row r="163">
      <c r="A163" s="16" t="n"/>
      <c r="B163" s="9" t="n"/>
      <c r="C163" s="16" t="n"/>
      <c r="D163" s="18" t="n"/>
      <c r="E163" s="19" t="n"/>
      <c r="F163" s="20">
        <f>IF(OR(D163="",E163=""),"",ROUND(D163*E163,2))</f>
        <v/>
      </c>
      <c r="G163" s="19" t="n"/>
      <c r="H163" s="21">
        <f>IF(OR(F163="",G163=""),"",IF(ABS(F163-G163)&gt;0.01,"MISMATCH","OK"))</f>
        <v/>
      </c>
      <c r="I163" s="16" t="n"/>
      <c r="J163" s="9" t="n"/>
    </row>
    <row r="164">
      <c r="A164" s="16" t="n"/>
      <c r="B164" s="9" t="n"/>
      <c r="C164" s="16" t="n"/>
      <c r="D164" s="18" t="n"/>
      <c r="E164" s="19" t="n"/>
      <c r="F164" s="20">
        <f>IF(OR(D164="",E164=""),"",ROUND(D164*E164,2))</f>
        <v/>
      </c>
      <c r="G164" s="19" t="n"/>
      <c r="H164" s="21">
        <f>IF(OR(F164="",G164=""),"",IF(ABS(F164-G164)&gt;0.01,"MISMATCH","OK"))</f>
        <v/>
      </c>
      <c r="I164" s="16" t="n"/>
      <c r="J164" s="9" t="n"/>
    </row>
    <row r="165">
      <c r="A165" s="16" t="n"/>
      <c r="B165" s="9" t="n"/>
      <c r="C165" s="16" t="n"/>
      <c r="D165" s="18" t="n"/>
      <c r="E165" s="19" t="n"/>
      <c r="F165" s="20">
        <f>IF(OR(D165="",E165=""),"",ROUND(D165*E165,2))</f>
        <v/>
      </c>
      <c r="G165" s="19" t="n"/>
      <c r="H165" s="21">
        <f>IF(OR(F165="",G165=""),"",IF(ABS(F165-G165)&gt;0.01,"MISMATCH","OK"))</f>
        <v/>
      </c>
      <c r="I165" s="16" t="n"/>
      <c r="J165" s="9" t="n"/>
    </row>
    <row r="166">
      <c r="A166" s="16" t="n"/>
      <c r="B166" s="9" t="n"/>
      <c r="C166" s="16" t="n"/>
      <c r="D166" s="18" t="n"/>
      <c r="E166" s="19" t="n"/>
      <c r="F166" s="20">
        <f>IF(OR(D166="",E166=""),"",ROUND(D166*E166,2))</f>
        <v/>
      </c>
      <c r="G166" s="19" t="n"/>
      <c r="H166" s="21">
        <f>IF(OR(F166="",G166=""),"",IF(ABS(F166-G166)&gt;0.01,"MISMATCH","OK"))</f>
        <v/>
      </c>
      <c r="I166" s="16" t="n"/>
      <c r="J166" s="9" t="n"/>
    </row>
    <row r="167">
      <c r="A167" s="16" t="n"/>
      <c r="B167" s="9" t="n"/>
      <c r="C167" s="16" t="n"/>
      <c r="D167" s="18" t="n"/>
      <c r="E167" s="19" t="n"/>
      <c r="F167" s="20">
        <f>IF(OR(D167="",E167=""),"",ROUND(D167*E167,2))</f>
        <v/>
      </c>
      <c r="G167" s="19" t="n"/>
      <c r="H167" s="21">
        <f>IF(OR(F167="",G167=""),"",IF(ABS(F167-G167)&gt;0.01,"MISMATCH","OK"))</f>
        <v/>
      </c>
      <c r="I167" s="16" t="n"/>
      <c r="J167" s="9" t="n"/>
    </row>
    <row r="168">
      <c r="A168" s="16" t="n"/>
      <c r="B168" s="9" t="n"/>
      <c r="C168" s="16" t="n"/>
      <c r="D168" s="18" t="n"/>
      <c r="E168" s="19" t="n"/>
      <c r="F168" s="20">
        <f>IF(OR(D168="",E168=""),"",ROUND(D168*E168,2))</f>
        <v/>
      </c>
      <c r="G168" s="19" t="n"/>
      <c r="H168" s="21">
        <f>IF(OR(F168="",G168=""),"",IF(ABS(F168-G168)&gt;0.01,"MISMATCH","OK"))</f>
        <v/>
      </c>
      <c r="I168" s="16" t="n"/>
      <c r="J168" s="9" t="n"/>
    </row>
    <row r="169">
      <c r="A169" s="16" t="n"/>
      <c r="B169" s="9" t="n"/>
      <c r="C169" s="16" t="n"/>
      <c r="D169" s="18" t="n"/>
      <c r="E169" s="19" t="n"/>
      <c r="F169" s="20">
        <f>IF(OR(D169="",E169=""),"",ROUND(D169*E169,2))</f>
        <v/>
      </c>
      <c r="G169" s="19" t="n"/>
      <c r="H169" s="21">
        <f>IF(OR(F169="",G169=""),"",IF(ABS(F169-G169)&gt;0.01,"MISMATCH","OK"))</f>
        <v/>
      </c>
      <c r="I169" s="16" t="n"/>
      <c r="J169" s="9" t="n"/>
    </row>
    <row r="170">
      <c r="A170" s="16" t="n"/>
      <c r="B170" s="9" t="n"/>
      <c r="C170" s="16" t="n"/>
      <c r="D170" s="18" t="n"/>
      <c r="E170" s="19" t="n"/>
      <c r="F170" s="20">
        <f>IF(OR(D170="",E170=""),"",ROUND(D170*E170,2))</f>
        <v/>
      </c>
      <c r="G170" s="19" t="n"/>
      <c r="H170" s="21">
        <f>IF(OR(F170="",G170=""),"",IF(ABS(F170-G170)&gt;0.01,"MISMATCH","OK"))</f>
        <v/>
      </c>
      <c r="I170" s="16" t="n"/>
      <c r="J170" s="9" t="n"/>
    </row>
    <row r="171">
      <c r="A171" s="16" t="n"/>
      <c r="B171" s="9" t="n"/>
      <c r="C171" s="16" t="n"/>
      <c r="D171" s="18" t="n"/>
      <c r="E171" s="19" t="n"/>
      <c r="F171" s="20">
        <f>IF(OR(D171="",E171=""),"",ROUND(D171*E171,2))</f>
        <v/>
      </c>
      <c r="G171" s="19" t="n"/>
      <c r="H171" s="21">
        <f>IF(OR(F171="",G171=""),"",IF(ABS(F171-G171)&gt;0.01,"MISMATCH","OK"))</f>
        <v/>
      </c>
      <c r="I171" s="16" t="n"/>
      <c r="J171" s="9" t="n"/>
    </row>
    <row r="172">
      <c r="A172" s="16" t="n"/>
      <c r="B172" s="9" t="n"/>
      <c r="C172" s="16" t="n"/>
      <c r="D172" s="18" t="n"/>
      <c r="E172" s="19" t="n"/>
      <c r="F172" s="20">
        <f>IF(OR(D172="",E172=""),"",ROUND(D172*E172,2))</f>
        <v/>
      </c>
      <c r="G172" s="19" t="n"/>
      <c r="H172" s="21">
        <f>IF(OR(F172="",G172=""),"",IF(ABS(F172-G172)&gt;0.01,"MISMATCH","OK"))</f>
        <v/>
      </c>
      <c r="I172" s="16" t="n"/>
      <c r="J172" s="9" t="n"/>
    </row>
    <row r="173">
      <c r="A173" s="16" t="n"/>
      <c r="B173" s="9" t="n"/>
      <c r="C173" s="16" t="n"/>
      <c r="D173" s="18" t="n"/>
      <c r="E173" s="19" t="n"/>
      <c r="F173" s="20">
        <f>IF(OR(D173="",E173=""),"",ROUND(D173*E173,2))</f>
        <v/>
      </c>
      <c r="G173" s="19" t="n"/>
      <c r="H173" s="21">
        <f>IF(OR(F173="",G173=""),"",IF(ABS(F173-G173)&gt;0.01,"MISMATCH","OK"))</f>
        <v/>
      </c>
      <c r="I173" s="16" t="n"/>
      <c r="J173" s="9" t="n"/>
    </row>
    <row r="174">
      <c r="A174" s="16" t="n"/>
      <c r="B174" s="9" t="n"/>
      <c r="C174" s="16" t="n"/>
      <c r="D174" s="18" t="n"/>
      <c r="E174" s="19" t="n"/>
      <c r="F174" s="20">
        <f>IF(OR(D174="",E174=""),"",ROUND(D174*E174,2))</f>
        <v/>
      </c>
      <c r="G174" s="19" t="n"/>
      <c r="H174" s="21">
        <f>IF(OR(F174="",G174=""),"",IF(ABS(F174-G174)&gt;0.01,"MISMATCH","OK"))</f>
        <v/>
      </c>
      <c r="I174" s="16" t="n"/>
      <c r="J174" s="9" t="n"/>
    </row>
    <row r="175">
      <c r="A175" s="16" t="n"/>
      <c r="B175" s="9" t="n"/>
      <c r="C175" s="16" t="n"/>
      <c r="D175" s="18" t="n"/>
      <c r="E175" s="19" t="n"/>
      <c r="F175" s="20">
        <f>IF(OR(D175="",E175=""),"",ROUND(D175*E175,2))</f>
        <v/>
      </c>
      <c r="G175" s="19" t="n"/>
      <c r="H175" s="21">
        <f>IF(OR(F175="",G175=""),"",IF(ABS(F175-G175)&gt;0.01,"MISMATCH","OK"))</f>
        <v/>
      </c>
      <c r="I175" s="16" t="n"/>
      <c r="J175" s="9" t="n"/>
    </row>
    <row r="176">
      <c r="A176" s="16" t="n"/>
      <c r="B176" s="9" t="n"/>
      <c r="C176" s="16" t="n"/>
      <c r="D176" s="18" t="n"/>
      <c r="E176" s="19" t="n"/>
      <c r="F176" s="20">
        <f>IF(OR(D176="",E176=""),"",ROUND(D176*E176,2))</f>
        <v/>
      </c>
      <c r="G176" s="19" t="n"/>
      <c r="H176" s="21">
        <f>IF(OR(F176="",G176=""),"",IF(ABS(F176-G176)&gt;0.01,"MISMATCH","OK"))</f>
        <v/>
      </c>
      <c r="I176" s="16" t="n"/>
      <c r="J176" s="9" t="n"/>
    </row>
    <row r="177">
      <c r="A177" s="16" t="n"/>
      <c r="B177" s="9" t="n"/>
      <c r="C177" s="16" t="n"/>
      <c r="D177" s="18" t="n"/>
      <c r="E177" s="19" t="n"/>
      <c r="F177" s="20">
        <f>IF(OR(D177="",E177=""),"",ROUND(D177*E177,2))</f>
        <v/>
      </c>
      <c r="G177" s="19" t="n"/>
      <c r="H177" s="21">
        <f>IF(OR(F177="",G177=""),"",IF(ABS(F177-G177)&gt;0.01,"MISMATCH","OK"))</f>
        <v/>
      </c>
      <c r="I177" s="16" t="n"/>
      <c r="J177" s="9" t="n"/>
    </row>
    <row r="178">
      <c r="A178" s="16" t="n"/>
      <c r="B178" s="9" t="n"/>
      <c r="C178" s="16" t="n"/>
      <c r="D178" s="18" t="n"/>
      <c r="E178" s="19" t="n"/>
      <c r="F178" s="20">
        <f>IF(OR(D178="",E178=""),"",ROUND(D178*E178,2))</f>
        <v/>
      </c>
      <c r="G178" s="19" t="n"/>
      <c r="H178" s="21">
        <f>IF(OR(F178="",G178=""),"",IF(ABS(F178-G178)&gt;0.01,"MISMATCH","OK"))</f>
        <v/>
      </c>
      <c r="I178" s="16" t="n"/>
      <c r="J178" s="9" t="n"/>
    </row>
    <row r="179">
      <c r="A179" s="16" t="n"/>
      <c r="B179" s="9" t="n"/>
      <c r="C179" s="16" t="n"/>
      <c r="D179" s="18" t="n"/>
      <c r="E179" s="19" t="n"/>
      <c r="F179" s="20">
        <f>IF(OR(D179="",E179=""),"",ROUND(D179*E179,2))</f>
        <v/>
      </c>
      <c r="G179" s="19" t="n"/>
      <c r="H179" s="21">
        <f>IF(OR(F179="",G179=""),"",IF(ABS(F179-G179)&gt;0.01,"MISMATCH","OK"))</f>
        <v/>
      </c>
      <c r="I179" s="16" t="n"/>
      <c r="J179" s="9" t="n"/>
    </row>
    <row r="180">
      <c r="A180" s="16" t="n"/>
      <c r="B180" s="9" t="n"/>
      <c r="C180" s="16" t="n"/>
      <c r="D180" s="18" t="n"/>
      <c r="E180" s="19" t="n"/>
      <c r="F180" s="20">
        <f>IF(OR(D180="",E180=""),"",ROUND(D180*E180,2))</f>
        <v/>
      </c>
      <c r="G180" s="19" t="n"/>
      <c r="H180" s="21">
        <f>IF(OR(F180="",G180=""),"",IF(ABS(F180-G180)&gt;0.01,"MISMATCH","OK"))</f>
        <v/>
      </c>
      <c r="I180" s="16" t="n"/>
      <c r="J180" s="9" t="n"/>
    </row>
    <row r="181">
      <c r="A181" s="16" t="n"/>
      <c r="B181" s="9" t="n"/>
      <c r="C181" s="16" t="n"/>
      <c r="D181" s="18" t="n"/>
      <c r="E181" s="19" t="n"/>
      <c r="F181" s="20">
        <f>IF(OR(D181="",E181=""),"",ROUND(D181*E181,2))</f>
        <v/>
      </c>
      <c r="G181" s="19" t="n"/>
      <c r="H181" s="21">
        <f>IF(OR(F181="",G181=""),"",IF(ABS(F181-G181)&gt;0.01,"MISMATCH","OK"))</f>
        <v/>
      </c>
      <c r="I181" s="16" t="n"/>
      <c r="J181" s="9" t="n"/>
    </row>
    <row r="182">
      <c r="A182" s="16" t="n"/>
      <c r="B182" s="9" t="n"/>
      <c r="C182" s="16" t="n"/>
      <c r="D182" s="18" t="n"/>
      <c r="E182" s="19" t="n"/>
      <c r="F182" s="20">
        <f>IF(OR(D182="",E182=""),"",ROUND(D182*E182,2))</f>
        <v/>
      </c>
      <c r="G182" s="19" t="n"/>
      <c r="H182" s="21">
        <f>IF(OR(F182="",G182=""),"",IF(ABS(F182-G182)&gt;0.01,"MISMATCH","OK"))</f>
        <v/>
      </c>
      <c r="I182" s="16" t="n"/>
      <c r="J182" s="9" t="n"/>
    </row>
    <row r="183">
      <c r="A183" s="16" t="n"/>
      <c r="B183" s="9" t="n"/>
      <c r="C183" s="16" t="n"/>
      <c r="D183" s="18" t="n"/>
      <c r="E183" s="19" t="n"/>
      <c r="F183" s="20">
        <f>IF(OR(D183="",E183=""),"",ROUND(D183*E183,2))</f>
        <v/>
      </c>
      <c r="G183" s="19" t="n"/>
      <c r="H183" s="21">
        <f>IF(OR(F183="",G183=""),"",IF(ABS(F183-G183)&gt;0.01,"MISMATCH","OK"))</f>
        <v/>
      </c>
      <c r="I183" s="16" t="n"/>
      <c r="J183" s="9" t="n"/>
    </row>
    <row r="184">
      <c r="A184" s="16" t="n"/>
      <c r="B184" s="9" t="n"/>
      <c r="C184" s="16" t="n"/>
      <c r="D184" s="18" t="n"/>
      <c r="E184" s="19" t="n"/>
      <c r="F184" s="20">
        <f>IF(OR(D184="",E184=""),"",ROUND(D184*E184,2))</f>
        <v/>
      </c>
      <c r="G184" s="19" t="n"/>
      <c r="H184" s="21">
        <f>IF(OR(F184="",G184=""),"",IF(ABS(F184-G184)&gt;0.01,"MISMATCH","OK"))</f>
        <v/>
      </c>
      <c r="I184" s="16" t="n"/>
      <c r="J184" s="9" t="n"/>
    </row>
    <row r="185">
      <c r="A185" s="16" t="n"/>
      <c r="B185" s="9" t="n"/>
      <c r="C185" s="16" t="n"/>
      <c r="D185" s="18" t="n"/>
      <c r="E185" s="19" t="n"/>
      <c r="F185" s="20">
        <f>IF(OR(D185="",E185=""),"",ROUND(D185*E185,2))</f>
        <v/>
      </c>
      <c r="G185" s="19" t="n"/>
      <c r="H185" s="21">
        <f>IF(OR(F185="",G185=""),"",IF(ABS(F185-G185)&gt;0.01,"MISMATCH","OK"))</f>
        <v/>
      </c>
      <c r="I185" s="16" t="n"/>
      <c r="J185" s="9" t="n"/>
    </row>
    <row r="186">
      <c r="A186" s="16" t="n"/>
      <c r="B186" s="9" t="n"/>
      <c r="C186" s="16" t="n"/>
      <c r="D186" s="18" t="n"/>
      <c r="E186" s="19" t="n"/>
      <c r="F186" s="20">
        <f>IF(OR(D186="",E186=""),"",ROUND(D186*E186,2))</f>
        <v/>
      </c>
      <c r="G186" s="19" t="n"/>
      <c r="H186" s="21">
        <f>IF(OR(F186="",G186=""),"",IF(ABS(F186-G186)&gt;0.01,"MISMATCH","OK"))</f>
        <v/>
      </c>
      <c r="I186" s="16" t="n"/>
      <c r="J186" s="9" t="n"/>
    </row>
    <row r="187">
      <c r="A187" s="16" t="n"/>
      <c r="B187" s="9" t="n"/>
      <c r="C187" s="16" t="n"/>
      <c r="D187" s="18" t="n"/>
      <c r="E187" s="19" t="n"/>
      <c r="F187" s="20">
        <f>IF(OR(D187="",E187=""),"",ROUND(D187*E187,2))</f>
        <v/>
      </c>
      <c r="G187" s="19" t="n"/>
      <c r="H187" s="21">
        <f>IF(OR(F187="",G187=""),"",IF(ABS(F187-G187)&gt;0.01,"MISMATCH","OK"))</f>
        <v/>
      </c>
      <c r="I187" s="16" t="n"/>
      <c r="J187" s="9" t="n"/>
    </row>
    <row r="188">
      <c r="A188" s="16" t="n"/>
      <c r="B188" s="9" t="n"/>
      <c r="C188" s="16" t="n"/>
      <c r="D188" s="18" t="n"/>
      <c r="E188" s="19" t="n"/>
      <c r="F188" s="20">
        <f>IF(OR(D188="",E188=""),"",ROUND(D188*E188,2))</f>
        <v/>
      </c>
      <c r="G188" s="19" t="n"/>
      <c r="H188" s="21">
        <f>IF(OR(F188="",G188=""),"",IF(ABS(F188-G188)&gt;0.01,"MISMATCH","OK"))</f>
        <v/>
      </c>
      <c r="I188" s="16" t="n"/>
      <c r="J188" s="9" t="n"/>
    </row>
    <row r="189">
      <c r="A189" s="16" t="n"/>
      <c r="B189" s="9" t="n"/>
      <c r="C189" s="16" t="n"/>
      <c r="D189" s="18" t="n"/>
      <c r="E189" s="19" t="n"/>
      <c r="F189" s="20">
        <f>IF(OR(D189="",E189=""),"",ROUND(D189*E189,2))</f>
        <v/>
      </c>
      <c r="G189" s="19" t="n"/>
      <c r="H189" s="21">
        <f>IF(OR(F189="",G189=""),"",IF(ABS(F189-G189)&gt;0.01,"MISMATCH","OK"))</f>
        <v/>
      </c>
      <c r="I189" s="16" t="n"/>
      <c r="J189" s="9" t="n"/>
    </row>
    <row r="190">
      <c r="A190" s="16" t="n"/>
      <c r="B190" s="9" t="n"/>
      <c r="C190" s="16" t="n"/>
      <c r="D190" s="18" t="n"/>
      <c r="E190" s="19" t="n"/>
      <c r="F190" s="20">
        <f>IF(OR(D190="",E190=""),"",ROUND(D190*E190,2))</f>
        <v/>
      </c>
      <c r="G190" s="19" t="n"/>
      <c r="H190" s="21">
        <f>IF(OR(F190="",G190=""),"",IF(ABS(F190-G190)&gt;0.01,"MISMATCH","OK"))</f>
        <v/>
      </c>
      <c r="I190" s="16" t="n"/>
      <c r="J190" s="9" t="n"/>
    </row>
    <row r="191">
      <c r="A191" s="16" t="n"/>
      <c r="B191" s="9" t="n"/>
      <c r="C191" s="16" t="n"/>
      <c r="D191" s="18" t="n"/>
      <c r="E191" s="19" t="n"/>
      <c r="F191" s="20">
        <f>IF(OR(D191="",E191=""),"",ROUND(D191*E191,2))</f>
        <v/>
      </c>
      <c r="G191" s="19" t="n"/>
      <c r="H191" s="21">
        <f>IF(OR(F191="",G191=""),"",IF(ABS(F191-G191)&gt;0.01,"MISMATCH","OK"))</f>
        <v/>
      </c>
      <c r="I191" s="16" t="n"/>
      <c r="J191" s="9" t="n"/>
    </row>
    <row r="192">
      <c r="A192" s="16" t="n"/>
      <c r="B192" s="9" t="n"/>
      <c r="C192" s="16" t="n"/>
      <c r="D192" s="18" t="n"/>
      <c r="E192" s="19" t="n"/>
      <c r="F192" s="20">
        <f>IF(OR(D192="",E192=""),"",ROUND(D192*E192,2))</f>
        <v/>
      </c>
      <c r="G192" s="19" t="n"/>
      <c r="H192" s="21">
        <f>IF(OR(F192="",G192=""),"",IF(ABS(F192-G192)&gt;0.01,"MISMATCH","OK"))</f>
        <v/>
      </c>
      <c r="I192" s="16" t="n"/>
      <c r="J192" s="9" t="n"/>
    </row>
    <row r="193">
      <c r="A193" s="16" t="n"/>
      <c r="B193" s="9" t="n"/>
      <c r="C193" s="16" t="n"/>
      <c r="D193" s="18" t="n"/>
      <c r="E193" s="19" t="n"/>
      <c r="F193" s="20">
        <f>IF(OR(D193="",E193=""),"",ROUND(D193*E193,2))</f>
        <v/>
      </c>
      <c r="G193" s="19" t="n"/>
      <c r="H193" s="21">
        <f>IF(OR(F193="",G193=""),"",IF(ABS(F193-G193)&gt;0.01,"MISMATCH","OK"))</f>
        <v/>
      </c>
      <c r="I193" s="16" t="n"/>
      <c r="J193" s="9" t="n"/>
    </row>
    <row r="194">
      <c r="A194" s="16" t="n"/>
      <c r="B194" s="9" t="n"/>
      <c r="C194" s="16" t="n"/>
      <c r="D194" s="18" t="n"/>
      <c r="E194" s="19" t="n"/>
      <c r="F194" s="20">
        <f>IF(OR(D194="",E194=""),"",ROUND(D194*E194,2))</f>
        <v/>
      </c>
      <c r="G194" s="19" t="n"/>
      <c r="H194" s="21">
        <f>IF(OR(F194="",G194=""),"",IF(ABS(F194-G194)&gt;0.01,"MISMATCH","OK"))</f>
        <v/>
      </c>
      <c r="I194" s="16" t="n"/>
      <c r="J194" s="9" t="n"/>
    </row>
    <row r="195">
      <c r="A195" s="16" t="n"/>
      <c r="B195" s="9" t="n"/>
      <c r="C195" s="16" t="n"/>
      <c r="D195" s="18" t="n"/>
      <c r="E195" s="19" t="n"/>
      <c r="F195" s="20">
        <f>IF(OR(D195="",E195=""),"",ROUND(D195*E195,2))</f>
        <v/>
      </c>
      <c r="G195" s="19" t="n"/>
      <c r="H195" s="21">
        <f>IF(OR(F195="",G195=""),"",IF(ABS(F195-G195)&gt;0.01,"MISMATCH","OK"))</f>
        <v/>
      </c>
      <c r="I195" s="16" t="n"/>
      <c r="J195" s="9" t="n"/>
    </row>
    <row r="196">
      <c r="A196" s="16" t="n"/>
      <c r="B196" s="9" t="n"/>
      <c r="C196" s="16" t="n"/>
      <c r="D196" s="18" t="n"/>
      <c r="E196" s="19" t="n"/>
      <c r="F196" s="20">
        <f>IF(OR(D196="",E196=""),"",ROUND(D196*E196,2))</f>
        <v/>
      </c>
      <c r="G196" s="19" t="n"/>
      <c r="H196" s="21">
        <f>IF(OR(F196="",G196=""),"",IF(ABS(F196-G196)&gt;0.01,"MISMATCH","OK"))</f>
        <v/>
      </c>
      <c r="I196" s="16" t="n"/>
      <c r="J196" s="9" t="n"/>
    </row>
    <row r="197">
      <c r="A197" s="16" t="n"/>
      <c r="B197" s="9" t="n"/>
      <c r="C197" s="16" t="n"/>
      <c r="D197" s="18" t="n"/>
      <c r="E197" s="19" t="n"/>
      <c r="F197" s="20">
        <f>IF(OR(D197="",E197=""),"",ROUND(D197*E197,2))</f>
        <v/>
      </c>
      <c r="G197" s="19" t="n"/>
      <c r="H197" s="21">
        <f>IF(OR(F197="",G197=""),"",IF(ABS(F197-G197)&gt;0.01,"MISMATCH","OK"))</f>
        <v/>
      </c>
      <c r="I197" s="16" t="n"/>
      <c r="J197" s="9" t="n"/>
    </row>
    <row r="198">
      <c r="A198" s="16" t="n"/>
      <c r="B198" s="9" t="n"/>
      <c r="C198" s="16" t="n"/>
      <c r="D198" s="18" t="n"/>
      <c r="E198" s="19" t="n"/>
      <c r="F198" s="20">
        <f>IF(OR(D198="",E198=""),"",ROUND(D198*E198,2))</f>
        <v/>
      </c>
      <c r="G198" s="19" t="n"/>
      <c r="H198" s="21">
        <f>IF(OR(F198="",G198=""),"",IF(ABS(F198-G198)&gt;0.01,"MISMATCH","OK"))</f>
        <v/>
      </c>
      <c r="I198" s="16" t="n"/>
      <c r="J198" s="9" t="n"/>
    </row>
    <row r="199">
      <c r="A199" s="16" t="n"/>
      <c r="B199" s="9" t="n"/>
      <c r="C199" s="16" t="n"/>
      <c r="D199" s="18" t="n"/>
      <c r="E199" s="19" t="n"/>
      <c r="F199" s="20">
        <f>IF(OR(D199="",E199=""),"",ROUND(D199*E199,2))</f>
        <v/>
      </c>
      <c r="G199" s="19" t="n"/>
      <c r="H199" s="21">
        <f>IF(OR(F199="",G199=""),"",IF(ABS(F199-G199)&gt;0.01,"MISMATCH","OK"))</f>
        <v/>
      </c>
      <c r="I199" s="16" t="n"/>
      <c r="J199" s="9" t="n"/>
    </row>
    <row r="200">
      <c r="A200" s="16" t="n"/>
      <c r="B200" s="9" t="n"/>
      <c r="C200" s="16" t="n"/>
      <c r="D200" s="18" t="n"/>
      <c r="E200" s="19" t="n"/>
      <c r="F200" s="20">
        <f>IF(OR(D200="",E200=""),"",ROUND(D200*E200,2))</f>
        <v/>
      </c>
      <c r="G200" s="19" t="n"/>
      <c r="H200" s="21">
        <f>IF(OR(F200="",G200=""),"",IF(ABS(F200-G200)&gt;0.01,"MISMATCH","OK"))</f>
        <v/>
      </c>
      <c r="I200" s="16" t="n"/>
      <c r="J200" s="9" t="n"/>
    </row>
    <row r="201">
      <c r="A201" s="16" t="n"/>
      <c r="B201" s="9" t="n"/>
      <c r="C201" s="16" t="n"/>
      <c r="D201" s="18" t="n"/>
      <c r="E201" s="19" t="n"/>
      <c r="F201" s="20">
        <f>IF(OR(D201="",E201=""),"",ROUND(D201*E201,2))</f>
        <v/>
      </c>
      <c r="G201" s="19" t="n"/>
      <c r="H201" s="21">
        <f>IF(OR(F201="",G201=""),"",IF(ABS(F201-G201)&gt;0.01,"MISMATCH","OK"))</f>
        <v/>
      </c>
      <c r="I201" s="16" t="n"/>
      <c r="J201" s="9" t="n"/>
    </row>
    <row r="202">
      <c r="A202" s="16" t="n"/>
      <c r="B202" s="9" t="n"/>
      <c r="C202" s="16" t="n"/>
      <c r="D202" s="18" t="n"/>
      <c r="E202" s="19" t="n"/>
      <c r="F202" s="20">
        <f>IF(OR(D202="",E202=""),"",ROUND(D202*E202,2))</f>
        <v/>
      </c>
      <c r="G202" s="19" t="n"/>
      <c r="H202" s="21">
        <f>IF(OR(F202="",G202=""),"",IF(ABS(F202-G202)&gt;0.01,"MISMATCH","OK"))</f>
        <v/>
      </c>
      <c r="I202" s="16" t="n"/>
      <c r="J202" s="9" t="n"/>
    </row>
    <row r="203">
      <c r="A203" s="16" t="n"/>
      <c r="B203" s="9" t="n"/>
      <c r="C203" s="16" t="n"/>
      <c r="D203" s="18" t="n"/>
      <c r="E203" s="19" t="n"/>
      <c r="F203" s="20">
        <f>IF(OR(D203="",E203=""),"",ROUND(D203*E203,2))</f>
        <v/>
      </c>
      <c r="G203" s="19" t="n"/>
      <c r="H203" s="21">
        <f>IF(OR(F203="",G203=""),"",IF(ABS(F203-G203)&gt;0.01,"MISMATCH","OK"))</f>
        <v/>
      </c>
      <c r="I203" s="16" t="n"/>
      <c r="J203" s="9" t="n"/>
    </row>
    <row r="204">
      <c r="A204" s="16" t="n"/>
      <c r="B204" s="9" t="n"/>
      <c r="C204" s="16" t="n"/>
      <c r="D204" s="18" t="n"/>
      <c r="E204" s="19" t="n"/>
      <c r="F204" s="20">
        <f>IF(OR(D204="",E204=""),"",ROUND(D204*E204,2))</f>
        <v/>
      </c>
      <c r="G204" s="19" t="n"/>
      <c r="H204" s="21">
        <f>IF(OR(F204="",G204=""),"",IF(ABS(F204-G204)&gt;0.01,"MISMATCH","OK"))</f>
        <v/>
      </c>
      <c r="I204" s="16" t="n"/>
      <c r="J204" s="9" t="n"/>
    </row>
    <row r="205">
      <c r="A205" s="16" t="n"/>
      <c r="B205" s="9" t="n"/>
      <c r="C205" s="16" t="n"/>
      <c r="D205" s="18" t="n"/>
      <c r="E205" s="19" t="n"/>
      <c r="F205" s="20">
        <f>IF(OR(D205="",E205=""),"",ROUND(D205*E205,2))</f>
        <v/>
      </c>
      <c r="G205" s="19" t="n"/>
      <c r="H205" s="21">
        <f>IF(OR(F205="",G205=""),"",IF(ABS(F205-G205)&gt;0.01,"MISMATCH","OK"))</f>
        <v/>
      </c>
      <c r="I205" s="16" t="n"/>
      <c r="J205" s="9" t="n"/>
    </row>
    <row r="206">
      <c r="A206" s="16" t="n"/>
      <c r="B206" s="9" t="n"/>
      <c r="C206" s="16" t="n"/>
      <c r="D206" s="18" t="n"/>
      <c r="E206" s="19" t="n"/>
      <c r="F206" s="20">
        <f>IF(OR(D206="",E206=""),"",ROUND(D206*E206,2))</f>
        <v/>
      </c>
      <c r="G206" s="19" t="n"/>
      <c r="H206" s="21">
        <f>IF(OR(F206="",G206=""),"",IF(ABS(F206-G206)&gt;0.01,"MISMATCH","OK"))</f>
        <v/>
      </c>
      <c r="I206" s="16" t="n"/>
      <c r="J206" s="9" t="n"/>
    </row>
    <row r="207">
      <c r="A207" s="16" t="n"/>
      <c r="B207" s="9" t="n"/>
      <c r="C207" s="16" t="n"/>
      <c r="D207" s="18" t="n"/>
      <c r="E207" s="19" t="n"/>
      <c r="F207" s="20">
        <f>IF(OR(D207="",E207=""),"",ROUND(D207*E207,2))</f>
        <v/>
      </c>
      <c r="G207" s="19" t="n"/>
      <c r="H207" s="21">
        <f>IF(OR(F207="",G207=""),"",IF(ABS(F207-G207)&gt;0.01,"MISMATCH","OK"))</f>
        <v/>
      </c>
      <c r="I207" s="16" t="n"/>
      <c r="J207" s="9" t="n"/>
    </row>
    <row r="208">
      <c r="A208" s="16" t="n"/>
      <c r="B208" s="9" t="n"/>
      <c r="C208" s="16" t="n"/>
      <c r="D208" s="18" t="n"/>
      <c r="E208" s="19" t="n"/>
      <c r="F208" s="20">
        <f>IF(OR(D208="",E208=""),"",ROUND(D208*E208,2))</f>
        <v/>
      </c>
      <c r="G208" s="19" t="n"/>
      <c r="H208" s="21">
        <f>IF(OR(F208="",G208=""),"",IF(ABS(F208-G208)&gt;0.01,"MISMATCH","OK"))</f>
        <v/>
      </c>
      <c r="I208" s="16" t="n"/>
      <c r="J208" s="9" t="n"/>
    </row>
    <row r="209">
      <c r="A209" s="16" t="n"/>
      <c r="B209" s="9" t="n"/>
      <c r="C209" s="16" t="n"/>
      <c r="D209" s="18" t="n"/>
      <c r="E209" s="19" t="n"/>
      <c r="F209" s="20">
        <f>IF(OR(D209="",E209=""),"",ROUND(D209*E209,2))</f>
        <v/>
      </c>
      <c r="G209" s="19" t="n"/>
      <c r="H209" s="21">
        <f>IF(OR(F209="",G209=""),"",IF(ABS(F209-G209)&gt;0.01,"MISMATCH","OK"))</f>
        <v/>
      </c>
      <c r="I209" s="16" t="n"/>
      <c r="J209" s="9" t="n"/>
    </row>
    <row r="210">
      <c r="A210" s="16" t="n"/>
      <c r="B210" s="9" t="n"/>
      <c r="C210" s="16" t="n"/>
      <c r="D210" s="18" t="n"/>
      <c r="E210" s="19" t="n"/>
      <c r="F210" s="20">
        <f>IF(OR(D210="",E210=""),"",ROUND(D210*E210,2))</f>
        <v/>
      </c>
      <c r="G210" s="19" t="n"/>
      <c r="H210" s="21">
        <f>IF(OR(F210="",G210=""),"",IF(ABS(F210-G210)&gt;0.01,"MISMATCH","OK"))</f>
        <v/>
      </c>
      <c r="I210" s="16" t="n"/>
      <c r="J210" s="9" t="n"/>
    </row>
    <row r="211">
      <c r="A211" s="16" t="n"/>
      <c r="B211" s="9" t="n"/>
      <c r="C211" s="16" t="n"/>
      <c r="D211" s="18" t="n"/>
      <c r="E211" s="19" t="n"/>
      <c r="F211" s="20">
        <f>IF(OR(D211="",E211=""),"",ROUND(D211*E211,2))</f>
        <v/>
      </c>
      <c r="G211" s="19" t="n"/>
      <c r="H211" s="21">
        <f>IF(OR(F211="",G211=""),"",IF(ABS(F211-G211)&gt;0.01,"MISMATCH","OK"))</f>
        <v/>
      </c>
      <c r="I211" s="16" t="n"/>
      <c r="J211" s="9" t="n"/>
    </row>
    <row r="212">
      <c r="A212" s="16" t="n"/>
      <c r="B212" s="9" t="n"/>
      <c r="C212" s="16" t="n"/>
      <c r="D212" s="18" t="n"/>
      <c r="E212" s="19" t="n"/>
      <c r="F212" s="20">
        <f>IF(OR(D212="",E212=""),"",ROUND(D212*E212,2))</f>
        <v/>
      </c>
      <c r="G212" s="19" t="n"/>
      <c r="H212" s="21">
        <f>IF(OR(F212="",G212=""),"",IF(ABS(F212-G212)&gt;0.01,"MISMATCH","OK"))</f>
        <v/>
      </c>
      <c r="I212" s="16" t="n"/>
      <c r="J212" s="9" t="n"/>
    </row>
    <row r="213">
      <c r="A213" s="16" t="n"/>
      <c r="B213" s="9" t="n"/>
      <c r="C213" s="16" t="n"/>
      <c r="D213" s="18" t="n"/>
      <c r="E213" s="19" t="n"/>
      <c r="F213" s="20">
        <f>IF(OR(D213="",E213=""),"",ROUND(D213*E213,2))</f>
        <v/>
      </c>
      <c r="G213" s="19" t="n"/>
      <c r="H213" s="21">
        <f>IF(OR(F213="",G213=""),"",IF(ABS(F213-G213)&gt;0.01,"MISMATCH","OK"))</f>
        <v/>
      </c>
      <c r="I213" s="16" t="n"/>
      <c r="J213" s="9" t="n"/>
    </row>
    <row r="214">
      <c r="A214" s="16" t="n"/>
      <c r="B214" s="9" t="n"/>
      <c r="C214" s="16" t="n"/>
      <c r="D214" s="18" t="n"/>
      <c r="E214" s="19" t="n"/>
      <c r="F214" s="20">
        <f>IF(OR(D214="",E214=""),"",ROUND(D214*E214,2))</f>
        <v/>
      </c>
      <c r="G214" s="19" t="n"/>
      <c r="H214" s="21">
        <f>IF(OR(F214="",G214=""),"",IF(ABS(F214-G214)&gt;0.01,"MISMATCH","OK"))</f>
        <v/>
      </c>
      <c r="I214" s="16" t="n"/>
      <c r="J214" s="9" t="n"/>
    </row>
    <row r="215">
      <c r="A215" s="16" t="n"/>
      <c r="B215" s="9" t="n"/>
      <c r="C215" s="16" t="n"/>
      <c r="D215" s="18" t="n"/>
      <c r="E215" s="19" t="n"/>
      <c r="F215" s="20">
        <f>IF(OR(D215="",E215=""),"",ROUND(D215*E215,2))</f>
        <v/>
      </c>
      <c r="G215" s="19" t="n"/>
      <c r="H215" s="21">
        <f>IF(OR(F215="",G215=""),"",IF(ABS(F215-G215)&gt;0.01,"MISMATCH","OK"))</f>
        <v/>
      </c>
      <c r="I215" s="16" t="n"/>
      <c r="J215" s="9" t="n"/>
    </row>
    <row r="216">
      <c r="A216" s="16" t="n"/>
      <c r="B216" s="9" t="n"/>
      <c r="C216" s="16" t="n"/>
      <c r="D216" s="18" t="n"/>
      <c r="E216" s="19" t="n"/>
      <c r="F216" s="20">
        <f>IF(OR(D216="",E216=""),"",ROUND(D216*E216,2))</f>
        <v/>
      </c>
      <c r="G216" s="19" t="n"/>
      <c r="H216" s="21">
        <f>IF(OR(F216="",G216=""),"",IF(ABS(F216-G216)&gt;0.01,"MISMATCH","OK"))</f>
        <v/>
      </c>
      <c r="I216" s="16" t="n"/>
      <c r="J216" s="9" t="n"/>
    </row>
    <row r="217">
      <c r="A217" s="16" t="n"/>
      <c r="B217" s="9" t="n"/>
      <c r="C217" s="16" t="n"/>
      <c r="D217" s="18" t="n"/>
      <c r="E217" s="19" t="n"/>
      <c r="F217" s="20">
        <f>IF(OR(D217="",E217=""),"",ROUND(D217*E217,2))</f>
        <v/>
      </c>
      <c r="G217" s="19" t="n"/>
      <c r="H217" s="21">
        <f>IF(OR(F217="",G217=""),"",IF(ABS(F217-G217)&gt;0.01,"MISMATCH","OK"))</f>
        <v/>
      </c>
      <c r="I217" s="16" t="n"/>
      <c r="J217" s="9" t="n"/>
    </row>
    <row r="218">
      <c r="A218" s="16" t="n"/>
      <c r="B218" s="9" t="n"/>
      <c r="C218" s="16" t="n"/>
      <c r="D218" s="18" t="n"/>
      <c r="E218" s="19" t="n"/>
      <c r="F218" s="20">
        <f>IF(OR(D218="",E218=""),"",ROUND(D218*E218,2))</f>
        <v/>
      </c>
      <c r="G218" s="19" t="n"/>
      <c r="H218" s="21">
        <f>IF(OR(F218="",G218=""),"",IF(ABS(F218-G218)&gt;0.01,"MISMATCH","OK"))</f>
        <v/>
      </c>
      <c r="I218" s="16" t="n"/>
      <c r="J218" s="9" t="n"/>
    </row>
    <row r="219">
      <c r="A219" s="16" t="n"/>
      <c r="B219" s="9" t="n"/>
      <c r="C219" s="16" t="n"/>
      <c r="D219" s="18" t="n"/>
      <c r="E219" s="19" t="n"/>
      <c r="F219" s="20">
        <f>IF(OR(D219="",E219=""),"",ROUND(D219*E219,2))</f>
        <v/>
      </c>
      <c r="G219" s="19" t="n"/>
      <c r="H219" s="21">
        <f>IF(OR(F219="",G219=""),"",IF(ABS(F219-G219)&gt;0.01,"MISMATCH","OK"))</f>
        <v/>
      </c>
      <c r="I219" s="16" t="n"/>
      <c r="J219" s="9" t="n"/>
    </row>
    <row r="220">
      <c r="A220" s="16" t="n"/>
      <c r="B220" s="9" t="n"/>
      <c r="C220" s="16" t="n"/>
      <c r="D220" s="18" t="n"/>
      <c r="E220" s="19" t="n"/>
      <c r="F220" s="20">
        <f>IF(OR(D220="",E220=""),"",ROUND(D220*E220,2))</f>
        <v/>
      </c>
      <c r="G220" s="19" t="n"/>
      <c r="H220" s="21">
        <f>IF(OR(F220="",G220=""),"",IF(ABS(F220-G220)&gt;0.01,"MISMATCH","OK"))</f>
        <v/>
      </c>
      <c r="I220" s="16" t="n"/>
      <c r="J220" s="9" t="n"/>
    </row>
    <row r="221">
      <c r="A221" s="16" t="n"/>
      <c r="B221" s="9" t="n"/>
      <c r="C221" s="16" t="n"/>
      <c r="D221" s="18" t="n"/>
      <c r="E221" s="19" t="n"/>
      <c r="F221" s="20">
        <f>IF(OR(D221="",E221=""),"",ROUND(D221*E221,2))</f>
        <v/>
      </c>
      <c r="G221" s="19" t="n"/>
      <c r="H221" s="21">
        <f>IF(OR(F221="",G221=""),"",IF(ABS(F221-G221)&gt;0.01,"MISMATCH","OK"))</f>
        <v/>
      </c>
      <c r="I221" s="16" t="n"/>
      <c r="J221" s="9" t="n"/>
    </row>
    <row r="222">
      <c r="A222" s="16" t="n"/>
      <c r="B222" s="9" t="n"/>
      <c r="C222" s="16" t="n"/>
      <c r="D222" s="18" t="n"/>
      <c r="E222" s="19" t="n"/>
      <c r="F222" s="20">
        <f>IF(OR(D222="",E222=""),"",ROUND(D222*E222,2))</f>
        <v/>
      </c>
      <c r="G222" s="19" t="n"/>
      <c r="H222" s="21">
        <f>IF(OR(F222="",G222=""),"",IF(ABS(F222-G222)&gt;0.01,"MISMATCH","OK"))</f>
        <v/>
      </c>
      <c r="I222" s="16" t="n"/>
      <c r="J222" s="9" t="n"/>
    </row>
    <row r="223">
      <c r="A223" s="16" t="n"/>
      <c r="B223" s="9" t="n"/>
      <c r="C223" s="16" t="n"/>
      <c r="D223" s="18" t="n"/>
      <c r="E223" s="19" t="n"/>
      <c r="F223" s="20">
        <f>IF(OR(D223="",E223=""),"",ROUND(D223*E223,2))</f>
        <v/>
      </c>
      <c r="G223" s="19" t="n"/>
      <c r="H223" s="21">
        <f>IF(OR(F223="",G223=""),"",IF(ABS(F223-G223)&gt;0.01,"MISMATCH","OK"))</f>
        <v/>
      </c>
      <c r="I223" s="16" t="n"/>
      <c r="J223" s="9" t="n"/>
    </row>
    <row r="224">
      <c r="A224" s="16" t="n"/>
      <c r="B224" s="9" t="n"/>
      <c r="C224" s="16" t="n"/>
      <c r="D224" s="18" t="n"/>
      <c r="E224" s="19" t="n"/>
      <c r="F224" s="20">
        <f>IF(OR(D224="",E224=""),"",ROUND(D224*E224,2))</f>
        <v/>
      </c>
      <c r="G224" s="19" t="n"/>
      <c r="H224" s="21">
        <f>IF(OR(F224="",G224=""),"",IF(ABS(F224-G224)&gt;0.01,"MISMATCH","OK"))</f>
        <v/>
      </c>
      <c r="I224" s="16" t="n"/>
      <c r="J224" s="9" t="n"/>
    </row>
    <row r="225">
      <c r="A225" s="16" t="n"/>
      <c r="B225" s="9" t="n"/>
      <c r="C225" s="16" t="n"/>
      <c r="D225" s="18" t="n"/>
      <c r="E225" s="19" t="n"/>
      <c r="F225" s="20">
        <f>IF(OR(D225="",E225=""),"",ROUND(D225*E225,2))</f>
        <v/>
      </c>
      <c r="G225" s="19" t="n"/>
      <c r="H225" s="21">
        <f>IF(OR(F225="",G225=""),"",IF(ABS(F225-G225)&gt;0.01,"MISMATCH","OK"))</f>
        <v/>
      </c>
      <c r="I225" s="16" t="n"/>
      <c r="J225" s="9" t="n"/>
    </row>
    <row r="226">
      <c r="A226" s="16" t="n"/>
      <c r="B226" s="9" t="n"/>
      <c r="C226" s="16" t="n"/>
      <c r="D226" s="18" t="n"/>
      <c r="E226" s="19" t="n"/>
      <c r="F226" s="20">
        <f>IF(OR(D226="",E226=""),"",ROUND(D226*E226,2))</f>
        <v/>
      </c>
      <c r="G226" s="19" t="n"/>
      <c r="H226" s="21">
        <f>IF(OR(F226="",G226=""),"",IF(ABS(F226-G226)&gt;0.01,"MISMATCH","OK"))</f>
        <v/>
      </c>
      <c r="I226" s="16" t="n"/>
      <c r="J226" s="9" t="n"/>
    </row>
    <row r="227">
      <c r="A227" s="16" t="n"/>
      <c r="B227" s="9" t="n"/>
      <c r="C227" s="16" t="n"/>
      <c r="D227" s="18" t="n"/>
      <c r="E227" s="19" t="n"/>
      <c r="F227" s="20">
        <f>IF(OR(D227="",E227=""),"",ROUND(D227*E227,2))</f>
        <v/>
      </c>
      <c r="G227" s="19" t="n"/>
      <c r="H227" s="21">
        <f>IF(OR(F227="",G227=""),"",IF(ABS(F227-G227)&gt;0.01,"MISMATCH","OK"))</f>
        <v/>
      </c>
      <c r="I227" s="16" t="n"/>
      <c r="J227" s="9" t="n"/>
    </row>
    <row r="228">
      <c r="A228" s="16" t="n"/>
      <c r="B228" s="9" t="n"/>
      <c r="C228" s="16" t="n"/>
      <c r="D228" s="18" t="n"/>
      <c r="E228" s="19" t="n"/>
      <c r="F228" s="20">
        <f>IF(OR(D228="",E228=""),"",ROUND(D228*E228,2))</f>
        <v/>
      </c>
      <c r="G228" s="19" t="n"/>
      <c r="H228" s="21">
        <f>IF(OR(F228="",G228=""),"",IF(ABS(F228-G228)&gt;0.01,"MISMATCH","OK"))</f>
        <v/>
      </c>
      <c r="I228" s="16" t="n"/>
      <c r="J228" s="9" t="n"/>
    </row>
    <row r="229">
      <c r="A229" s="16" t="n"/>
      <c r="B229" s="9" t="n"/>
      <c r="C229" s="16" t="n"/>
      <c r="D229" s="18" t="n"/>
      <c r="E229" s="19" t="n"/>
      <c r="F229" s="20">
        <f>IF(OR(D229="",E229=""),"",ROUND(D229*E229,2))</f>
        <v/>
      </c>
      <c r="G229" s="19" t="n"/>
      <c r="H229" s="21">
        <f>IF(OR(F229="",G229=""),"",IF(ABS(F229-G229)&gt;0.01,"MISMATCH","OK"))</f>
        <v/>
      </c>
      <c r="I229" s="16" t="n"/>
      <c r="J229" s="9" t="n"/>
    </row>
    <row r="230">
      <c r="A230" s="16" t="n"/>
      <c r="B230" s="9" t="n"/>
      <c r="C230" s="16" t="n"/>
      <c r="D230" s="18" t="n"/>
      <c r="E230" s="19" t="n"/>
      <c r="F230" s="20">
        <f>IF(OR(D230="",E230=""),"",ROUND(D230*E230,2))</f>
        <v/>
      </c>
      <c r="G230" s="19" t="n"/>
      <c r="H230" s="21">
        <f>IF(OR(F230="",G230=""),"",IF(ABS(F230-G230)&gt;0.01,"MISMATCH","OK"))</f>
        <v/>
      </c>
      <c r="I230" s="16" t="n"/>
      <c r="J230" s="9" t="n"/>
    </row>
    <row r="231">
      <c r="A231" s="16" t="n"/>
      <c r="B231" s="9" t="n"/>
      <c r="C231" s="16" t="n"/>
      <c r="D231" s="18" t="n"/>
      <c r="E231" s="19" t="n"/>
      <c r="F231" s="20">
        <f>IF(OR(D231="",E231=""),"",ROUND(D231*E231,2))</f>
        <v/>
      </c>
      <c r="G231" s="19" t="n"/>
      <c r="H231" s="21">
        <f>IF(OR(F231="",G231=""),"",IF(ABS(F231-G231)&gt;0.01,"MISMATCH","OK"))</f>
        <v/>
      </c>
      <c r="I231" s="16" t="n"/>
      <c r="J231" s="9" t="n"/>
    </row>
    <row r="232">
      <c r="A232" s="16" t="n"/>
      <c r="B232" s="9" t="n"/>
      <c r="C232" s="16" t="n"/>
      <c r="D232" s="18" t="n"/>
      <c r="E232" s="19" t="n"/>
      <c r="F232" s="20">
        <f>IF(OR(D232="",E232=""),"",ROUND(D232*E232,2))</f>
        <v/>
      </c>
      <c r="G232" s="19" t="n"/>
      <c r="H232" s="21">
        <f>IF(OR(F232="",G232=""),"",IF(ABS(F232-G232)&gt;0.01,"MISMATCH","OK"))</f>
        <v/>
      </c>
      <c r="I232" s="16" t="n"/>
      <c r="J232" s="9" t="n"/>
    </row>
    <row r="233">
      <c r="A233" s="16" t="n"/>
      <c r="B233" s="9" t="n"/>
      <c r="C233" s="16" t="n"/>
      <c r="D233" s="18" t="n"/>
      <c r="E233" s="19" t="n"/>
      <c r="F233" s="20">
        <f>IF(OR(D233="",E233=""),"",ROUND(D233*E233,2))</f>
        <v/>
      </c>
      <c r="G233" s="19" t="n"/>
      <c r="H233" s="21">
        <f>IF(OR(F233="",G233=""),"",IF(ABS(F233-G233)&gt;0.01,"MISMATCH","OK"))</f>
        <v/>
      </c>
      <c r="I233" s="16" t="n"/>
      <c r="J233" s="9" t="n"/>
    </row>
    <row r="234">
      <c r="A234" s="16" t="n"/>
      <c r="B234" s="9" t="n"/>
      <c r="C234" s="16" t="n"/>
      <c r="D234" s="18" t="n"/>
      <c r="E234" s="19" t="n"/>
      <c r="F234" s="20">
        <f>IF(OR(D234="",E234=""),"",ROUND(D234*E234,2))</f>
        <v/>
      </c>
      <c r="G234" s="19" t="n"/>
      <c r="H234" s="21">
        <f>IF(OR(F234="",G234=""),"",IF(ABS(F234-G234)&gt;0.01,"MISMATCH","OK"))</f>
        <v/>
      </c>
      <c r="I234" s="16" t="n"/>
      <c r="J234" s="9" t="n"/>
    </row>
    <row r="235">
      <c r="A235" s="16" t="n"/>
      <c r="B235" s="9" t="n"/>
      <c r="C235" s="16" t="n"/>
      <c r="D235" s="18" t="n"/>
      <c r="E235" s="19" t="n"/>
      <c r="F235" s="20">
        <f>IF(OR(D235="",E235=""),"",ROUND(D235*E235,2))</f>
        <v/>
      </c>
      <c r="G235" s="19" t="n"/>
      <c r="H235" s="21">
        <f>IF(OR(F235="",G235=""),"",IF(ABS(F235-G235)&gt;0.01,"MISMATCH","OK"))</f>
        <v/>
      </c>
      <c r="I235" s="16" t="n"/>
      <c r="J235" s="9" t="n"/>
    </row>
    <row r="236">
      <c r="A236" s="16" t="n"/>
      <c r="B236" s="9" t="n"/>
      <c r="C236" s="16" t="n"/>
      <c r="D236" s="18" t="n"/>
      <c r="E236" s="19" t="n"/>
      <c r="F236" s="20">
        <f>IF(OR(D236="",E236=""),"",ROUND(D236*E236,2))</f>
        <v/>
      </c>
      <c r="G236" s="19" t="n"/>
      <c r="H236" s="21">
        <f>IF(OR(F236="",G236=""),"",IF(ABS(F236-G236)&gt;0.01,"MISMATCH","OK"))</f>
        <v/>
      </c>
      <c r="I236" s="16" t="n"/>
      <c r="J236" s="9" t="n"/>
    </row>
    <row r="237">
      <c r="A237" s="16" t="n"/>
      <c r="B237" s="9" t="n"/>
      <c r="C237" s="16" t="n"/>
      <c r="D237" s="18" t="n"/>
      <c r="E237" s="19" t="n"/>
      <c r="F237" s="20">
        <f>IF(OR(D237="",E237=""),"",ROUND(D237*E237,2))</f>
        <v/>
      </c>
      <c r="G237" s="19" t="n"/>
      <c r="H237" s="21">
        <f>IF(OR(F237="",G237=""),"",IF(ABS(F237-G237)&gt;0.01,"MISMATCH","OK"))</f>
        <v/>
      </c>
      <c r="I237" s="16" t="n"/>
      <c r="J237" s="9" t="n"/>
    </row>
    <row r="238">
      <c r="A238" s="16" t="n"/>
      <c r="B238" s="9" t="n"/>
      <c r="C238" s="16" t="n"/>
      <c r="D238" s="18" t="n"/>
      <c r="E238" s="19" t="n"/>
      <c r="F238" s="20">
        <f>IF(OR(D238="",E238=""),"",ROUND(D238*E238,2))</f>
        <v/>
      </c>
      <c r="G238" s="19" t="n"/>
      <c r="H238" s="21">
        <f>IF(OR(F238="",G238=""),"",IF(ABS(F238-G238)&gt;0.01,"MISMATCH","OK"))</f>
        <v/>
      </c>
      <c r="I238" s="16" t="n"/>
      <c r="J238" s="9" t="n"/>
    </row>
    <row r="239">
      <c r="A239" s="16" t="n"/>
      <c r="B239" s="9" t="n"/>
      <c r="C239" s="16" t="n"/>
      <c r="D239" s="18" t="n"/>
      <c r="E239" s="19" t="n"/>
      <c r="F239" s="20">
        <f>IF(OR(D239="",E239=""),"",ROUND(D239*E239,2))</f>
        <v/>
      </c>
      <c r="G239" s="19" t="n"/>
      <c r="H239" s="21">
        <f>IF(OR(F239="",G239=""),"",IF(ABS(F239-G239)&gt;0.01,"MISMATCH","OK"))</f>
        <v/>
      </c>
      <c r="I239" s="16" t="n"/>
      <c r="J239" s="9" t="n"/>
    </row>
    <row r="240">
      <c r="A240" s="16" t="n"/>
      <c r="B240" s="9" t="n"/>
      <c r="C240" s="16" t="n"/>
      <c r="D240" s="18" t="n"/>
      <c r="E240" s="19" t="n"/>
      <c r="F240" s="20">
        <f>IF(OR(D240="",E240=""),"",ROUND(D240*E240,2))</f>
        <v/>
      </c>
      <c r="G240" s="19" t="n"/>
      <c r="H240" s="21">
        <f>IF(OR(F240="",G240=""),"",IF(ABS(F240-G240)&gt;0.01,"MISMATCH","OK"))</f>
        <v/>
      </c>
      <c r="I240" s="16" t="n"/>
      <c r="J240" s="9" t="n"/>
    </row>
    <row r="241">
      <c r="A241" s="16" t="n"/>
      <c r="B241" s="9" t="n"/>
      <c r="C241" s="16" t="n"/>
      <c r="D241" s="18" t="n"/>
      <c r="E241" s="19" t="n"/>
      <c r="F241" s="20">
        <f>IF(OR(D241="",E241=""),"",ROUND(D241*E241,2))</f>
        <v/>
      </c>
      <c r="G241" s="19" t="n"/>
      <c r="H241" s="21">
        <f>IF(OR(F241="",G241=""),"",IF(ABS(F241-G241)&gt;0.01,"MISMATCH","OK"))</f>
        <v/>
      </c>
      <c r="I241" s="16" t="n"/>
      <c r="J241" s="9" t="n"/>
    </row>
    <row r="242">
      <c r="A242" s="16" t="n"/>
      <c r="B242" s="9" t="n"/>
      <c r="C242" s="16" t="n"/>
      <c r="D242" s="18" t="n"/>
      <c r="E242" s="19" t="n"/>
      <c r="F242" s="20">
        <f>IF(OR(D242="",E242=""),"",ROUND(D242*E242,2))</f>
        <v/>
      </c>
      <c r="G242" s="19" t="n"/>
      <c r="H242" s="21">
        <f>IF(OR(F242="",G242=""),"",IF(ABS(F242-G242)&gt;0.01,"MISMATCH","OK"))</f>
        <v/>
      </c>
      <c r="I242" s="16" t="n"/>
      <c r="J242" s="9" t="n"/>
    </row>
    <row r="243">
      <c r="A243" s="16" t="n"/>
      <c r="B243" s="9" t="n"/>
      <c r="C243" s="16" t="n"/>
      <c r="D243" s="18" t="n"/>
      <c r="E243" s="19" t="n"/>
      <c r="F243" s="20">
        <f>IF(OR(D243="",E243=""),"",ROUND(D243*E243,2))</f>
        <v/>
      </c>
      <c r="G243" s="19" t="n"/>
      <c r="H243" s="21">
        <f>IF(OR(F243="",G243=""),"",IF(ABS(F243-G243)&gt;0.01,"MISMATCH","OK"))</f>
        <v/>
      </c>
      <c r="I243" s="16" t="n"/>
      <c r="J243" s="9" t="n"/>
    </row>
    <row r="244">
      <c r="A244" s="16" t="n"/>
      <c r="B244" s="9" t="n"/>
      <c r="C244" s="16" t="n"/>
      <c r="D244" s="18" t="n"/>
      <c r="E244" s="19" t="n"/>
      <c r="F244" s="20">
        <f>IF(OR(D244="",E244=""),"",ROUND(D244*E244,2))</f>
        <v/>
      </c>
      <c r="G244" s="19" t="n"/>
      <c r="H244" s="21">
        <f>IF(OR(F244="",G244=""),"",IF(ABS(F244-G244)&gt;0.01,"MISMATCH","OK"))</f>
        <v/>
      </c>
      <c r="I244" s="16" t="n"/>
      <c r="J244" s="9" t="n"/>
    </row>
    <row r="245">
      <c r="A245" s="16" t="n"/>
      <c r="B245" s="9" t="n"/>
      <c r="C245" s="16" t="n"/>
      <c r="D245" s="18" t="n"/>
      <c r="E245" s="19" t="n"/>
      <c r="F245" s="20">
        <f>IF(OR(D245="",E245=""),"",ROUND(D245*E245,2))</f>
        <v/>
      </c>
      <c r="G245" s="19" t="n"/>
      <c r="H245" s="21">
        <f>IF(OR(F245="",G245=""),"",IF(ABS(F245-G245)&gt;0.01,"MISMATCH","OK"))</f>
        <v/>
      </c>
      <c r="I245" s="16" t="n"/>
      <c r="J245" s="9" t="n"/>
    </row>
    <row r="246">
      <c r="A246" s="16" t="n"/>
      <c r="B246" s="9" t="n"/>
      <c r="C246" s="16" t="n"/>
      <c r="D246" s="18" t="n"/>
      <c r="E246" s="19" t="n"/>
      <c r="F246" s="20">
        <f>IF(OR(D246="",E246=""),"",ROUND(D246*E246,2))</f>
        <v/>
      </c>
      <c r="G246" s="19" t="n"/>
      <c r="H246" s="21">
        <f>IF(OR(F246="",G246=""),"",IF(ABS(F246-G246)&gt;0.01,"MISMATCH","OK"))</f>
        <v/>
      </c>
      <c r="I246" s="16" t="n"/>
      <c r="J246" s="9" t="n"/>
    </row>
    <row r="247">
      <c r="A247" s="16" t="n"/>
      <c r="B247" s="9" t="n"/>
      <c r="C247" s="16" t="n"/>
      <c r="D247" s="18" t="n"/>
      <c r="E247" s="19" t="n"/>
      <c r="F247" s="20">
        <f>IF(OR(D247="",E247=""),"",ROUND(D247*E247,2))</f>
        <v/>
      </c>
      <c r="G247" s="19" t="n"/>
      <c r="H247" s="21">
        <f>IF(OR(F247="",G247=""),"",IF(ABS(F247-G247)&gt;0.01,"MISMATCH","OK"))</f>
        <v/>
      </c>
      <c r="I247" s="16" t="n"/>
      <c r="J247" s="9" t="n"/>
    </row>
    <row r="248">
      <c r="A248" s="16" t="n"/>
      <c r="B248" s="9" t="n"/>
      <c r="C248" s="16" t="n"/>
      <c r="D248" s="18" t="n"/>
      <c r="E248" s="19" t="n"/>
      <c r="F248" s="20">
        <f>IF(OR(D248="",E248=""),"",ROUND(D248*E248,2))</f>
        <v/>
      </c>
      <c r="G248" s="19" t="n"/>
      <c r="H248" s="21">
        <f>IF(OR(F248="",G248=""),"",IF(ABS(F248-G248)&gt;0.01,"MISMATCH","OK"))</f>
        <v/>
      </c>
      <c r="I248" s="16" t="n"/>
      <c r="J248" s="9" t="n"/>
    </row>
    <row r="249">
      <c r="A249" s="16" t="n"/>
      <c r="B249" s="9" t="n"/>
      <c r="C249" s="16" t="n"/>
      <c r="D249" s="18" t="n"/>
      <c r="E249" s="19" t="n"/>
      <c r="F249" s="20">
        <f>IF(OR(D249="",E249=""),"",ROUND(D249*E249,2))</f>
        <v/>
      </c>
      <c r="G249" s="19" t="n"/>
      <c r="H249" s="21">
        <f>IF(OR(F249="",G249=""),"",IF(ABS(F249-G249)&gt;0.01,"MISMATCH","OK"))</f>
        <v/>
      </c>
      <c r="I249" s="16" t="n"/>
      <c r="J249" s="9" t="n"/>
    </row>
    <row r="250">
      <c r="A250" s="16" t="n"/>
      <c r="B250" s="9" t="n"/>
      <c r="C250" s="16" t="n"/>
      <c r="D250" s="18" t="n"/>
      <c r="E250" s="19" t="n"/>
      <c r="F250" s="20">
        <f>IF(OR(D250="",E250=""),"",ROUND(D250*E250,2))</f>
        <v/>
      </c>
      <c r="G250" s="19" t="n"/>
      <c r="H250" s="21">
        <f>IF(OR(F250="",G250=""),"",IF(ABS(F250-G250)&gt;0.01,"MISMATCH","OK"))</f>
        <v/>
      </c>
      <c r="I250" s="16" t="n"/>
      <c r="J250" s="9" t="n"/>
    </row>
    <row r="251">
      <c r="A251" s="16" t="n"/>
      <c r="B251" s="9" t="n"/>
      <c r="C251" s="16" t="n"/>
      <c r="D251" s="18" t="n"/>
      <c r="E251" s="19" t="n"/>
      <c r="F251" s="20">
        <f>IF(OR(D251="",E251=""),"",ROUND(D251*E251,2))</f>
        <v/>
      </c>
      <c r="G251" s="19" t="n"/>
      <c r="H251" s="21">
        <f>IF(OR(F251="",G251=""),"",IF(ABS(F251-G251)&gt;0.01,"MISMATCH","OK"))</f>
        <v/>
      </c>
      <c r="I251" s="16" t="n"/>
      <c r="J251" s="9" t="n"/>
    </row>
    <row r="252">
      <c r="A252" s="16" t="n"/>
      <c r="B252" s="9" t="n"/>
      <c r="C252" s="16" t="n"/>
      <c r="D252" s="18" t="n"/>
      <c r="E252" s="19" t="n"/>
      <c r="F252" s="20">
        <f>IF(OR(D252="",E252=""),"",ROUND(D252*E252,2))</f>
        <v/>
      </c>
      <c r="G252" s="19" t="n"/>
      <c r="H252" s="21">
        <f>IF(OR(F252="",G252=""),"",IF(ABS(F252-G252)&gt;0.01,"MISMATCH","OK"))</f>
        <v/>
      </c>
      <c r="I252" s="16" t="n"/>
      <c r="J252" s="9" t="n"/>
    </row>
    <row r="253">
      <c r="A253" s="16" t="n"/>
      <c r="B253" s="9" t="n"/>
      <c r="C253" s="16" t="n"/>
      <c r="D253" s="18" t="n"/>
      <c r="E253" s="19" t="n"/>
      <c r="F253" s="20">
        <f>IF(OR(D253="",E253=""),"",ROUND(D253*E253,2))</f>
        <v/>
      </c>
      <c r="G253" s="19" t="n"/>
      <c r="H253" s="21">
        <f>IF(OR(F253="",G253=""),"",IF(ABS(F253-G253)&gt;0.01,"MISMATCH","OK"))</f>
        <v/>
      </c>
      <c r="I253" s="16" t="n"/>
      <c r="J253" s="9" t="n"/>
    </row>
    <row r="254">
      <c r="A254" s="16" t="n"/>
      <c r="B254" s="9" t="n"/>
      <c r="C254" s="16" t="n"/>
      <c r="D254" s="18" t="n"/>
      <c r="E254" s="19" t="n"/>
      <c r="F254" s="20">
        <f>IF(OR(D254="",E254=""),"",ROUND(D254*E254,2))</f>
        <v/>
      </c>
      <c r="G254" s="19" t="n"/>
      <c r="H254" s="21">
        <f>IF(OR(F254="",G254=""),"",IF(ABS(F254-G254)&gt;0.01,"MISMATCH","OK"))</f>
        <v/>
      </c>
      <c r="I254" s="16" t="n"/>
      <c r="J254" s="9" t="n"/>
    </row>
    <row r="255">
      <c r="A255" s="16" t="n"/>
      <c r="B255" s="9" t="n"/>
      <c r="C255" s="16" t="n"/>
      <c r="D255" s="18" t="n"/>
      <c r="E255" s="19" t="n"/>
      <c r="F255" s="20">
        <f>IF(OR(D255="",E255=""),"",ROUND(D255*E255,2))</f>
        <v/>
      </c>
      <c r="G255" s="19" t="n"/>
      <c r="H255" s="21">
        <f>IF(OR(F255="",G255=""),"",IF(ABS(F255-G255)&gt;0.01,"MISMATCH","OK"))</f>
        <v/>
      </c>
      <c r="I255" s="16" t="n"/>
      <c r="J255" s="9" t="n"/>
    </row>
    <row r="256">
      <c r="A256" s="16" t="n"/>
      <c r="B256" s="9" t="n"/>
      <c r="C256" s="16" t="n"/>
      <c r="D256" s="18" t="n"/>
      <c r="E256" s="19" t="n"/>
      <c r="F256" s="20">
        <f>IF(OR(D256="",E256=""),"",ROUND(D256*E256,2))</f>
        <v/>
      </c>
      <c r="G256" s="19" t="n"/>
      <c r="H256" s="21">
        <f>IF(OR(F256="",G256=""),"",IF(ABS(F256-G256)&gt;0.01,"MISMATCH","OK"))</f>
        <v/>
      </c>
      <c r="I256" s="16" t="n"/>
      <c r="J256" s="9" t="n"/>
    </row>
    <row r="257">
      <c r="A257" s="16" t="n"/>
      <c r="B257" s="9" t="n"/>
      <c r="C257" s="16" t="n"/>
      <c r="D257" s="18" t="n"/>
      <c r="E257" s="19" t="n"/>
      <c r="F257" s="20">
        <f>IF(OR(D257="",E257=""),"",ROUND(D257*E257,2))</f>
        <v/>
      </c>
      <c r="G257" s="19" t="n"/>
      <c r="H257" s="21">
        <f>IF(OR(F257="",G257=""),"",IF(ABS(F257-G257)&gt;0.01,"MISMATCH","OK"))</f>
        <v/>
      </c>
      <c r="I257" s="16" t="n"/>
      <c r="J257" s="9" t="n"/>
    </row>
    <row r="258">
      <c r="A258" s="16" t="n"/>
      <c r="B258" s="9" t="n"/>
      <c r="C258" s="16" t="n"/>
      <c r="D258" s="18" t="n"/>
      <c r="E258" s="19" t="n"/>
      <c r="F258" s="20">
        <f>IF(OR(D258="",E258=""),"",ROUND(D258*E258,2))</f>
        <v/>
      </c>
      <c r="G258" s="19" t="n"/>
      <c r="H258" s="21">
        <f>IF(OR(F258="",G258=""),"",IF(ABS(F258-G258)&gt;0.01,"MISMATCH","OK"))</f>
        <v/>
      </c>
      <c r="I258" s="16" t="n"/>
      <c r="J258" s="9" t="n"/>
    </row>
    <row r="259">
      <c r="A259" s="16" t="n"/>
      <c r="B259" s="9" t="n"/>
      <c r="C259" s="16" t="n"/>
      <c r="D259" s="18" t="n"/>
      <c r="E259" s="19" t="n"/>
      <c r="F259" s="20">
        <f>IF(OR(D259="",E259=""),"",ROUND(D259*E259,2))</f>
        <v/>
      </c>
      <c r="G259" s="19" t="n"/>
      <c r="H259" s="21">
        <f>IF(OR(F259="",G259=""),"",IF(ABS(F259-G259)&gt;0.01,"MISMATCH","OK"))</f>
        <v/>
      </c>
      <c r="I259" s="16" t="n"/>
      <c r="J259" s="9" t="n"/>
    </row>
    <row r="260">
      <c r="A260" s="16" t="n"/>
      <c r="B260" s="9" t="n"/>
      <c r="C260" s="16" t="n"/>
      <c r="D260" s="18" t="n"/>
      <c r="E260" s="19" t="n"/>
      <c r="F260" s="20">
        <f>IF(OR(D260="",E260=""),"",ROUND(D260*E260,2))</f>
        <v/>
      </c>
      <c r="G260" s="19" t="n"/>
      <c r="H260" s="21">
        <f>IF(OR(F260="",G260=""),"",IF(ABS(F260-G260)&gt;0.01,"MISMATCH","OK"))</f>
        <v/>
      </c>
      <c r="I260" s="16" t="n"/>
      <c r="J260" s="9" t="n"/>
    </row>
    <row r="261">
      <c r="A261" s="16" t="n"/>
      <c r="B261" s="9" t="n"/>
      <c r="C261" s="16" t="n"/>
      <c r="D261" s="18" t="n"/>
      <c r="E261" s="19" t="n"/>
      <c r="F261" s="20">
        <f>IF(OR(D261="",E261=""),"",ROUND(D261*E261,2))</f>
        <v/>
      </c>
      <c r="G261" s="19" t="n"/>
      <c r="H261" s="21">
        <f>IF(OR(F261="",G261=""),"",IF(ABS(F261-G261)&gt;0.01,"MISMATCH","OK"))</f>
        <v/>
      </c>
      <c r="I261" s="16" t="n"/>
      <c r="J261" s="9" t="n"/>
    </row>
    <row r="262">
      <c r="A262" s="16" t="n"/>
      <c r="B262" s="9" t="n"/>
      <c r="C262" s="16" t="n"/>
      <c r="D262" s="18" t="n"/>
      <c r="E262" s="19" t="n"/>
      <c r="F262" s="20">
        <f>IF(OR(D262="",E262=""),"",ROUND(D262*E262,2))</f>
        <v/>
      </c>
      <c r="G262" s="19" t="n"/>
      <c r="H262" s="21">
        <f>IF(OR(F262="",G262=""),"",IF(ABS(F262-G262)&gt;0.01,"MISMATCH","OK"))</f>
        <v/>
      </c>
      <c r="I262" s="16" t="n"/>
      <c r="J262" s="9" t="n"/>
    </row>
    <row r="263">
      <c r="A263" s="16" t="n"/>
      <c r="B263" s="9" t="n"/>
      <c r="C263" s="16" t="n"/>
      <c r="D263" s="18" t="n"/>
      <c r="E263" s="19" t="n"/>
      <c r="F263" s="20">
        <f>IF(OR(D263="",E263=""),"",ROUND(D263*E263,2))</f>
        <v/>
      </c>
      <c r="G263" s="19" t="n"/>
      <c r="H263" s="21">
        <f>IF(OR(F263="",G263=""),"",IF(ABS(F263-G263)&gt;0.01,"MISMATCH","OK"))</f>
        <v/>
      </c>
      <c r="I263" s="16" t="n"/>
      <c r="J263" s="9" t="n"/>
    </row>
    <row r="264">
      <c r="A264" s="16" t="n"/>
      <c r="B264" s="9" t="n"/>
      <c r="C264" s="16" t="n"/>
      <c r="D264" s="18" t="n"/>
      <c r="E264" s="19" t="n"/>
      <c r="F264" s="20">
        <f>IF(OR(D264="",E264=""),"",ROUND(D264*E264,2))</f>
        <v/>
      </c>
      <c r="G264" s="19" t="n"/>
      <c r="H264" s="21">
        <f>IF(OR(F264="",G264=""),"",IF(ABS(F264-G264)&gt;0.01,"MISMATCH","OK"))</f>
        <v/>
      </c>
      <c r="I264" s="16" t="n"/>
      <c r="J264" s="9" t="n"/>
    </row>
    <row r="265">
      <c r="A265" s="16" t="n"/>
      <c r="B265" s="9" t="n"/>
      <c r="C265" s="16" t="n"/>
      <c r="D265" s="18" t="n"/>
      <c r="E265" s="19" t="n"/>
      <c r="F265" s="20">
        <f>IF(OR(D265="",E265=""),"",ROUND(D265*E265,2))</f>
        <v/>
      </c>
      <c r="G265" s="19" t="n"/>
      <c r="H265" s="21">
        <f>IF(OR(F265="",G265=""),"",IF(ABS(F265-G265)&gt;0.01,"MISMATCH","OK"))</f>
        <v/>
      </c>
      <c r="I265" s="16" t="n"/>
      <c r="J265" s="9" t="n"/>
    </row>
    <row r="266">
      <c r="A266" s="16" t="n"/>
      <c r="B266" s="9" t="n"/>
      <c r="C266" s="16" t="n"/>
      <c r="D266" s="18" t="n"/>
      <c r="E266" s="19" t="n"/>
      <c r="F266" s="20">
        <f>IF(OR(D266="",E266=""),"",ROUND(D266*E266,2))</f>
        <v/>
      </c>
      <c r="G266" s="19" t="n"/>
      <c r="H266" s="21">
        <f>IF(OR(F266="",G266=""),"",IF(ABS(F266-G266)&gt;0.01,"MISMATCH","OK"))</f>
        <v/>
      </c>
      <c r="I266" s="16" t="n"/>
      <c r="J266" s="9" t="n"/>
    </row>
    <row r="267">
      <c r="A267" s="16" t="n"/>
      <c r="B267" s="9" t="n"/>
      <c r="C267" s="16" t="n"/>
      <c r="D267" s="18" t="n"/>
      <c r="E267" s="19" t="n"/>
      <c r="F267" s="20">
        <f>IF(OR(D267="",E267=""),"",ROUND(D267*E267,2))</f>
        <v/>
      </c>
      <c r="G267" s="19" t="n"/>
      <c r="H267" s="21">
        <f>IF(OR(F267="",G267=""),"",IF(ABS(F267-G267)&gt;0.01,"MISMATCH","OK"))</f>
        <v/>
      </c>
      <c r="I267" s="16" t="n"/>
      <c r="J267" s="9" t="n"/>
    </row>
    <row r="268">
      <c r="A268" s="16" t="n"/>
      <c r="B268" s="9" t="n"/>
      <c r="C268" s="16" t="n"/>
      <c r="D268" s="18" t="n"/>
      <c r="E268" s="19" t="n"/>
      <c r="F268" s="20">
        <f>IF(OR(D268="",E268=""),"",ROUND(D268*E268,2))</f>
        <v/>
      </c>
      <c r="G268" s="19" t="n"/>
      <c r="H268" s="21">
        <f>IF(OR(F268="",G268=""),"",IF(ABS(F268-G268)&gt;0.01,"MISMATCH","OK"))</f>
        <v/>
      </c>
      <c r="I268" s="16" t="n"/>
      <c r="J268" s="9" t="n"/>
    </row>
    <row r="269">
      <c r="A269" s="16" t="n"/>
      <c r="B269" s="9" t="n"/>
      <c r="C269" s="16" t="n"/>
      <c r="D269" s="18" t="n"/>
      <c r="E269" s="19" t="n"/>
      <c r="F269" s="20">
        <f>IF(OR(D269="",E269=""),"",ROUND(D269*E269,2))</f>
        <v/>
      </c>
      <c r="G269" s="19" t="n"/>
      <c r="H269" s="21">
        <f>IF(OR(F269="",G269=""),"",IF(ABS(F269-G269)&gt;0.01,"MISMATCH","OK"))</f>
        <v/>
      </c>
      <c r="I269" s="16" t="n"/>
      <c r="J269" s="9" t="n"/>
    </row>
    <row r="270">
      <c r="A270" s="16" t="n"/>
      <c r="B270" s="9" t="n"/>
      <c r="C270" s="16" t="n"/>
      <c r="D270" s="18" t="n"/>
      <c r="E270" s="19" t="n"/>
      <c r="F270" s="20">
        <f>IF(OR(D270="",E270=""),"",ROUND(D270*E270,2))</f>
        <v/>
      </c>
      <c r="G270" s="19" t="n"/>
      <c r="H270" s="21">
        <f>IF(OR(F270="",G270=""),"",IF(ABS(F270-G270)&gt;0.01,"MISMATCH","OK"))</f>
        <v/>
      </c>
      <c r="I270" s="16" t="n"/>
      <c r="J270" s="9" t="n"/>
    </row>
    <row r="271">
      <c r="A271" s="16" t="n"/>
      <c r="B271" s="9" t="n"/>
      <c r="C271" s="16" t="n"/>
      <c r="D271" s="18" t="n"/>
      <c r="E271" s="19" t="n"/>
      <c r="F271" s="20">
        <f>IF(OR(D271="",E271=""),"",ROUND(D271*E271,2))</f>
        <v/>
      </c>
      <c r="G271" s="19" t="n"/>
      <c r="H271" s="21">
        <f>IF(OR(F271="",G271=""),"",IF(ABS(F271-G271)&gt;0.01,"MISMATCH","OK"))</f>
        <v/>
      </c>
      <c r="I271" s="16" t="n"/>
      <c r="J271" s="9" t="n"/>
    </row>
    <row r="272">
      <c r="A272" s="16" t="n"/>
      <c r="B272" s="9" t="n"/>
      <c r="C272" s="16" t="n"/>
      <c r="D272" s="18" t="n"/>
      <c r="E272" s="19" t="n"/>
      <c r="F272" s="20">
        <f>IF(OR(D272="",E272=""),"",ROUND(D272*E272,2))</f>
        <v/>
      </c>
      <c r="G272" s="19" t="n"/>
      <c r="H272" s="21">
        <f>IF(OR(F272="",G272=""),"",IF(ABS(F272-G272)&gt;0.01,"MISMATCH","OK"))</f>
        <v/>
      </c>
      <c r="I272" s="16" t="n"/>
      <c r="J272" s="9" t="n"/>
    </row>
    <row r="273">
      <c r="A273" s="16" t="n"/>
      <c r="B273" s="9" t="n"/>
      <c r="C273" s="16" t="n"/>
      <c r="D273" s="18" t="n"/>
      <c r="E273" s="19" t="n"/>
      <c r="F273" s="20">
        <f>IF(OR(D273="",E273=""),"",ROUND(D273*E273,2))</f>
        <v/>
      </c>
      <c r="G273" s="19" t="n"/>
      <c r="H273" s="21">
        <f>IF(OR(F273="",G273=""),"",IF(ABS(F273-G273)&gt;0.01,"MISMATCH","OK"))</f>
        <v/>
      </c>
      <c r="I273" s="16" t="n"/>
      <c r="J273" s="9" t="n"/>
    </row>
    <row r="274">
      <c r="A274" s="16" t="n"/>
      <c r="B274" s="9" t="n"/>
      <c r="C274" s="16" t="n"/>
      <c r="D274" s="18" t="n"/>
      <c r="E274" s="19" t="n"/>
      <c r="F274" s="20">
        <f>IF(OR(D274="",E274=""),"",ROUND(D274*E274,2))</f>
        <v/>
      </c>
      <c r="G274" s="19" t="n"/>
      <c r="H274" s="21">
        <f>IF(OR(F274="",G274=""),"",IF(ABS(F274-G274)&gt;0.01,"MISMATCH","OK"))</f>
        <v/>
      </c>
      <c r="I274" s="16" t="n"/>
      <c r="J274" s="9" t="n"/>
    </row>
    <row r="275">
      <c r="A275" s="16" t="n"/>
      <c r="B275" s="9" t="n"/>
      <c r="C275" s="16" t="n"/>
      <c r="D275" s="18" t="n"/>
      <c r="E275" s="19" t="n"/>
      <c r="F275" s="20">
        <f>IF(OR(D275="",E275=""),"",ROUND(D275*E275,2))</f>
        <v/>
      </c>
      <c r="G275" s="19" t="n"/>
      <c r="H275" s="21">
        <f>IF(OR(F275="",G275=""),"",IF(ABS(F275-G275)&gt;0.01,"MISMATCH","OK"))</f>
        <v/>
      </c>
      <c r="I275" s="16" t="n"/>
      <c r="J275" s="9" t="n"/>
    </row>
    <row r="276">
      <c r="A276" s="16" t="n"/>
      <c r="B276" s="9" t="n"/>
      <c r="C276" s="16" t="n"/>
      <c r="D276" s="18" t="n"/>
      <c r="E276" s="19" t="n"/>
      <c r="F276" s="20">
        <f>IF(OR(D276="",E276=""),"",ROUND(D276*E276,2))</f>
        <v/>
      </c>
      <c r="G276" s="19" t="n"/>
      <c r="H276" s="21">
        <f>IF(OR(F276="",G276=""),"",IF(ABS(F276-G276)&gt;0.01,"MISMATCH","OK"))</f>
        <v/>
      </c>
      <c r="I276" s="16" t="n"/>
      <c r="J276" s="9" t="n"/>
    </row>
    <row r="277">
      <c r="A277" s="16" t="n"/>
      <c r="B277" s="9" t="n"/>
      <c r="C277" s="16" t="n"/>
      <c r="D277" s="18" t="n"/>
      <c r="E277" s="19" t="n"/>
      <c r="F277" s="20">
        <f>IF(OR(D277="",E277=""),"",ROUND(D277*E277,2))</f>
        <v/>
      </c>
      <c r="G277" s="19" t="n"/>
      <c r="H277" s="21">
        <f>IF(OR(F277="",G277=""),"",IF(ABS(F277-G277)&gt;0.01,"MISMATCH","OK"))</f>
        <v/>
      </c>
      <c r="I277" s="16" t="n"/>
      <c r="J277" s="9" t="n"/>
    </row>
    <row r="278">
      <c r="A278" s="16" t="n"/>
      <c r="B278" s="9" t="n"/>
      <c r="C278" s="16" t="n"/>
      <c r="D278" s="18" t="n"/>
      <c r="E278" s="19" t="n"/>
      <c r="F278" s="20">
        <f>IF(OR(D278="",E278=""),"",ROUND(D278*E278,2))</f>
        <v/>
      </c>
      <c r="G278" s="19" t="n"/>
      <c r="H278" s="21">
        <f>IF(OR(F278="",G278=""),"",IF(ABS(F278-G278)&gt;0.01,"MISMATCH","OK"))</f>
        <v/>
      </c>
      <c r="I278" s="16" t="n"/>
      <c r="J278" s="9" t="n"/>
    </row>
    <row r="279">
      <c r="A279" s="16" t="n"/>
      <c r="B279" s="9" t="n"/>
      <c r="C279" s="16" t="n"/>
      <c r="D279" s="18" t="n"/>
      <c r="E279" s="19" t="n"/>
      <c r="F279" s="20">
        <f>IF(OR(D279="",E279=""),"",ROUND(D279*E279,2))</f>
        <v/>
      </c>
      <c r="G279" s="19" t="n"/>
      <c r="H279" s="21">
        <f>IF(OR(F279="",G279=""),"",IF(ABS(F279-G279)&gt;0.01,"MISMATCH","OK"))</f>
        <v/>
      </c>
      <c r="I279" s="16" t="n"/>
      <c r="J279" s="9" t="n"/>
    </row>
    <row r="280">
      <c r="A280" s="16" t="n"/>
      <c r="B280" s="9" t="n"/>
      <c r="C280" s="16" t="n"/>
      <c r="D280" s="18" t="n"/>
      <c r="E280" s="19" t="n"/>
      <c r="F280" s="20">
        <f>IF(OR(D280="",E280=""),"",ROUND(D280*E280,2))</f>
        <v/>
      </c>
      <c r="G280" s="19" t="n"/>
      <c r="H280" s="21">
        <f>IF(OR(F280="",G280=""),"",IF(ABS(F280-G280)&gt;0.01,"MISMATCH","OK"))</f>
        <v/>
      </c>
      <c r="I280" s="16" t="n"/>
      <c r="J280" s="9" t="n"/>
    </row>
    <row r="281">
      <c r="A281" s="16" t="n"/>
      <c r="B281" s="9" t="n"/>
      <c r="C281" s="16" t="n"/>
      <c r="D281" s="18" t="n"/>
      <c r="E281" s="19" t="n"/>
      <c r="F281" s="20">
        <f>IF(OR(D281="",E281=""),"",ROUND(D281*E281,2))</f>
        <v/>
      </c>
      <c r="G281" s="19" t="n"/>
      <c r="H281" s="21">
        <f>IF(OR(F281="",G281=""),"",IF(ABS(F281-G281)&gt;0.01,"MISMATCH","OK"))</f>
        <v/>
      </c>
      <c r="I281" s="16" t="n"/>
      <c r="J281" s="9" t="n"/>
    </row>
    <row r="282">
      <c r="A282" s="16" t="n"/>
      <c r="B282" s="9" t="n"/>
      <c r="C282" s="16" t="n"/>
      <c r="D282" s="18" t="n"/>
      <c r="E282" s="19" t="n"/>
      <c r="F282" s="20">
        <f>IF(OR(D282="",E282=""),"",ROUND(D282*E282,2))</f>
        <v/>
      </c>
      <c r="G282" s="19" t="n"/>
      <c r="H282" s="21">
        <f>IF(OR(F282="",G282=""),"",IF(ABS(F282-G282)&gt;0.01,"MISMATCH","OK"))</f>
        <v/>
      </c>
      <c r="I282" s="16" t="n"/>
      <c r="J282" s="9" t="n"/>
    </row>
    <row r="283">
      <c r="A283" s="16" t="n"/>
      <c r="B283" s="9" t="n"/>
      <c r="C283" s="16" t="n"/>
      <c r="D283" s="18" t="n"/>
      <c r="E283" s="19" t="n"/>
      <c r="F283" s="20">
        <f>IF(OR(D283="",E283=""),"",ROUND(D283*E283,2))</f>
        <v/>
      </c>
      <c r="G283" s="19" t="n"/>
      <c r="H283" s="21">
        <f>IF(OR(F283="",G283=""),"",IF(ABS(F283-G283)&gt;0.01,"MISMATCH","OK"))</f>
        <v/>
      </c>
      <c r="I283" s="16" t="n"/>
      <c r="J283" s="9" t="n"/>
    </row>
    <row r="284">
      <c r="A284" s="16" t="n"/>
      <c r="B284" s="9" t="n"/>
      <c r="C284" s="16" t="n"/>
      <c r="D284" s="18" t="n"/>
      <c r="E284" s="19" t="n"/>
      <c r="F284" s="20">
        <f>IF(OR(D284="",E284=""),"",ROUND(D284*E284,2))</f>
        <v/>
      </c>
      <c r="G284" s="19" t="n"/>
      <c r="H284" s="21">
        <f>IF(OR(F284="",G284=""),"",IF(ABS(F284-G284)&gt;0.01,"MISMATCH","OK"))</f>
        <v/>
      </c>
      <c r="I284" s="16" t="n"/>
      <c r="J284" s="9" t="n"/>
    </row>
    <row r="285">
      <c r="A285" s="16" t="n"/>
      <c r="B285" s="9" t="n"/>
      <c r="C285" s="16" t="n"/>
      <c r="D285" s="18" t="n"/>
      <c r="E285" s="19" t="n"/>
      <c r="F285" s="20">
        <f>IF(OR(D285="",E285=""),"",ROUND(D285*E285,2))</f>
        <v/>
      </c>
      <c r="G285" s="19" t="n"/>
      <c r="H285" s="21">
        <f>IF(OR(F285="",G285=""),"",IF(ABS(F285-G285)&gt;0.01,"MISMATCH","OK"))</f>
        <v/>
      </c>
      <c r="I285" s="16" t="n"/>
      <c r="J285" s="9" t="n"/>
    </row>
    <row r="286">
      <c r="A286" s="16" t="n"/>
      <c r="B286" s="9" t="n"/>
      <c r="C286" s="16" t="n"/>
      <c r="D286" s="18" t="n"/>
      <c r="E286" s="19" t="n"/>
      <c r="F286" s="20">
        <f>IF(OR(D286="",E286=""),"",ROUND(D286*E286,2))</f>
        <v/>
      </c>
      <c r="G286" s="19" t="n"/>
      <c r="H286" s="21">
        <f>IF(OR(F286="",G286=""),"",IF(ABS(F286-G286)&gt;0.01,"MISMATCH","OK"))</f>
        <v/>
      </c>
      <c r="I286" s="16" t="n"/>
      <c r="J286" s="9" t="n"/>
    </row>
    <row r="287">
      <c r="A287" s="16" t="n"/>
      <c r="B287" s="9" t="n"/>
      <c r="C287" s="16" t="n"/>
      <c r="D287" s="18" t="n"/>
      <c r="E287" s="19" t="n"/>
      <c r="F287" s="20">
        <f>IF(OR(D287="",E287=""),"",ROUND(D287*E287,2))</f>
        <v/>
      </c>
      <c r="G287" s="19" t="n"/>
      <c r="H287" s="21">
        <f>IF(OR(F287="",G287=""),"",IF(ABS(F287-G287)&gt;0.01,"MISMATCH","OK"))</f>
        <v/>
      </c>
      <c r="I287" s="16" t="n"/>
      <c r="J287" s="9" t="n"/>
    </row>
    <row r="288">
      <c r="A288" s="16" t="n"/>
      <c r="B288" s="9" t="n"/>
      <c r="C288" s="16" t="n"/>
      <c r="D288" s="18" t="n"/>
      <c r="E288" s="19" t="n"/>
      <c r="F288" s="20">
        <f>IF(OR(D288="",E288=""),"",ROUND(D288*E288,2))</f>
        <v/>
      </c>
      <c r="G288" s="19" t="n"/>
      <c r="H288" s="21">
        <f>IF(OR(F288="",G288=""),"",IF(ABS(F288-G288)&gt;0.01,"MISMATCH","OK"))</f>
        <v/>
      </c>
      <c r="I288" s="16" t="n"/>
      <c r="J288" s="9" t="n"/>
    </row>
    <row r="289">
      <c r="A289" s="16" t="n"/>
      <c r="B289" s="9" t="n"/>
      <c r="C289" s="16" t="n"/>
      <c r="D289" s="18" t="n"/>
      <c r="E289" s="19" t="n"/>
      <c r="F289" s="20">
        <f>IF(OR(D289="",E289=""),"",ROUND(D289*E289,2))</f>
        <v/>
      </c>
      <c r="G289" s="19" t="n"/>
      <c r="H289" s="21">
        <f>IF(OR(F289="",G289=""),"",IF(ABS(F289-G289)&gt;0.01,"MISMATCH","OK"))</f>
        <v/>
      </c>
      <c r="I289" s="16" t="n"/>
      <c r="J289" s="9" t="n"/>
    </row>
    <row r="290">
      <c r="A290" s="16" t="n"/>
      <c r="B290" s="9" t="n"/>
      <c r="C290" s="16" t="n"/>
      <c r="D290" s="18" t="n"/>
      <c r="E290" s="19" t="n"/>
      <c r="F290" s="20">
        <f>IF(OR(D290="",E290=""),"",ROUND(D290*E290,2))</f>
        <v/>
      </c>
      <c r="G290" s="19" t="n"/>
      <c r="H290" s="21">
        <f>IF(OR(F290="",G290=""),"",IF(ABS(F290-G290)&gt;0.01,"MISMATCH","OK"))</f>
        <v/>
      </c>
      <c r="I290" s="16" t="n"/>
      <c r="J290" s="9" t="n"/>
    </row>
    <row r="291">
      <c r="A291" s="16" t="n"/>
      <c r="B291" s="9" t="n"/>
      <c r="C291" s="16" t="n"/>
      <c r="D291" s="18" t="n"/>
      <c r="E291" s="19" t="n"/>
      <c r="F291" s="20">
        <f>IF(OR(D291="",E291=""),"",ROUND(D291*E291,2))</f>
        <v/>
      </c>
      <c r="G291" s="19" t="n"/>
      <c r="H291" s="21">
        <f>IF(OR(F291="",G291=""),"",IF(ABS(F291-G291)&gt;0.01,"MISMATCH","OK"))</f>
        <v/>
      </c>
      <c r="I291" s="16" t="n"/>
      <c r="J291" s="9" t="n"/>
    </row>
    <row r="292">
      <c r="A292" s="16" t="n"/>
      <c r="B292" s="9" t="n"/>
      <c r="C292" s="16" t="n"/>
      <c r="D292" s="18" t="n"/>
      <c r="E292" s="19" t="n"/>
      <c r="F292" s="20">
        <f>IF(OR(D292="",E292=""),"",ROUND(D292*E292,2))</f>
        <v/>
      </c>
      <c r="G292" s="19" t="n"/>
      <c r="H292" s="21">
        <f>IF(OR(F292="",G292=""),"",IF(ABS(F292-G292)&gt;0.01,"MISMATCH","OK"))</f>
        <v/>
      </c>
      <c r="I292" s="16" t="n"/>
      <c r="J292" s="9" t="n"/>
    </row>
    <row r="293">
      <c r="A293" s="16" t="n"/>
      <c r="B293" s="9" t="n"/>
      <c r="C293" s="16" t="n"/>
      <c r="D293" s="18" t="n"/>
      <c r="E293" s="19" t="n"/>
      <c r="F293" s="20">
        <f>IF(OR(D293="",E293=""),"",ROUND(D293*E293,2))</f>
        <v/>
      </c>
      <c r="G293" s="19" t="n"/>
      <c r="H293" s="21">
        <f>IF(OR(F293="",G293=""),"",IF(ABS(F293-G293)&gt;0.01,"MISMATCH","OK"))</f>
        <v/>
      </c>
      <c r="I293" s="16" t="n"/>
      <c r="J293" s="9" t="n"/>
    </row>
    <row r="294">
      <c r="A294" s="16" t="n"/>
      <c r="B294" s="9" t="n"/>
      <c r="C294" s="16" t="n"/>
      <c r="D294" s="18" t="n"/>
      <c r="E294" s="19" t="n"/>
      <c r="F294" s="20">
        <f>IF(OR(D294="",E294=""),"",ROUND(D294*E294,2))</f>
        <v/>
      </c>
      <c r="G294" s="19" t="n"/>
      <c r="H294" s="21">
        <f>IF(OR(F294="",G294=""),"",IF(ABS(F294-G294)&gt;0.01,"MISMATCH","OK"))</f>
        <v/>
      </c>
      <c r="I294" s="16" t="n"/>
      <c r="J294" s="9" t="n"/>
    </row>
    <row r="295">
      <c r="A295" s="16" t="n"/>
      <c r="B295" s="9" t="n"/>
      <c r="C295" s="16" t="n"/>
      <c r="D295" s="18" t="n"/>
      <c r="E295" s="19" t="n"/>
      <c r="F295" s="20">
        <f>IF(OR(D295="",E295=""),"",ROUND(D295*E295,2))</f>
        <v/>
      </c>
      <c r="G295" s="19" t="n"/>
      <c r="H295" s="21">
        <f>IF(OR(F295="",G295=""),"",IF(ABS(F295-G295)&gt;0.01,"MISMATCH","OK"))</f>
        <v/>
      </c>
      <c r="I295" s="16" t="n"/>
      <c r="J295" s="9" t="n"/>
    </row>
    <row r="296">
      <c r="A296" s="16" t="n"/>
      <c r="B296" s="9" t="n"/>
      <c r="C296" s="16" t="n"/>
      <c r="D296" s="18" t="n"/>
      <c r="E296" s="19" t="n"/>
      <c r="F296" s="20">
        <f>IF(OR(D296="",E296=""),"",ROUND(D296*E296,2))</f>
        <v/>
      </c>
      <c r="G296" s="19" t="n"/>
      <c r="H296" s="21">
        <f>IF(OR(F296="",G296=""),"",IF(ABS(F296-G296)&gt;0.01,"MISMATCH","OK"))</f>
        <v/>
      </c>
      <c r="I296" s="16" t="n"/>
      <c r="J296" s="9" t="n"/>
    </row>
    <row r="297">
      <c r="A297" s="16" t="n"/>
      <c r="B297" s="9" t="n"/>
      <c r="C297" s="16" t="n"/>
      <c r="D297" s="18" t="n"/>
      <c r="E297" s="19" t="n"/>
      <c r="F297" s="20">
        <f>IF(OR(D297="",E297=""),"",ROUND(D297*E297,2))</f>
        <v/>
      </c>
      <c r="G297" s="19" t="n"/>
      <c r="H297" s="21">
        <f>IF(OR(F297="",G297=""),"",IF(ABS(F297-G297)&gt;0.01,"MISMATCH","OK"))</f>
        <v/>
      </c>
      <c r="I297" s="16" t="n"/>
      <c r="J297" s="9" t="n"/>
    </row>
    <row r="298">
      <c r="A298" s="16" t="n"/>
      <c r="B298" s="9" t="n"/>
      <c r="C298" s="16" t="n"/>
      <c r="D298" s="18" t="n"/>
      <c r="E298" s="19" t="n"/>
      <c r="F298" s="20">
        <f>IF(OR(D298="",E298=""),"",ROUND(D298*E298,2))</f>
        <v/>
      </c>
      <c r="G298" s="19" t="n"/>
      <c r="H298" s="21">
        <f>IF(OR(F298="",G298=""),"",IF(ABS(F298-G298)&gt;0.01,"MISMATCH","OK"))</f>
        <v/>
      </c>
      <c r="I298" s="16" t="n"/>
      <c r="J298" s="9" t="n"/>
    </row>
    <row r="299">
      <c r="A299" s="16" t="n"/>
      <c r="B299" s="9" t="n"/>
      <c r="C299" s="16" t="n"/>
      <c r="D299" s="18" t="n"/>
      <c r="E299" s="19" t="n"/>
      <c r="F299" s="20">
        <f>IF(OR(D299="",E299=""),"",ROUND(D299*E299,2))</f>
        <v/>
      </c>
      <c r="G299" s="19" t="n"/>
      <c r="H299" s="21">
        <f>IF(OR(F299="",G299=""),"",IF(ABS(F299-G299)&gt;0.01,"MISMATCH","OK"))</f>
        <v/>
      </c>
      <c r="I299" s="16" t="n"/>
      <c r="J299" s="9" t="n"/>
    </row>
    <row r="300">
      <c r="A300" s="16" t="n"/>
      <c r="B300" s="9" t="n"/>
      <c r="C300" s="16" t="n"/>
      <c r="D300" s="18" t="n"/>
      <c r="E300" s="19" t="n"/>
      <c r="F300" s="20">
        <f>IF(OR(D300="",E300=""),"",ROUND(D300*E300,2))</f>
        <v/>
      </c>
      <c r="G300" s="19" t="n"/>
      <c r="H300" s="21">
        <f>IF(OR(F300="",G300=""),"",IF(ABS(F300-G300)&gt;0.01,"MISMATCH","OK"))</f>
        <v/>
      </c>
      <c r="I300" s="16" t="n"/>
      <c r="J300" s="9" t="n"/>
    </row>
    <row r="301">
      <c r="A301" s="16" t="n"/>
      <c r="B301" s="9" t="n"/>
      <c r="C301" s="16" t="n"/>
      <c r="D301" s="18" t="n"/>
      <c r="E301" s="19" t="n"/>
      <c r="F301" s="20">
        <f>IF(OR(D301="",E301=""),"",ROUND(D301*E301,2))</f>
        <v/>
      </c>
      <c r="G301" s="19" t="n"/>
      <c r="H301" s="21">
        <f>IF(OR(F301="",G301=""),"",IF(ABS(F301-G301)&gt;0.01,"MISMATCH","OK"))</f>
        <v/>
      </c>
      <c r="I301" s="16" t="n"/>
      <c r="J301" s="9" t="n"/>
    </row>
    <row r="302">
      <c r="A302" s="16" t="n"/>
      <c r="B302" s="9" t="n"/>
      <c r="C302" s="16" t="n"/>
      <c r="D302" s="18" t="n"/>
      <c r="E302" s="19" t="n"/>
      <c r="F302" s="20">
        <f>IF(OR(D302="",E302=""),"",ROUND(D302*E302,2))</f>
        <v/>
      </c>
      <c r="G302" s="19" t="n"/>
      <c r="H302" s="21">
        <f>IF(OR(F302="",G302=""),"",IF(ABS(F302-G302)&gt;0.01,"MISMATCH","OK"))</f>
        <v/>
      </c>
      <c r="I302" s="16" t="n"/>
      <c r="J302" s="9" t="n"/>
    </row>
    <row r="303">
      <c r="A303" s="16" t="n"/>
      <c r="B303" s="9" t="n"/>
      <c r="C303" s="16" t="n"/>
      <c r="D303" s="18" t="n"/>
      <c r="E303" s="19" t="n"/>
      <c r="F303" s="20">
        <f>IF(OR(D303="",E303=""),"",ROUND(D303*E303,2))</f>
        <v/>
      </c>
      <c r="G303" s="19" t="n"/>
      <c r="H303" s="21">
        <f>IF(OR(F303="",G303=""),"",IF(ABS(F303-G303)&gt;0.01,"MISMATCH","OK"))</f>
        <v/>
      </c>
      <c r="I303" s="16" t="n"/>
      <c r="J303" s="9" t="n"/>
    </row>
    <row r="304">
      <c r="A304" s="16" t="n"/>
      <c r="B304" s="9" t="n"/>
      <c r="C304" s="16" t="n"/>
      <c r="D304" s="18" t="n"/>
      <c r="E304" s="19" t="n"/>
      <c r="F304" s="20">
        <f>IF(OR(D304="",E304=""),"",ROUND(D304*E304,2))</f>
        <v/>
      </c>
      <c r="G304" s="19" t="n"/>
      <c r="H304" s="21">
        <f>IF(OR(F304="",G304=""),"",IF(ABS(F304-G304)&gt;0.01,"MISMATCH","OK"))</f>
        <v/>
      </c>
      <c r="I304" s="16" t="n"/>
      <c r="J304" s="9" t="n"/>
    </row>
    <row r="305">
      <c r="A305" s="16" t="n"/>
      <c r="B305" s="9" t="n"/>
      <c r="C305" s="16" t="n"/>
      <c r="D305" s="18" t="n"/>
      <c r="E305" s="19" t="n"/>
      <c r="F305" s="20">
        <f>IF(OR(D305="",E305=""),"",ROUND(D305*E305,2))</f>
        <v/>
      </c>
      <c r="G305" s="19" t="n"/>
      <c r="H305" s="21">
        <f>IF(OR(F305="",G305=""),"",IF(ABS(F305-G305)&gt;0.01,"MISMATCH","OK"))</f>
        <v/>
      </c>
      <c r="I305" s="16" t="n"/>
      <c r="J305" s="9" t="n"/>
    </row>
    <row r="307">
      <c r="A307" s="8" t="inlineStr">
        <is>
          <t>TOTAL</t>
        </is>
      </c>
      <c r="F307" s="22">
        <f>SUM(F6:F305)</f>
        <v/>
      </c>
      <c r="G307" s="22">
        <f>SUM(G6:G305)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J305"/>
  <mergeCells count="1">
    <mergeCell ref="A2:J2"/>
  </mergeCells>
  <conditionalFormatting sqref="H6:H305">
    <cfRule type="cellIs" priority="1" operator="equal" dxfId="1">
      <formula>"MISMATCH"</formula>
    </cfRule>
  </conditionalFormatting>
  <conditionalFormatting sqref="I6:I305">
    <cfRule type="expression" priority="2" dxfId="0">
      <formula>OR(I6="Pending Review",I6="Draft",I6="Needs Review",I6="Suggested")</formula>
    </cfRule>
    <cfRule type="expression" priority="3" dxfId="1">
      <formula>OR(I6="Rejected",I6="Expired")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R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8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  <col width="10" customWidth="1" min="11" max="11"/>
    <col width="22" customWidth="1" min="12" max="12"/>
    <col width="14" customWidth="1" min="13" max="13"/>
    <col width="10" customWidth="1" min="14" max="14"/>
    <col width="14" customWidth="1" min="15" max="15"/>
    <col width="12" customWidth="1" min="16" max="16"/>
    <col width="14" customWidth="1" min="17" max="17"/>
    <col width="40" customWidth="1" min="18" max="18"/>
  </cols>
  <sheetData>
    <row r="1">
      <c r="A1" s="4" t="inlineStr">
        <is>
          <t>BOQ Import (measured quantities)</t>
        </is>
      </c>
    </row>
    <row r="2" ht="48" customHeight="1">
      <c r="A2" s="3" t="inlineStr">
        <is>
          <t>Quantities are measured by the estimator in the tool of choice and imported here; the application never measures or alters them. Re-import is safe: differences become pending change requests. Required: Description, Unit, Quantity.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item_code</t>
        </is>
      </c>
      <c r="B4" t="inlineStr">
        <is>
          <t>description</t>
        </is>
      </c>
      <c r="C4" t="inlineStr">
        <is>
          <t>trade</t>
        </is>
      </c>
      <c r="D4" t="inlineStr">
        <is>
          <t>unit</t>
        </is>
      </c>
      <c r="E4" t="inlineStr">
        <is>
          <t>quantity</t>
        </is>
      </c>
      <c r="F4" t="inlineStr">
        <is>
          <t>client_rate</t>
        </is>
      </c>
      <c r="G4" t="inlineStr">
        <is>
          <t>client_amount</t>
        </is>
      </c>
      <c r="H4" t="inlineStr">
        <is>
          <t>drawing_ref</t>
        </is>
      </c>
      <c r="I4" t="inlineStr">
        <is>
          <t>spec_ref</t>
        </is>
      </c>
      <c r="J4" t="inlineStr">
        <is>
          <t>cost_code</t>
        </is>
      </c>
      <c r="K4" t="inlineStr">
        <is>
          <t>revision</t>
        </is>
      </c>
      <c r="L4" t="inlineStr">
        <is>
          <t>source_file</t>
        </is>
      </c>
      <c r="M4" t="inlineStr">
        <is>
          <t>source_sheet</t>
        </is>
      </c>
      <c r="N4" t="inlineStr">
        <is>
          <t>source_row</t>
        </is>
      </c>
      <c r="O4" t="inlineStr">
        <is>
          <t>quantity_original</t>
        </is>
      </c>
      <c r="P4" t="inlineStr">
        <is>
          <t>unit_status</t>
        </is>
      </c>
      <c r="Q4" t="inlineStr">
        <is>
          <t>validation_status</t>
        </is>
      </c>
      <c r="R4" t="inlineStr">
        <is>
          <t>issues</t>
        </is>
      </c>
    </row>
    <row r="5" ht="34" customHeight="1">
      <c r="A5" s="15" t="inlineStr">
        <is>
          <t>Item</t>
        </is>
      </c>
      <c r="B5" s="15" t="inlineStr">
        <is>
          <t>Description</t>
        </is>
      </c>
      <c r="C5" s="15" t="inlineStr">
        <is>
          <t>Trade</t>
        </is>
      </c>
      <c r="D5" s="15" t="inlineStr">
        <is>
          <t>Unit</t>
        </is>
      </c>
      <c r="E5" s="15" t="inlineStr">
        <is>
          <t>Quantity</t>
        </is>
      </c>
      <c r="F5" s="15" t="inlineStr">
        <is>
          <t>Client rate</t>
        </is>
      </c>
      <c r="G5" s="15" t="inlineStr">
        <is>
          <t>Client amount</t>
        </is>
      </c>
      <c r="H5" s="15" t="inlineStr">
        <is>
          <t>Drawing ref</t>
        </is>
      </c>
      <c r="I5" s="15" t="inlineStr">
        <is>
          <t>Spec ref</t>
        </is>
      </c>
      <c r="J5" s="15" t="inlineStr">
        <is>
          <t>Cost code</t>
        </is>
      </c>
      <c r="K5" s="15" t="inlineStr">
        <is>
          <t>Revision</t>
        </is>
      </c>
      <c r="L5" s="15" t="inlineStr">
        <is>
          <t>Source file</t>
        </is>
      </c>
      <c r="M5" s="15" t="inlineStr">
        <is>
          <t>Source sheet</t>
        </is>
      </c>
      <c r="N5" s="15" t="inlineStr">
        <is>
          <t>Source row</t>
        </is>
      </c>
      <c r="O5" s="15" t="inlineStr">
        <is>
          <t>Original qty text</t>
        </is>
      </c>
      <c r="P5" s="15" t="inlineStr">
        <is>
          <t>Unit status</t>
        </is>
      </c>
      <c r="Q5" s="15" t="inlineStr">
        <is>
          <t>Validation</t>
        </is>
      </c>
      <c r="R5" s="15" t="inlineStr">
        <is>
          <t>Issues</t>
        </is>
      </c>
    </row>
    <row r="6">
      <c r="A6" s="17" t="n"/>
      <c r="B6" s="10" t="n"/>
      <c r="C6" s="17" t="n"/>
      <c r="D6" s="17" t="n"/>
      <c r="E6" s="23" t="n"/>
      <c r="F6" s="24" t="n"/>
      <c r="G6" s="24" t="n"/>
      <c r="H6" s="17" t="n"/>
      <c r="I6" s="17" t="n"/>
      <c r="J6" s="17" t="n"/>
      <c r="K6" s="17" t="n"/>
      <c r="L6" s="16" t="n"/>
      <c r="M6" s="16" t="n"/>
      <c r="N6" s="16" t="n"/>
      <c r="O6" s="16" t="n"/>
      <c r="P6" s="16" t="n"/>
      <c r="Q6" s="16" t="n"/>
      <c r="R6" s="9" t="n"/>
    </row>
    <row r="7">
      <c r="A7" s="17" t="n"/>
      <c r="B7" s="10" t="n"/>
      <c r="C7" s="17" t="n"/>
      <c r="D7" s="17" t="n"/>
      <c r="E7" s="23" t="n"/>
      <c r="F7" s="24" t="n"/>
      <c r="G7" s="24" t="n"/>
      <c r="H7" s="17" t="n"/>
      <c r="I7" s="17" t="n"/>
      <c r="J7" s="17" t="n"/>
      <c r="K7" s="17" t="n"/>
      <c r="L7" s="16" t="n"/>
      <c r="M7" s="16" t="n"/>
      <c r="N7" s="16" t="n"/>
      <c r="O7" s="16" t="n"/>
      <c r="P7" s="16" t="n"/>
      <c r="Q7" s="16" t="n"/>
      <c r="R7" s="9" t="n"/>
    </row>
    <row r="8">
      <c r="A8" s="17" t="n"/>
      <c r="B8" s="10" t="n"/>
      <c r="C8" s="17" t="n"/>
      <c r="D8" s="17" t="n"/>
      <c r="E8" s="23" t="n"/>
      <c r="F8" s="24" t="n"/>
      <c r="G8" s="24" t="n"/>
      <c r="H8" s="17" t="n"/>
      <c r="I8" s="17" t="n"/>
      <c r="J8" s="17" t="n"/>
      <c r="K8" s="17" t="n"/>
      <c r="L8" s="16" t="n"/>
      <c r="M8" s="16" t="n"/>
      <c r="N8" s="16" t="n"/>
      <c r="O8" s="16" t="n"/>
      <c r="P8" s="16" t="n"/>
      <c r="Q8" s="16" t="n"/>
      <c r="R8" s="9" t="n"/>
    </row>
    <row r="9">
      <c r="A9" s="17" t="n"/>
      <c r="B9" s="10" t="n"/>
      <c r="C9" s="17" t="n"/>
      <c r="D9" s="17" t="n"/>
      <c r="E9" s="23" t="n"/>
      <c r="F9" s="24" t="n"/>
      <c r="G9" s="24" t="n"/>
      <c r="H9" s="17" t="n"/>
      <c r="I9" s="17" t="n"/>
      <c r="J9" s="17" t="n"/>
      <c r="K9" s="17" t="n"/>
      <c r="L9" s="16" t="n"/>
      <c r="M9" s="16" t="n"/>
      <c r="N9" s="16" t="n"/>
      <c r="O9" s="16" t="n"/>
      <c r="P9" s="16" t="n"/>
      <c r="Q9" s="16" t="n"/>
      <c r="R9" s="9" t="n"/>
    </row>
    <row r="10">
      <c r="A10" s="17" t="n"/>
      <c r="B10" s="10" t="n"/>
      <c r="C10" s="17" t="n"/>
      <c r="D10" s="17" t="n"/>
      <c r="E10" s="23" t="n"/>
      <c r="F10" s="24" t="n"/>
      <c r="G10" s="24" t="n"/>
      <c r="H10" s="17" t="n"/>
      <c r="I10" s="17" t="n"/>
      <c r="J10" s="17" t="n"/>
      <c r="K10" s="17" t="n"/>
      <c r="L10" s="16" t="n"/>
      <c r="M10" s="16" t="n"/>
      <c r="N10" s="16" t="n"/>
      <c r="O10" s="16" t="n"/>
      <c r="P10" s="16" t="n"/>
      <c r="Q10" s="16" t="n"/>
      <c r="R10" s="9" t="n"/>
    </row>
    <row r="11">
      <c r="A11" s="17" t="n"/>
      <c r="B11" s="10" t="n"/>
      <c r="C11" s="17" t="n"/>
      <c r="D11" s="17" t="n"/>
      <c r="E11" s="23" t="n"/>
      <c r="F11" s="24" t="n"/>
      <c r="G11" s="24" t="n"/>
      <c r="H11" s="17" t="n"/>
      <c r="I11" s="17" t="n"/>
      <c r="J11" s="17" t="n"/>
      <c r="K11" s="17" t="n"/>
      <c r="L11" s="16" t="n"/>
      <c r="M11" s="16" t="n"/>
      <c r="N11" s="16" t="n"/>
      <c r="O11" s="16" t="n"/>
      <c r="P11" s="16" t="n"/>
      <c r="Q11" s="16" t="n"/>
      <c r="R11" s="9" t="n"/>
    </row>
    <row r="12">
      <c r="A12" s="17" t="n"/>
      <c r="B12" s="10" t="n"/>
      <c r="C12" s="17" t="n"/>
      <c r="D12" s="17" t="n"/>
      <c r="E12" s="23" t="n"/>
      <c r="F12" s="24" t="n"/>
      <c r="G12" s="24" t="n"/>
      <c r="H12" s="17" t="n"/>
      <c r="I12" s="17" t="n"/>
      <c r="J12" s="17" t="n"/>
      <c r="K12" s="17" t="n"/>
      <c r="L12" s="16" t="n"/>
      <c r="M12" s="16" t="n"/>
      <c r="N12" s="16" t="n"/>
      <c r="O12" s="16" t="n"/>
      <c r="P12" s="16" t="n"/>
      <c r="Q12" s="16" t="n"/>
      <c r="R12" s="9" t="n"/>
    </row>
    <row r="13">
      <c r="A13" s="17" t="n"/>
      <c r="B13" s="10" t="n"/>
      <c r="C13" s="17" t="n"/>
      <c r="D13" s="17" t="n"/>
      <c r="E13" s="23" t="n"/>
      <c r="F13" s="24" t="n"/>
      <c r="G13" s="24" t="n"/>
      <c r="H13" s="17" t="n"/>
      <c r="I13" s="17" t="n"/>
      <c r="J13" s="17" t="n"/>
      <c r="K13" s="17" t="n"/>
      <c r="L13" s="16" t="n"/>
      <c r="M13" s="16" t="n"/>
      <c r="N13" s="16" t="n"/>
      <c r="O13" s="16" t="n"/>
      <c r="P13" s="16" t="n"/>
      <c r="Q13" s="16" t="n"/>
      <c r="R13" s="9" t="n"/>
    </row>
    <row r="14">
      <c r="A14" s="17" t="n"/>
      <c r="B14" s="10" t="n"/>
      <c r="C14" s="17" t="n"/>
      <c r="D14" s="17" t="n"/>
      <c r="E14" s="23" t="n"/>
      <c r="F14" s="24" t="n"/>
      <c r="G14" s="24" t="n"/>
      <c r="H14" s="17" t="n"/>
      <c r="I14" s="17" t="n"/>
      <c r="J14" s="17" t="n"/>
      <c r="K14" s="17" t="n"/>
      <c r="L14" s="16" t="n"/>
      <c r="M14" s="16" t="n"/>
      <c r="N14" s="16" t="n"/>
      <c r="O14" s="16" t="n"/>
      <c r="P14" s="16" t="n"/>
      <c r="Q14" s="16" t="n"/>
      <c r="R14" s="9" t="n"/>
    </row>
    <row r="15">
      <c r="A15" s="17" t="n"/>
      <c r="B15" s="10" t="n"/>
      <c r="C15" s="17" t="n"/>
      <c r="D15" s="17" t="n"/>
      <c r="E15" s="23" t="n"/>
      <c r="F15" s="24" t="n"/>
      <c r="G15" s="24" t="n"/>
      <c r="H15" s="17" t="n"/>
      <c r="I15" s="17" t="n"/>
      <c r="J15" s="17" t="n"/>
      <c r="K15" s="17" t="n"/>
      <c r="L15" s="16" t="n"/>
      <c r="M15" s="16" t="n"/>
      <c r="N15" s="16" t="n"/>
      <c r="O15" s="16" t="n"/>
      <c r="P15" s="16" t="n"/>
      <c r="Q15" s="16" t="n"/>
      <c r="R15" s="9" t="n"/>
    </row>
    <row r="16">
      <c r="A16" s="17" t="n"/>
      <c r="B16" s="10" t="n"/>
      <c r="C16" s="17" t="n"/>
      <c r="D16" s="17" t="n"/>
      <c r="E16" s="23" t="n"/>
      <c r="F16" s="24" t="n"/>
      <c r="G16" s="24" t="n"/>
      <c r="H16" s="17" t="n"/>
      <c r="I16" s="17" t="n"/>
      <c r="J16" s="17" t="n"/>
      <c r="K16" s="17" t="n"/>
      <c r="L16" s="16" t="n"/>
      <c r="M16" s="16" t="n"/>
      <c r="N16" s="16" t="n"/>
      <c r="O16" s="16" t="n"/>
      <c r="P16" s="16" t="n"/>
      <c r="Q16" s="16" t="n"/>
      <c r="R16" s="9" t="n"/>
    </row>
    <row r="17">
      <c r="A17" s="17" t="n"/>
      <c r="B17" s="10" t="n"/>
      <c r="C17" s="17" t="n"/>
      <c r="D17" s="17" t="n"/>
      <c r="E17" s="23" t="n"/>
      <c r="F17" s="24" t="n"/>
      <c r="G17" s="24" t="n"/>
      <c r="H17" s="17" t="n"/>
      <c r="I17" s="17" t="n"/>
      <c r="J17" s="17" t="n"/>
      <c r="K17" s="17" t="n"/>
      <c r="L17" s="16" t="n"/>
      <c r="M17" s="16" t="n"/>
      <c r="N17" s="16" t="n"/>
      <c r="O17" s="16" t="n"/>
      <c r="P17" s="16" t="n"/>
      <c r="Q17" s="16" t="n"/>
      <c r="R17" s="9" t="n"/>
    </row>
    <row r="18">
      <c r="A18" s="17" t="n"/>
      <c r="B18" s="10" t="n"/>
      <c r="C18" s="17" t="n"/>
      <c r="D18" s="17" t="n"/>
      <c r="E18" s="23" t="n"/>
      <c r="F18" s="24" t="n"/>
      <c r="G18" s="24" t="n"/>
      <c r="H18" s="17" t="n"/>
      <c r="I18" s="17" t="n"/>
      <c r="J18" s="17" t="n"/>
      <c r="K18" s="17" t="n"/>
      <c r="L18" s="16" t="n"/>
      <c r="M18" s="16" t="n"/>
      <c r="N18" s="16" t="n"/>
      <c r="O18" s="16" t="n"/>
      <c r="P18" s="16" t="n"/>
      <c r="Q18" s="16" t="n"/>
      <c r="R18" s="9" t="n"/>
    </row>
    <row r="19">
      <c r="A19" s="17" t="n"/>
      <c r="B19" s="10" t="n"/>
      <c r="C19" s="17" t="n"/>
      <c r="D19" s="17" t="n"/>
      <c r="E19" s="23" t="n"/>
      <c r="F19" s="24" t="n"/>
      <c r="G19" s="24" t="n"/>
      <c r="H19" s="17" t="n"/>
      <c r="I19" s="17" t="n"/>
      <c r="J19" s="17" t="n"/>
      <c r="K19" s="17" t="n"/>
      <c r="L19" s="16" t="n"/>
      <c r="M19" s="16" t="n"/>
      <c r="N19" s="16" t="n"/>
      <c r="O19" s="16" t="n"/>
      <c r="P19" s="16" t="n"/>
      <c r="Q19" s="16" t="n"/>
      <c r="R19" s="9" t="n"/>
    </row>
    <row r="20">
      <c r="A20" s="17" t="n"/>
      <c r="B20" s="10" t="n"/>
      <c r="C20" s="17" t="n"/>
      <c r="D20" s="17" t="n"/>
      <c r="E20" s="23" t="n"/>
      <c r="F20" s="24" t="n"/>
      <c r="G20" s="24" t="n"/>
      <c r="H20" s="17" t="n"/>
      <c r="I20" s="17" t="n"/>
      <c r="J20" s="17" t="n"/>
      <c r="K20" s="17" t="n"/>
      <c r="L20" s="16" t="n"/>
      <c r="M20" s="16" t="n"/>
      <c r="N20" s="16" t="n"/>
      <c r="O20" s="16" t="n"/>
      <c r="P20" s="16" t="n"/>
      <c r="Q20" s="16" t="n"/>
      <c r="R20" s="9" t="n"/>
    </row>
    <row r="21">
      <c r="A21" s="17" t="n"/>
      <c r="B21" s="10" t="n"/>
      <c r="C21" s="17" t="n"/>
      <c r="D21" s="17" t="n"/>
      <c r="E21" s="23" t="n"/>
      <c r="F21" s="24" t="n"/>
      <c r="G21" s="24" t="n"/>
      <c r="H21" s="17" t="n"/>
      <c r="I21" s="17" t="n"/>
      <c r="J21" s="17" t="n"/>
      <c r="K21" s="17" t="n"/>
      <c r="L21" s="16" t="n"/>
      <c r="M21" s="16" t="n"/>
      <c r="N21" s="16" t="n"/>
      <c r="O21" s="16" t="n"/>
      <c r="P21" s="16" t="n"/>
      <c r="Q21" s="16" t="n"/>
      <c r="R21" s="9" t="n"/>
    </row>
    <row r="22">
      <c r="A22" s="17" t="n"/>
      <c r="B22" s="10" t="n"/>
      <c r="C22" s="17" t="n"/>
      <c r="D22" s="17" t="n"/>
      <c r="E22" s="23" t="n"/>
      <c r="F22" s="24" t="n"/>
      <c r="G22" s="24" t="n"/>
      <c r="H22" s="17" t="n"/>
      <c r="I22" s="17" t="n"/>
      <c r="J22" s="17" t="n"/>
      <c r="K22" s="17" t="n"/>
      <c r="L22" s="16" t="n"/>
      <c r="M22" s="16" t="n"/>
      <c r="N22" s="16" t="n"/>
      <c r="O22" s="16" t="n"/>
      <c r="P22" s="16" t="n"/>
      <c r="Q22" s="16" t="n"/>
      <c r="R22" s="9" t="n"/>
    </row>
    <row r="23">
      <c r="A23" s="17" t="n"/>
      <c r="B23" s="10" t="n"/>
      <c r="C23" s="17" t="n"/>
      <c r="D23" s="17" t="n"/>
      <c r="E23" s="23" t="n"/>
      <c r="F23" s="24" t="n"/>
      <c r="G23" s="24" t="n"/>
      <c r="H23" s="17" t="n"/>
      <c r="I23" s="17" t="n"/>
      <c r="J23" s="17" t="n"/>
      <c r="K23" s="17" t="n"/>
      <c r="L23" s="16" t="n"/>
      <c r="M23" s="16" t="n"/>
      <c r="N23" s="16" t="n"/>
      <c r="O23" s="16" t="n"/>
      <c r="P23" s="16" t="n"/>
      <c r="Q23" s="16" t="n"/>
      <c r="R23" s="9" t="n"/>
    </row>
    <row r="24">
      <c r="A24" s="17" t="n"/>
      <c r="B24" s="10" t="n"/>
      <c r="C24" s="17" t="n"/>
      <c r="D24" s="17" t="n"/>
      <c r="E24" s="23" t="n"/>
      <c r="F24" s="24" t="n"/>
      <c r="G24" s="24" t="n"/>
      <c r="H24" s="17" t="n"/>
      <c r="I24" s="17" t="n"/>
      <c r="J24" s="17" t="n"/>
      <c r="K24" s="17" t="n"/>
      <c r="L24" s="16" t="n"/>
      <c r="M24" s="16" t="n"/>
      <c r="N24" s="16" t="n"/>
      <c r="O24" s="16" t="n"/>
      <c r="P24" s="16" t="n"/>
      <c r="Q24" s="16" t="n"/>
      <c r="R24" s="9" t="n"/>
    </row>
    <row r="25">
      <c r="A25" s="17" t="n"/>
      <c r="B25" s="10" t="n"/>
      <c r="C25" s="17" t="n"/>
      <c r="D25" s="17" t="n"/>
      <c r="E25" s="23" t="n"/>
      <c r="F25" s="24" t="n"/>
      <c r="G25" s="24" t="n"/>
      <c r="H25" s="17" t="n"/>
      <c r="I25" s="17" t="n"/>
      <c r="J25" s="17" t="n"/>
      <c r="K25" s="17" t="n"/>
      <c r="L25" s="16" t="n"/>
      <c r="M25" s="16" t="n"/>
      <c r="N25" s="16" t="n"/>
      <c r="O25" s="16" t="n"/>
      <c r="P25" s="16" t="n"/>
      <c r="Q25" s="16" t="n"/>
      <c r="R25" s="9" t="n"/>
    </row>
    <row r="26">
      <c r="A26" s="17" t="n"/>
      <c r="B26" s="10" t="n"/>
      <c r="C26" s="17" t="n"/>
      <c r="D26" s="17" t="n"/>
      <c r="E26" s="23" t="n"/>
      <c r="F26" s="24" t="n"/>
      <c r="G26" s="24" t="n"/>
      <c r="H26" s="17" t="n"/>
      <c r="I26" s="17" t="n"/>
      <c r="J26" s="17" t="n"/>
      <c r="K26" s="17" t="n"/>
      <c r="L26" s="16" t="n"/>
      <c r="M26" s="16" t="n"/>
      <c r="N26" s="16" t="n"/>
      <c r="O26" s="16" t="n"/>
      <c r="P26" s="16" t="n"/>
      <c r="Q26" s="16" t="n"/>
      <c r="R26" s="9" t="n"/>
    </row>
    <row r="27">
      <c r="A27" s="17" t="n"/>
      <c r="B27" s="10" t="n"/>
      <c r="C27" s="17" t="n"/>
      <c r="D27" s="17" t="n"/>
      <c r="E27" s="23" t="n"/>
      <c r="F27" s="24" t="n"/>
      <c r="G27" s="24" t="n"/>
      <c r="H27" s="17" t="n"/>
      <c r="I27" s="17" t="n"/>
      <c r="J27" s="17" t="n"/>
      <c r="K27" s="17" t="n"/>
      <c r="L27" s="16" t="n"/>
      <c r="M27" s="16" t="n"/>
      <c r="N27" s="16" t="n"/>
      <c r="O27" s="16" t="n"/>
      <c r="P27" s="16" t="n"/>
      <c r="Q27" s="16" t="n"/>
      <c r="R27" s="9" t="n"/>
    </row>
    <row r="28">
      <c r="A28" s="17" t="n"/>
      <c r="B28" s="10" t="n"/>
      <c r="C28" s="17" t="n"/>
      <c r="D28" s="17" t="n"/>
      <c r="E28" s="23" t="n"/>
      <c r="F28" s="24" t="n"/>
      <c r="G28" s="24" t="n"/>
      <c r="H28" s="17" t="n"/>
      <c r="I28" s="17" t="n"/>
      <c r="J28" s="17" t="n"/>
      <c r="K28" s="17" t="n"/>
      <c r="L28" s="16" t="n"/>
      <c r="M28" s="16" t="n"/>
      <c r="N28" s="16" t="n"/>
      <c r="O28" s="16" t="n"/>
      <c r="P28" s="16" t="n"/>
      <c r="Q28" s="16" t="n"/>
      <c r="R28" s="9" t="n"/>
    </row>
    <row r="29">
      <c r="A29" s="17" t="n"/>
      <c r="B29" s="10" t="n"/>
      <c r="C29" s="17" t="n"/>
      <c r="D29" s="17" t="n"/>
      <c r="E29" s="23" t="n"/>
      <c r="F29" s="24" t="n"/>
      <c r="G29" s="24" t="n"/>
      <c r="H29" s="17" t="n"/>
      <c r="I29" s="17" t="n"/>
      <c r="J29" s="17" t="n"/>
      <c r="K29" s="17" t="n"/>
      <c r="L29" s="16" t="n"/>
      <c r="M29" s="16" t="n"/>
      <c r="N29" s="16" t="n"/>
      <c r="O29" s="16" t="n"/>
      <c r="P29" s="16" t="n"/>
      <c r="Q29" s="16" t="n"/>
      <c r="R29" s="9" t="n"/>
    </row>
    <row r="30">
      <c r="A30" s="17" t="n"/>
      <c r="B30" s="10" t="n"/>
      <c r="C30" s="17" t="n"/>
      <c r="D30" s="17" t="n"/>
      <c r="E30" s="23" t="n"/>
      <c r="F30" s="24" t="n"/>
      <c r="G30" s="24" t="n"/>
      <c r="H30" s="17" t="n"/>
      <c r="I30" s="17" t="n"/>
      <c r="J30" s="17" t="n"/>
      <c r="K30" s="17" t="n"/>
      <c r="L30" s="16" t="n"/>
      <c r="M30" s="16" t="n"/>
      <c r="N30" s="16" t="n"/>
      <c r="O30" s="16" t="n"/>
      <c r="P30" s="16" t="n"/>
      <c r="Q30" s="16" t="n"/>
      <c r="R30" s="9" t="n"/>
    </row>
    <row r="31">
      <c r="A31" s="17" t="n"/>
      <c r="B31" s="10" t="n"/>
      <c r="C31" s="17" t="n"/>
      <c r="D31" s="17" t="n"/>
      <c r="E31" s="23" t="n"/>
      <c r="F31" s="24" t="n"/>
      <c r="G31" s="24" t="n"/>
      <c r="H31" s="17" t="n"/>
      <c r="I31" s="17" t="n"/>
      <c r="J31" s="17" t="n"/>
      <c r="K31" s="17" t="n"/>
      <c r="L31" s="16" t="n"/>
      <c r="M31" s="16" t="n"/>
      <c r="N31" s="16" t="n"/>
      <c r="O31" s="16" t="n"/>
      <c r="P31" s="16" t="n"/>
      <c r="Q31" s="16" t="n"/>
      <c r="R31" s="9" t="n"/>
    </row>
    <row r="32">
      <c r="A32" s="17" t="n"/>
      <c r="B32" s="10" t="n"/>
      <c r="C32" s="17" t="n"/>
      <c r="D32" s="17" t="n"/>
      <c r="E32" s="23" t="n"/>
      <c r="F32" s="24" t="n"/>
      <c r="G32" s="24" t="n"/>
      <c r="H32" s="17" t="n"/>
      <c r="I32" s="17" t="n"/>
      <c r="J32" s="17" t="n"/>
      <c r="K32" s="17" t="n"/>
      <c r="L32" s="16" t="n"/>
      <c r="M32" s="16" t="n"/>
      <c r="N32" s="16" t="n"/>
      <c r="O32" s="16" t="n"/>
      <c r="P32" s="16" t="n"/>
      <c r="Q32" s="16" t="n"/>
      <c r="R32" s="9" t="n"/>
    </row>
    <row r="33">
      <c r="A33" s="17" t="n"/>
      <c r="B33" s="10" t="n"/>
      <c r="C33" s="17" t="n"/>
      <c r="D33" s="17" t="n"/>
      <c r="E33" s="23" t="n"/>
      <c r="F33" s="24" t="n"/>
      <c r="G33" s="24" t="n"/>
      <c r="H33" s="17" t="n"/>
      <c r="I33" s="17" t="n"/>
      <c r="J33" s="17" t="n"/>
      <c r="K33" s="17" t="n"/>
      <c r="L33" s="16" t="n"/>
      <c r="M33" s="16" t="n"/>
      <c r="N33" s="16" t="n"/>
      <c r="O33" s="16" t="n"/>
      <c r="P33" s="16" t="n"/>
      <c r="Q33" s="16" t="n"/>
      <c r="R33" s="9" t="n"/>
    </row>
    <row r="34">
      <c r="A34" s="17" t="n"/>
      <c r="B34" s="10" t="n"/>
      <c r="C34" s="17" t="n"/>
      <c r="D34" s="17" t="n"/>
      <c r="E34" s="23" t="n"/>
      <c r="F34" s="24" t="n"/>
      <c r="G34" s="24" t="n"/>
      <c r="H34" s="17" t="n"/>
      <c r="I34" s="17" t="n"/>
      <c r="J34" s="17" t="n"/>
      <c r="K34" s="17" t="n"/>
      <c r="L34" s="16" t="n"/>
      <c r="M34" s="16" t="n"/>
      <c r="N34" s="16" t="n"/>
      <c r="O34" s="16" t="n"/>
      <c r="P34" s="16" t="n"/>
      <c r="Q34" s="16" t="n"/>
      <c r="R34" s="9" t="n"/>
    </row>
    <row r="35">
      <c r="A35" s="17" t="n"/>
      <c r="B35" s="10" t="n"/>
      <c r="C35" s="17" t="n"/>
      <c r="D35" s="17" t="n"/>
      <c r="E35" s="23" t="n"/>
      <c r="F35" s="24" t="n"/>
      <c r="G35" s="24" t="n"/>
      <c r="H35" s="17" t="n"/>
      <c r="I35" s="17" t="n"/>
      <c r="J35" s="17" t="n"/>
      <c r="K35" s="17" t="n"/>
      <c r="L35" s="16" t="n"/>
      <c r="M35" s="16" t="n"/>
      <c r="N35" s="16" t="n"/>
      <c r="O35" s="16" t="n"/>
      <c r="P35" s="16" t="n"/>
      <c r="Q35" s="16" t="n"/>
      <c r="R35" s="9" t="n"/>
    </row>
    <row r="36">
      <c r="A36" s="17" t="n"/>
      <c r="B36" s="10" t="n"/>
      <c r="C36" s="17" t="n"/>
      <c r="D36" s="17" t="n"/>
      <c r="E36" s="23" t="n"/>
      <c r="F36" s="24" t="n"/>
      <c r="G36" s="24" t="n"/>
      <c r="H36" s="17" t="n"/>
      <c r="I36" s="17" t="n"/>
      <c r="J36" s="17" t="n"/>
      <c r="K36" s="17" t="n"/>
      <c r="L36" s="16" t="n"/>
      <c r="M36" s="16" t="n"/>
      <c r="N36" s="16" t="n"/>
      <c r="O36" s="16" t="n"/>
      <c r="P36" s="16" t="n"/>
      <c r="Q36" s="16" t="n"/>
      <c r="R36" s="9" t="n"/>
    </row>
    <row r="37">
      <c r="A37" s="17" t="n"/>
      <c r="B37" s="10" t="n"/>
      <c r="C37" s="17" t="n"/>
      <c r="D37" s="17" t="n"/>
      <c r="E37" s="23" t="n"/>
      <c r="F37" s="24" t="n"/>
      <c r="G37" s="24" t="n"/>
      <c r="H37" s="17" t="n"/>
      <c r="I37" s="17" t="n"/>
      <c r="J37" s="17" t="n"/>
      <c r="K37" s="17" t="n"/>
      <c r="L37" s="16" t="n"/>
      <c r="M37" s="16" t="n"/>
      <c r="N37" s="16" t="n"/>
      <c r="O37" s="16" t="n"/>
      <c r="P37" s="16" t="n"/>
      <c r="Q37" s="16" t="n"/>
      <c r="R37" s="9" t="n"/>
    </row>
    <row r="38">
      <c r="A38" s="17" t="n"/>
      <c r="B38" s="10" t="n"/>
      <c r="C38" s="17" t="n"/>
      <c r="D38" s="17" t="n"/>
      <c r="E38" s="23" t="n"/>
      <c r="F38" s="24" t="n"/>
      <c r="G38" s="24" t="n"/>
      <c r="H38" s="17" t="n"/>
      <c r="I38" s="17" t="n"/>
      <c r="J38" s="17" t="n"/>
      <c r="K38" s="17" t="n"/>
      <c r="L38" s="16" t="n"/>
      <c r="M38" s="16" t="n"/>
      <c r="N38" s="16" t="n"/>
      <c r="O38" s="16" t="n"/>
      <c r="P38" s="16" t="n"/>
      <c r="Q38" s="16" t="n"/>
      <c r="R38" s="9" t="n"/>
    </row>
    <row r="39">
      <c r="A39" s="17" t="n"/>
      <c r="B39" s="10" t="n"/>
      <c r="C39" s="17" t="n"/>
      <c r="D39" s="17" t="n"/>
      <c r="E39" s="23" t="n"/>
      <c r="F39" s="24" t="n"/>
      <c r="G39" s="24" t="n"/>
      <c r="H39" s="17" t="n"/>
      <c r="I39" s="17" t="n"/>
      <c r="J39" s="17" t="n"/>
      <c r="K39" s="17" t="n"/>
      <c r="L39" s="16" t="n"/>
      <c r="M39" s="16" t="n"/>
      <c r="N39" s="16" t="n"/>
      <c r="O39" s="16" t="n"/>
      <c r="P39" s="16" t="n"/>
      <c r="Q39" s="16" t="n"/>
      <c r="R39" s="9" t="n"/>
    </row>
    <row r="40">
      <c r="A40" s="17" t="n"/>
      <c r="B40" s="10" t="n"/>
      <c r="C40" s="17" t="n"/>
      <c r="D40" s="17" t="n"/>
      <c r="E40" s="23" t="n"/>
      <c r="F40" s="24" t="n"/>
      <c r="G40" s="24" t="n"/>
      <c r="H40" s="17" t="n"/>
      <c r="I40" s="17" t="n"/>
      <c r="J40" s="17" t="n"/>
      <c r="K40" s="17" t="n"/>
      <c r="L40" s="16" t="n"/>
      <c r="M40" s="16" t="n"/>
      <c r="N40" s="16" t="n"/>
      <c r="O40" s="16" t="n"/>
      <c r="P40" s="16" t="n"/>
      <c r="Q40" s="16" t="n"/>
      <c r="R40" s="9" t="n"/>
    </row>
    <row r="41">
      <c r="A41" s="17" t="n"/>
      <c r="B41" s="10" t="n"/>
      <c r="C41" s="17" t="n"/>
      <c r="D41" s="17" t="n"/>
      <c r="E41" s="23" t="n"/>
      <c r="F41" s="24" t="n"/>
      <c r="G41" s="24" t="n"/>
      <c r="H41" s="17" t="n"/>
      <c r="I41" s="17" t="n"/>
      <c r="J41" s="17" t="n"/>
      <c r="K41" s="17" t="n"/>
      <c r="L41" s="16" t="n"/>
      <c r="M41" s="16" t="n"/>
      <c r="N41" s="16" t="n"/>
      <c r="O41" s="16" t="n"/>
      <c r="P41" s="16" t="n"/>
      <c r="Q41" s="16" t="n"/>
      <c r="R41" s="9" t="n"/>
    </row>
    <row r="42">
      <c r="A42" s="17" t="n"/>
      <c r="B42" s="10" t="n"/>
      <c r="C42" s="17" t="n"/>
      <c r="D42" s="17" t="n"/>
      <c r="E42" s="23" t="n"/>
      <c r="F42" s="24" t="n"/>
      <c r="G42" s="24" t="n"/>
      <c r="H42" s="17" t="n"/>
      <c r="I42" s="17" t="n"/>
      <c r="J42" s="17" t="n"/>
      <c r="K42" s="17" t="n"/>
      <c r="L42" s="16" t="n"/>
      <c r="M42" s="16" t="n"/>
      <c r="N42" s="16" t="n"/>
      <c r="O42" s="16" t="n"/>
      <c r="P42" s="16" t="n"/>
      <c r="Q42" s="16" t="n"/>
      <c r="R42" s="9" t="n"/>
    </row>
    <row r="43">
      <c r="A43" s="17" t="n"/>
      <c r="B43" s="10" t="n"/>
      <c r="C43" s="17" t="n"/>
      <c r="D43" s="17" t="n"/>
      <c r="E43" s="23" t="n"/>
      <c r="F43" s="24" t="n"/>
      <c r="G43" s="24" t="n"/>
      <c r="H43" s="17" t="n"/>
      <c r="I43" s="17" t="n"/>
      <c r="J43" s="17" t="n"/>
      <c r="K43" s="17" t="n"/>
      <c r="L43" s="16" t="n"/>
      <c r="M43" s="16" t="n"/>
      <c r="N43" s="16" t="n"/>
      <c r="O43" s="16" t="n"/>
      <c r="P43" s="16" t="n"/>
      <c r="Q43" s="16" t="n"/>
      <c r="R43" s="9" t="n"/>
    </row>
    <row r="44">
      <c r="A44" s="17" t="n"/>
      <c r="B44" s="10" t="n"/>
      <c r="C44" s="17" t="n"/>
      <c r="D44" s="17" t="n"/>
      <c r="E44" s="23" t="n"/>
      <c r="F44" s="24" t="n"/>
      <c r="G44" s="24" t="n"/>
      <c r="H44" s="17" t="n"/>
      <c r="I44" s="17" t="n"/>
      <c r="J44" s="17" t="n"/>
      <c r="K44" s="17" t="n"/>
      <c r="L44" s="16" t="n"/>
      <c r="M44" s="16" t="n"/>
      <c r="N44" s="16" t="n"/>
      <c r="O44" s="16" t="n"/>
      <c r="P44" s="16" t="n"/>
      <c r="Q44" s="16" t="n"/>
      <c r="R44" s="9" t="n"/>
    </row>
    <row r="45">
      <c r="A45" s="17" t="n"/>
      <c r="B45" s="10" t="n"/>
      <c r="C45" s="17" t="n"/>
      <c r="D45" s="17" t="n"/>
      <c r="E45" s="23" t="n"/>
      <c r="F45" s="24" t="n"/>
      <c r="G45" s="24" t="n"/>
      <c r="H45" s="17" t="n"/>
      <c r="I45" s="17" t="n"/>
      <c r="J45" s="17" t="n"/>
      <c r="K45" s="17" t="n"/>
      <c r="L45" s="16" t="n"/>
      <c r="M45" s="16" t="n"/>
      <c r="N45" s="16" t="n"/>
      <c r="O45" s="16" t="n"/>
      <c r="P45" s="16" t="n"/>
      <c r="Q45" s="16" t="n"/>
      <c r="R45" s="9" t="n"/>
    </row>
    <row r="46">
      <c r="A46" s="17" t="n"/>
      <c r="B46" s="10" t="n"/>
      <c r="C46" s="17" t="n"/>
      <c r="D46" s="17" t="n"/>
      <c r="E46" s="23" t="n"/>
      <c r="F46" s="24" t="n"/>
      <c r="G46" s="24" t="n"/>
      <c r="H46" s="17" t="n"/>
      <c r="I46" s="17" t="n"/>
      <c r="J46" s="17" t="n"/>
      <c r="K46" s="17" t="n"/>
      <c r="L46" s="16" t="n"/>
      <c r="M46" s="16" t="n"/>
      <c r="N46" s="16" t="n"/>
      <c r="O46" s="16" t="n"/>
      <c r="P46" s="16" t="n"/>
      <c r="Q46" s="16" t="n"/>
      <c r="R46" s="9" t="n"/>
    </row>
    <row r="47">
      <c r="A47" s="17" t="n"/>
      <c r="B47" s="10" t="n"/>
      <c r="C47" s="17" t="n"/>
      <c r="D47" s="17" t="n"/>
      <c r="E47" s="23" t="n"/>
      <c r="F47" s="24" t="n"/>
      <c r="G47" s="24" t="n"/>
      <c r="H47" s="17" t="n"/>
      <c r="I47" s="17" t="n"/>
      <c r="J47" s="17" t="n"/>
      <c r="K47" s="17" t="n"/>
      <c r="L47" s="16" t="n"/>
      <c r="M47" s="16" t="n"/>
      <c r="N47" s="16" t="n"/>
      <c r="O47" s="16" t="n"/>
      <c r="P47" s="16" t="n"/>
      <c r="Q47" s="16" t="n"/>
      <c r="R47" s="9" t="n"/>
    </row>
    <row r="48">
      <c r="A48" s="17" t="n"/>
      <c r="B48" s="10" t="n"/>
      <c r="C48" s="17" t="n"/>
      <c r="D48" s="17" t="n"/>
      <c r="E48" s="23" t="n"/>
      <c r="F48" s="24" t="n"/>
      <c r="G48" s="24" t="n"/>
      <c r="H48" s="17" t="n"/>
      <c r="I48" s="17" t="n"/>
      <c r="J48" s="17" t="n"/>
      <c r="K48" s="17" t="n"/>
      <c r="L48" s="16" t="n"/>
      <c r="M48" s="16" t="n"/>
      <c r="N48" s="16" t="n"/>
      <c r="O48" s="16" t="n"/>
      <c r="P48" s="16" t="n"/>
      <c r="Q48" s="16" t="n"/>
      <c r="R48" s="9" t="n"/>
    </row>
    <row r="49">
      <c r="A49" s="17" t="n"/>
      <c r="B49" s="10" t="n"/>
      <c r="C49" s="17" t="n"/>
      <c r="D49" s="17" t="n"/>
      <c r="E49" s="23" t="n"/>
      <c r="F49" s="24" t="n"/>
      <c r="G49" s="24" t="n"/>
      <c r="H49" s="17" t="n"/>
      <c r="I49" s="17" t="n"/>
      <c r="J49" s="17" t="n"/>
      <c r="K49" s="17" t="n"/>
      <c r="L49" s="16" t="n"/>
      <c r="M49" s="16" t="n"/>
      <c r="N49" s="16" t="n"/>
      <c r="O49" s="16" t="n"/>
      <c r="P49" s="16" t="n"/>
      <c r="Q49" s="16" t="n"/>
      <c r="R49" s="9" t="n"/>
    </row>
    <row r="50">
      <c r="A50" s="17" t="n"/>
      <c r="B50" s="10" t="n"/>
      <c r="C50" s="17" t="n"/>
      <c r="D50" s="17" t="n"/>
      <c r="E50" s="23" t="n"/>
      <c r="F50" s="24" t="n"/>
      <c r="G50" s="24" t="n"/>
      <c r="H50" s="17" t="n"/>
      <c r="I50" s="17" t="n"/>
      <c r="J50" s="17" t="n"/>
      <c r="K50" s="17" t="n"/>
      <c r="L50" s="16" t="n"/>
      <c r="M50" s="16" t="n"/>
      <c r="N50" s="16" t="n"/>
      <c r="O50" s="16" t="n"/>
      <c r="P50" s="16" t="n"/>
      <c r="Q50" s="16" t="n"/>
      <c r="R50" s="9" t="n"/>
    </row>
    <row r="51">
      <c r="A51" s="17" t="n"/>
      <c r="B51" s="10" t="n"/>
      <c r="C51" s="17" t="n"/>
      <c r="D51" s="17" t="n"/>
      <c r="E51" s="23" t="n"/>
      <c r="F51" s="24" t="n"/>
      <c r="G51" s="24" t="n"/>
      <c r="H51" s="17" t="n"/>
      <c r="I51" s="17" t="n"/>
      <c r="J51" s="17" t="n"/>
      <c r="K51" s="17" t="n"/>
      <c r="L51" s="16" t="n"/>
      <c r="M51" s="16" t="n"/>
      <c r="N51" s="16" t="n"/>
      <c r="O51" s="16" t="n"/>
      <c r="P51" s="16" t="n"/>
      <c r="Q51" s="16" t="n"/>
      <c r="R51" s="9" t="n"/>
    </row>
    <row r="52">
      <c r="A52" s="17" t="n"/>
      <c r="B52" s="10" t="n"/>
      <c r="C52" s="17" t="n"/>
      <c r="D52" s="17" t="n"/>
      <c r="E52" s="23" t="n"/>
      <c r="F52" s="24" t="n"/>
      <c r="G52" s="24" t="n"/>
      <c r="H52" s="17" t="n"/>
      <c r="I52" s="17" t="n"/>
      <c r="J52" s="17" t="n"/>
      <c r="K52" s="17" t="n"/>
      <c r="L52" s="16" t="n"/>
      <c r="M52" s="16" t="n"/>
      <c r="N52" s="16" t="n"/>
      <c r="O52" s="16" t="n"/>
      <c r="P52" s="16" t="n"/>
      <c r="Q52" s="16" t="n"/>
      <c r="R52" s="9" t="n"/>
    </row>
    <row r="53">
      <c r="A53" s="17" t="n"/>
      <c r="B53" s="10" t="n"/>
      <c r="C53" s="17" t="n"/>
      <c r="D53" s="17" t="n"/>
      <c r="E53" s="23" t="n"/>
      <c r="F53" s="24" t="n"/>
      <c r="G53" s="24" t="n"/>
      <c r="H53" s="17" t="n"/>
      <c r="I53" s="17" t="n"/>
      <c r="J53" s="17" t="n"/>
      <c r="K53" s="17" t="n"/>
      <c r="L53" s="16" t="n"/>
      <c r="M53" s="16" t="n"/>
      <c r="N53" s="16" t="n"/>
      <c r="O53" s="16" t="n"/>
      <c r="P53" s="16" t="n"/>
      <c r="Q53" s="16" t="n"/>
      <c r="R53" s="9" t="n"/>
    </row>
    <row r="54">
      <c r="A54" s="17" t="n"/>
      <c r="B54" s="10" t="n"/>
      <c r="C54" s="17" t="n"/>
      <c r="D54" s="17" t="n"/>
      <c r="E54" s="23" t="n"/>
      <c r="F54" s="24" t="n"/>
      <c r="G54" s="24" t="n"/>
      <c r="H54" s="17" t="n"/>
      <c r="I54" s="17" t="n"/>
      <c r="J54" s="17" t="n"/>
      <c r="K54" s="17" t="n"/>
      <c r="L54" s="16" t="n"/>
      <c r="M54" s="16" t="n"/>
      <c r="N54" s="16" t="n"/>
      <c r="O54" s="16" t="n"/>
      <c r="P54" s="16" t="n"/>
      <c r="Q54" s="16" t="n"/>
      <c r="R54" s="9" t="n"/>
    </row>
    <row r="55">
      <c r="A55" s="17" t="n"/>
      <c r="B55" s="10" t="n"/>
      <c r="C55" s="17" t="n"/>
      <c r="D55" s="17" t="n"/>
      <c r="E55" s="23" t="n"/>
      <c r="F55" s="24" t="n"/>
      <c r="G55" s="24" t="n"/>
      <c r="H55" s="17" t="n"/>
      <c r="I55" s="17" t="n"/>
      <c r="J55" s="17" t="n"/>
      <c r="K55" s="17" t="n"/>
      <c r="L55" s="16" t="n"/>
      <c r="M55" s="16" t="n"/>
      <c r="N55" s="16" t="n"/>
      <c r="O55" s="16" t="n"/>
      <c r="P55" s="16" t="n"/>
      <c r="Q55" s="16" t="n"/>
      <c r="R55" s="9" t="n"/>
    </row>
    <row r="56">
      <c r="A56" s="17" t="n"/>
      <c r="B56" s="10" t="n"/>
      <c r="C56" s="17" t="n"/>
      <c r="D56" s="17" t="n"/>
      <c r="E56" s="23" t="n"/>
      <c r="F56" s="24" t="n"/>
      <c r="G56" s="24" t="n"/>
      <c r="H56" s="17" t="n"/>
      <c r="I56" s="17" t="n"/>
      <c r="J56" s="17" t="n"/>
      <c r="K56" s="17" t="n"/>
      <c r="L56" s="16" t="n"/>
      <c r="M56" s="16" t="n"/>
      <c r="N56" s="16" t="n"/>
      <c r="O56" s="16" t="n"/>
      <c r="P56" s="16" t="n"/>
      <c r="Q56" s="16" t="n"/>
      <c r="R56" s="9" t="n"/>
    </row>
    <row r="57">
      <c r="A57" s="17" t="n"/>
      <c r="B57" s="10" t="n"/>
      <c r="C57" s="17" t="n"/>
      <c r="D57" s="17" t="n"/>
      <c r="E57" s="23" t="n"/>
      <c r="F57" s="24" t="n"/>
      <c r="G57" s="24" t="n"/>
      <c r="H57" s="17" t="n"/>
      <c r="I57" s="17" t="n"/>
      <c r="J57" s="17" t="n"/>
      <c r="K57" s="17" t="n"/>
      <c r="L57" s="16" t="n"/>
      <c r="M57" s="16" t="n"/>
      <c r="N57" s="16" t="n"/>
      <c r="O57" s="16" t="n"/>
      <c r="P57" s="16" t="n"/>
      <c r="Q57" s="16" t="n"/>
      <c r="R57" s="9" t="n"/>
    </row>
    <row r="58">
      <c r="A58" s="17" t="n"/>
      <c r="B58" s="10" t="n"/>
      <c r="C58" s="17" t="n"/>
      <c r="D58" s="17" t="n"/>
      <c r="E58" s="23" t="n"/>
      <c r="F58" s="24" t="n"/>
      <c r="G58" s="24" t="n"/>
      <c r="H58" s="17" t="n"/>
      <c r="I58" s="17" t="n"/>
      <c r="J58" s="17" t="n"/>
      <c r="K58" s="17" t="n"/>
      <c r="L58" s="16" t="n"/>
      <c r="M58" s="16" t="n"/>
      <c r="N58" s="16" t="n"/>
      <c r="O58" s="16" t="n"/>
      <c r="P58" s="16" t="n"/>
      <c r="Q58" s="16" t="n"/>
      <c r="R58" s="9" t="n"/>
    </row>
    <row r="59">
      <c r="A59" s="17" t="n"/>
      <c r="B59" s="10" t="n"/>
      <c r="C59" s="17" t="n"/>
      <c r="D59" s="17" t="n"/>
      <c r="E59" s="23" t="n"/>
      <c r="F59" s="24" t="n"/>
      <c r="G59" s="24" t="n"/>
      <c r="H59" s="17" t="n"/>
      <c r="I59" s="17" t="n"/>
      <c r="J59" s="17" t="n"/>
      <c r="K59" s="17" t="n"/>
      <c r="L59" s="16" t="n"/>
      <c r="M59" s="16" t="n"/>
      <c r="N59" s="16" t="n"/>
      <c r="O59" s="16" t="n"/>
      <c r="P59" s="16" t="n"/>
      <c r="Q59" s="16" t="n"/>
      <c r="R59" s="9" t="n"/>
    </row>
    <row r="60">
      <c r="A60" s="17" t="n"/>
      <c r="B60" s="10" t="n"/>
      <c r="C60" s="17" t="n"/>
      <c r="D60" s="17" t="n"/>
      <c r="E60" s="23" t="n"/>
      <c r="F60" s="24" t="n"/>
      <c r="G60" s="24" t="n"/>
      <c r="H60" s="17" t="n"/>
      <c r="I60" s="17" t="n"/>
      <c r="J60" s="17" t="n"/>
      <c r="K60" s="17" t="n"/>
      <c r="L60" s="16" t="n"/>
      <c r="M60" s="16" t="n"/>
      <c r="N60" s="16" t="n"/>
      <c r="O60" s="16" t="n"/>
      <c r="P60" s="16" t="n"/>
      <c r="Q60" s="16" t="n"/>
      <c r="R60" s="9" t="n"/>
    </row>
    <row r="61">
      <c r="A61" s="17" t="n"/>
      <c r="B61" s="10" t="n"/>
      <c r="C61" s="17" t="n"/>
      <c r="D61" s="17" t="n"/>
      <c r="E61" s="23" t="n"/>
      <c r="F61" s="24" t="n"/>
      <c r="G61" s="24" t="n"/>
      <c r="H61" s="17" t="n"/>
      <c r="I61" s="17" t="n"/>
      <c r="J61" s="17" t="n"/>
      <c r="K61" s="17" t="n"/>
      <c r="L61" s="16" t="n"/>
      <c r="M61" s="16" t="n"/>
      <c r="N61" s="16" t="n"/>
      <c r="O61" s="16" t="n"/>
      <c r="P61" s="16" t="n"/>
      <c r="Q61" s="16" t="n"/>
      <c r="R61" s="9" t="n"/>
    </row>
    <row r="62">
      <c r="A62" s="17" t="n"/>
      <c r="B62" s="10" t="n"/>
      <c r="C62" s="17" t="n"/>
      <c r="D62" s="17" t="n"/>
      <c r="E62" s="23" t="n"/>
      <c r="F62" s="24" t="n"/>
      <c r="G62" s="24" t="n"/>
      <c r="H62" s="17" t="n"/>
      <c r="I62" s="17" t="n"/>
      <c r="J62" s="17" t="n"/>
      <c r="K62" s="17" t="n"/>
      <c r="L62" s="16" t="n"/>
      <c r="M62" s="16" t="n"/>
      <c r="N62" s="16" t="n"/>
      <c r="O62" s="16" t="n"/>
      <c r="P62" s="16" t="n"/>
      <c r="Q62" s="16" t="n"/>
      <c r="R62" s="9" t="n"/>
    </row>
    <row r="63">
      <c r="A63" s="17" t="n"/>
      <c r="B63" s="10" t="n"/>
      <c r="C63" s="17" t="n"/>
      <c r="D63" s="17" t="n"/>
      <c r="E63" s="23" t="n"/>
      <c r="F63" s="24" t="n"/>
      <c r="G63" s="24" t="n"/>
      <c r="H63" s="17" t="n"/>
      <c r="I63" s="17" t="n"/>
      <c r="J63" s="17" t="n"/>
      <c r="K63" s="17" t="n"/>
      <c r="L63" s="16" t="n"/>
      <c r="M63" s="16" t="n"/>
      <c r="N63" s="16" t="n"/>
      <c r="O63" s="16" t="n"/>
      <c r="P63" s="16" t="n"/>
      <c r="Q63" s="16" t="n"/>
      <c r="R63" s="9" t="n"/>
    </row>
    <row r="64">
      <c r="A64" s="17" t="n"/>
      <c r="B64" s="10" t="n"/>
      <c r="C64" s="17" t="n"/>
      <c r="D64" s="17" t="n"/>
      <c r="E64" s="23" t="n"/>
      <c r="F64" s="24" t="n"/>
      <c r="G64" s="24" t="n"/>
      <c r="H64" s="17" t="n"/>
      <c r="I64" s="17" t="n"/>
      <c r="J64" s="17" t="n"/>
      <c r="K64" s="17" t="n"/>
      <c r="L64" s="16" t="n"/>
      <c r="M64" s="16" t="n"/>
      <c r="N64" s="16" t="n"/>
      <c r="O64" s="16" t="n"/>
      <c r="P64" s="16" t="n"/>
      <c r="Q64" s="16" t="n"/>
      <c r="R64" s="9" t="n"/>
    </row>
    <row r="65">
      <c r="A65" s="17" t="n"/>
      <c r="B65" s="10" t="n"/>
      <c r="C65" s="17" t="n"/>
      <c r="D65" s="17" t="n"/>
      <c r="E65" s="23" t="n"/>
      <c r="F65" s="24" t="n"/>
      <c r="G65" s="24" t="n"/>
      <c r="H65" s="17" t="n"/>
      <c r="I65" s="17" t="n"/>
      <c r="J65" s="17" t="n"/>
      <c r="K65" s="17" t="n"/>
      <c r="L65" s="16" t="n"/>
      <c r="M65" s="16" t="n"/>
      <c r="N65" s="16" t="n"/>
      <c r="O65" s="16" t="n"/>
      <c r="P65" s="16" t="n"/>
      <c r="Q65" s="16" t="n"/>
      <c r="R65" s="9" t="n"/>
    </row>
    <row r="66">
      <c r="A66" s="17" t="n"/>
      <c r="B66" s="10" t="n"/>
      <c r="C66" s="17" t="n"/>
      <c r="D66" s="17" t="n"/>
      <c r="E66" s="23" t="n"/>
      <c r="F66" s="24" t="n"/>
      <c r="G66" s="24" t="n"/>
      <c r="H66" s="17" t="n"/>
      <c r="I66" s="17" t="n"/>
      <c r="J66" s="17" t="n"/>
      <c r="K66" s="17" t="n"/>
      <c r="L66" s="16" t="n"/>
      <c r="M66" s="16" t="n"/>
      <c r="N66" s="16" t="n"/>
      <c r="O66" s="16" t="n"/>
      <c r="P66" s="16" t="n"/>
      <c r="Q66" s="16" t="n"/>
      <c r="R66" s="9" t="n"/>
    </row>
    <row r="67">
      <c r="A67" s="17" t="n"/>
      <c r="B67" s="10" t="n"/>
      <c r="C67" s="17" t="n"/>
      <c r="D67" s="17" t="n"/>
      <c r="E67" s="23" t="n"/>
      <c r="F67" s="24" t="n"/>
      <c r="G67" s="24" t="n"/>
      <c r="H67" s="17" t="n"/>
      <c r="I67" s="17" t="n"/>
      <c r="J67" s="17" t="n"/>
      <c r="K67" s="17" t="n"/>
      <c r="L67" s="16" t="n"/>
      <c r="M67" s="16" t="n"/>
      <c r="N67" s="16" t="n"/>
      <c r="O67" s="16" t="n"/>
      <c r="P67" s="16" t="n"/>
      <c r="Q67" s="16" t="n"/>
      <c r="R67" s="9" t="n"/>
    </row>
    <row r="68">
      <c r="A68" s="17" t="n"/>
      <c r="B68" s="10" t="n"/>
      <c r="C68" s="17" t="n"/>
      <c r="D68" s="17" t="n"/>
      <c r="E68" s="23" t="n"/>
      <c r="F68" s="24" t="n"/>
      <c r="G68" s="24" t="n"/>
      <c r="H68" s="17" t="n"/>
      <c r="I68" s="17" t="n"/>
      <c r="J68" s="17" t="n"/>
      <c r="K68" s="17" t="n"/>
      <c r="L68" s="16" t="n"/>
      <c r="M68" s="16" t="n"/>
      <c r="N68" s="16" t="n"/>
      <c r="O68" s="16" t="n"/>
      <c r="P68" s="16" t="n"/>
      <c r="Q68" s="16" t="n"/>
      <c r="R68" s="9" t="n"/>
    </row>
    <row r="69">
      <c r="A69" s="17" t="n"/>
      <c r="B69" s="10" t="n"/>
      <c r="C69" s="17" t="n"/>
      <c r="D69" s="17" t="n"/>
      <c r="E69" s="23" t="n"/>
      <c r="F69" s="24" t="n"/>
      <c r="G69" s="24" t="n"/>
      <c r="H69" s="17" t="n"/>
      <c r="I69" s="17" t="n"/>
      <c r="J69" s="17" t="n"/>
      <c r="K69" s="17" t="n"/>
      <c r="L69" s="16" t="n"/>
      <c r="M69" s="16" t="n"/>
      <c r="N69" s="16" t="n"/>
      <c r="O69" s="16" t="n"/>
      <c r="P69" s="16" t="n"/>
      <c r="Q69" s="16" t="n"/>
      <c r="R69" s="9" t="n"/>
    </row>
    <row r="70">
      <c r="A70" s="17" t="n"/>
      <c r="B70" s="10" t="n"/>
      <c r="C70" s="17" t="n"/>
      <c r="D70" s="17" t="n"/>
      <c r="E70" s="23" t="n"/>
      <c r="F70" s="24" t="n"/>
      <c r="G70" s="24" t="n"/>
      <c r="H70" s="17" t="n"/>
      <c r="I70" s="17" t="n"/>
      <c r="J70" s="17" t="n"/>
      <c r="K70" s="17" t="n"/>
      <c r="L70" s="16" t="n"/>
      <c r="M70" s="16" t="n"/>
      <c r="N70" s="16" t="n"/>
      <c r="O70" s="16" t="n"/>
      <c r="P70" s="16" t="n"/>
      <c r="Q70" s="16" t="n"/>
      <c r="R70" s="9" t="n"/>
    </row>
    <row r="71">
      <c r="A71" s="17" t="n"/>
      <c r="B71" s="10" t="n"/>
      <c r="C71" s="17" t="n"/>
      <c r="D71" s="17" t="n"/>
      <c r="E71" s="23" t="n"/>
      <c r="F71" s="24" t="n"/>
      <c r="G71" s="24" t="n"/>
      <c r="H71" s="17" t="n"/>
      <c r="I71" s="17" t="n"/>
      <c r="J71" s="17" t="n"/>
      <c r="K71" s="17" t="n"/>
      <c r="L71" s="16" t="n"/>
      <c r="M71" s="16" t="n"/>
      <c r="N71" s="16" t="n"/>
      <c r="O71" s="16" t="n"/>
      <c r="P71" s="16" t="n"/>
      <c r="Q71" s="16" t="n"/>
      <c r="R71" s="9" t="n"/>
    </row>
    <row r="72">
      <c r="A72" s="17" t="n"/>
      <c r="B72" s="10" t="n"/>
      <c r="C72" s="17" t="n"/>
      <c r="D72" s="17" t="n"/>
      <c r="E72" s="23" t="n"/>
      <c r="F72" s="24" t="n"/>
      <c r="G72" s="24" t="n"/>
      <c r="H72" s="17" t="n"/>
      <c r="I72" s="17" t="n"/>
      <c r="J72" s="17" t="n"/>
      <c r="K72" s="17" t="n"/>
      <c r="L72" s="16" t="n"/>
      <c r="M72" s="16" t="n"/>
      <c r="N72" s="16" t="n"/>
      <c r="O72" s="16" t="n"/>
      <c r="P72" s="16" t="n"/>
      <c r="Q72" s="16" t="n"/>
      <c r="R72" s="9" t="n"/>
    </row>
    <row r="73">
      <c r="A73" s="17" t="n"/>
      <c r="B73" s="10" t="n"/>
      <c r="C73" s="17" t="n"/>
      <c r="D73" s="17" t="n"/>
      <c r="E73" s="23" t="n"/>
      <c r="F73" s="24" t="n"/>
      <c r="G73" s="24" t="n"/>
      <c r="H73" s="17" t="n"/>
      <c r="I73" s="17" t="n"/>
      <c r="J73" s="17" t="n"/>
      <c r="K73" s="17" t="n"/>
      <c r="L73" s="16" t="n"/>
      <c r="M73" s="16" t="n"/>
      <c r="N73" s="16" t="n"/>
      <c r="O73" s="16" t="n"/>
      <c r="P73" s="16" t="n"/>
      <c r="Q73" s="16" t="n"/>
      <c r="R73" s="9" t="n"/>
    </row>
    <row r="74">
      <c r="A74" s="17" t="n"/>
      <c r="B74" s="10" t="n"/>
      <c r="C74" s="17" t="n"/>
      <c r="D74" s="17" t="n"/>
      <c r="E74" s="23" t="n"/>
      <c r="F74" s="24" t="n"/>
      <c r="G74" s="24" t="n"/>
      <c r="H74" s="17" t="n"/>
      <c r="I74" s="17" t="n"/>
      <c r="J74" s="17" t="n"/>
      <c r="K74" s="17" t="n"/>
      <c r="L74" s="16" t="n"/>
      <c r="M74" s="16" t="n"/>
      <c r="N74" s="16" t="n"/>
      <c r="O74" s="16" t="n"/>
      <c r="P74" s="16" t="n"/>
      <c r="Q74" s="16" t="n"/>
      <c r="R74" s="9" t="n"/>
    </row>
    <row r="75">
      <c r="A75" s="17" t="n"/>
      <c r="B75" s="10" t="n"/>
      <c r="C75" s="17" t="n"/>
      <c r="D75" s="17" t="n"/>
      <c r="E75" s="23" t="n"/>
      <c r="F75" s="24" t="n"/>
      <c r="G75" s="24" t="n"/>
      <c r="H75" s="17" t="n"/>
      <c r="I75" s="17" t="n"/>
      <c r="J75" s="17" t="n"/>
      <c r="K75" s="17" t="n"/>
      <c r="L75" s="16" t="n"/>
      <c r="M75" s="16" t="n"/>
      <c r="N75" s="16" t="n"/>
      <c r="O75" s="16" t="n"/>
      <c r="P75" s="16" t="n"/>
      <c r="Q75" s="16" t="n"/>
      <c r="R75" s="9" t="n"/>
    </row>
    <row r="76">
      <c r="A76" s="17" t="n"/>
      <c r="B76" s="10" t="n"/>
      <c r="C76" s="17" t="n"/>
      <c r="D76" s="17" t="n"/>
      <c r="E76" s="23" t="n"/>
      <c r="F76" s="24" t="n"/>
      <c r="G76" s="24" t="n"/>
      <c r="H76" s="17" t="n"/>
      <c r="I76" s="17" t="n"/>
      <c r="J76" s="17" t="n"/>
      <c r="K76" s="17" t="n"/>
      <c r="L76" s="16" t="n"/>
      <c r="M76" s="16" t="n"/>
      <c r="N76" s="16" t="n"/>
      <c r="O76" s="16" t="n"/>
      <c r="P76" s="16" t="n"/>
      <c r="Q76" s="16" t="n"/>
      <c r="R76" s="9" t="n"/>
    </row>
    <row r="77">
      <c r="A77" s="17" t="n"/>
      <c r="B77" s="10" t="n"/>
      <c r="C77" s="17" t="n"/>
      <c r="D77" s="17" t="n"/>
      <c r="E77" s="23" t="n"/>
      <c r="F77" s="24" t="n"/>
      <c r="G77" s="24" t="n"/>
      <c r="H77" s="17" t="n"/>
      <c r="I77" s="17" t="n"/>
      <c r="J77" s="17" t="n"/>
      <c r="K77" s="17" t="n"/>
      <c r="L77" s="16" t="n"/>
      <c r="M77" s="16" t="n"/>
      <c r="N77" s="16" t="n"/>
      <c r="O77" s="16" t="n"/>
      <c r="P77" s="16" t="n"/>
      <c r="Q77" s="16" t="n"/>
      <c r="R77" s="9" t="n"/>
    </row>
    <row r="78">
      <c r="A78" s="17" t="n"/>
      <c r="B78" s="10" t="n"/>
      <c r="C78" s="17" t="n"/>
      <c r="D78" s="17" t="n"/>
      <c r="E78" s="23" t="n"/>
      <c r="F78" s="24" t="n"/>
      <c r="G78" s="24" t="n"/>
      <c r="H78" s="17" t="n"/>
      <c r="I78" s="17" t="n"/>
      <c r="J78" s="17" t="n"/>
      <c r="K78" s="17" t="n"/>
      <c r="L78" s="16" t="n"/>
      <c r="M78" s="16" t="n"/>
      <c r="N78" s="16" t="n"/>
      <c r="O78" s="16" t="n"/>
      <c r="P78" s="16" t="n"/>
      <c r="Q78" s="16" t="n"/>
      <c r="R78" s="9" t="n"/>
    </row>
    <row r="79">
      <c r="A79" s="17" t="n"/>
      <c r="B79" s="10" t="n"/>
      <c r="C79" s="17" t="n"/>
      <c r="D79" s="17" t="n"/>
      <c r="E79" s="23" t="n"/>
      <c r="F79" s="24" t="n"/>
      <c r="G79" s="24" t="n"/>
      <c r="H79" s="17" t="n"/>
      <c r="I79" s="17" t="n"/>
      <c r="J79" s="17" t="n"/>
      <c r="K79" s="17" t="n"/>
      <c r="L79" s="16" t="n"/>
      <c r="M79" s="16" t="n"/>
      <c r="N79" s="16" t="n"/>
      <c r="O79" s="16" t="n"/>
      <c r="P79" s="16" t="n"/>
      <c r="Q79" s="16" t="n"/>
      <c r="R79" s="9" t="n"/>
    </row>
    <row r="80">
      <c r="A80" s="17" t="n"/>
      <c r="B80" s="10" t="n"/>
      <c r="C80" s="17" t="n"/>
      <c r="D80" s="17" t="n"/>
      <c r="E80" s="23" t="n"/>
      <c r="F80" s="24" t="n"/>
      <c r="G80" s="24" t="n"/>
      <c r="H80" s="17" t="n"/>
      <c r="I80" s="17" t="n"/>
      <c r="J80" s="17" t="n"/>
      <c r="K80" s="17" t="n"/>
      <c r="L80" s="16" t="n"/>
      <c r="M80" s="16" t="n"/>
      <c r="N80" s="16" t="n"/>
      <c r="O80" s="16" t="n"/>
      <c r="P80" s="16" t="n"/>
      <c r="Q80" s="16" t="n"/>
      <c r="R80" s="9" t="n"/>
    </row>
    <row r="81">
      <c r="A81" s="17" t="n"/>
      <c r="B81" s="10" t="n"/>
      <c r="C81" s="17" t="n"/>
      <c r="D81" s="17" t="n"/>
      <c r="E81" s="23" t="n"/>
      <c r="F81" s="24" t="n"/>
      <c r="G81" s="24" t="n"/>
      <c r="H81" s="17" t="n"/>
      <c r="I81" s="17" t="n"/>
      <c r="J81" s="17" t="n"/>
      <c r="K81" s="17" t="n"/>
      <c r="L81" s="16" t="n"/>
      <c r="M81" s="16" t="n"/>
      <c r="N81" s="16" t="n"/>
      <c r="O81" s="16" t="n"/>
      <c r="P81" s="16" t="n"/>
      <c r="Q81" s="16" t="n"/>
      <c r="R81" s="9" t="n"/>
    </row>
    <row r="82">
      <c r="A82" s="17" t="n"/>
      <c r="B82" s="10" t="n"/>
      <c r="C82" s="17" t="n"/>
      <c r="D82" s="17" t="n"/>
      <c r="E82" s="23" t="n"/>
      <c r="F82" s="24" t="n"/>
      <c r="G82" s="24" t="n"/>
      <c r="H82" s="17" t="n"/>
      <c r="I82" s="17" t="n"/>
      <c r="J82" s="17" t="n"/>
      <c r="K82" s="17" t="n"/>
      <c r="L82" s="16" t="n"/>
      <c r="M82" s="16" t="n"/>
      <c r="N82" s="16" t="n"/>
      <c r="O82" s="16" t="n"/>
      <c r="P82" s="16" t="n"/>
      <c r="Q82" s="16" t="n"/>
      <c r="R82" s="9" t="n"/>
    </row>
    <row r="83">
      <c r="A83" s="17" t="n"/>
      <c r="B83" s="10" t="n"/>
      <c r="C83" s="17" t="n"/>
      <c r="D83" s="17" t="n"/>
      <c r="E83" s="23" t="n"/>
      <c r="F83" s="24" t="n"/>
      <c r="G83" s="24" t="n"/>
      <c r="H83" s="17" t="n"/>
      <c r="I83" s="17" t="n"/>
      <c r="J83" s="17" t="n"/>
      <c r="K83" s="17" t="n"/>
      <c r="L83" s="16" t="n"/>
      <c r="M83" s="16" t="n"/>
      <c r="N83" s="16" t="n"/>
      <c r="O83" s="16" t="n"/>
      <c r="P83" s="16" t="n"/>
      <c r="Q83" s="16" t="n"/>
      <c r="R83" s="9" t="n"/>
    </row>
    <row r="84">
      <c r="A84" s="17" t="n"/>
      <c r="B84" s="10" t="n"/>
      <c r="C84" s="17" t="n"/>
      <c r="D84" s="17" t="n"/>
      <c r="E84" s="23" t="n"/>
      <c r="F84" s="24" t="n"/>
      <c r="G84" s="24" t="n"/>
      <c r="H84" s="17" t="n"/>
      <c r="I84" s="17" t="n"/>
      <c r="J84" s="17" t="n"/>
      <c r="K84" s="17" t="n"/>
      <c r="L84" s="16" t="n"/>
      <c r="M84" s="16" t="n"/>
      <c r="N84" s="16" t="n"/>
      <c r="O84" s="16" t="n"/>
      <c r="P84" s="16" t="n"/>
      <c r="Q84" s="16" t="n"/>
      <c r="R84" s="9" t="n"/>
    </row>
    <row r="85">
      <c r="A85" s="17" t="n"/>
      <c r="B85" s="10" t="n"/>
      <c r="C85" s="17" t="n"/>
      <c r="D85" s="17" t="n"/>
      <c r="E85" s="23" t="n"/>
      <c r="F85" s="24" t="n"/>
      <c r="G85" s="24" t="n"/>
      <c r="H85" s="17" t="n"/>
      <c r="I85" s="17" t="n"/>
      <c r="J85" s="17" t="n"/>
      <c r="K85" s="17" t="n"/>
      <c r="L85" s="16" t="n"/>
      <c r="M85" s="16" t="n"/>
      <c r="N85" s="16" t="n"/>
      <c r="O85" s="16" t="n"/>
      <c r="P85" s="16" t="n"/>
      <c r="Q85" s="16" t="n"/>
      <c r="R85" s="9" t="n"/>
    </row>
    <row r="86">
      <c r="A86" s="17" t="n"/>
      <c r="B86" s="10" t="n"/>
      <c r="C86" s="17" t="n"/>
      <c r="D86" s="17" t="n"/>
      <c r="E86" s="23" t="n"/>
      <c r="F86" s="24" t="n"/>
      <c r="G86" s="24" t="n"/>
      <c r="H86" s="17" t="n"/>
      <c r="I86" s="17" t="n"/>
      <c r="J86" s="17" t="n"/>
      <c r="K86" s="17" t="n"/>
      <c r="L86" s="16" t="n"/>
      <c r="M86" s="16" t="n"/>
      <c r="N86" s="16" t="n"/>
      <c r="O86" s="16" t="n"/>
      <c r="P86" s="16" t="n"/>
      <c r="Q86" s="16" t="n"/>
      <c r="R86" s="9" t="n"/>
    </row>
    <row r="87">
      <c r="A87" s="17" t="n"/>
      <c r="B87" s="10" t="n"/>
      <c r="C87" s="17" t="n"/>
      <c r="D87" s="17" t="n"/>
      <c r="E87" s="23" t="n"/>
      <c r="F87" s="24" t="n"/>
      <c r="G87" s="24" t="n"/>
      <c r="H87" s="17" t="n"/>
      <c r="I87" s="17" t="n"/>
      <c r="J87" s="17" t="n"/>
      <c r="K87" s="17" t="n"/>
      <c r="L87" s="16" t="n"/>
      <c r="M87" s="16" t="n"/>
      <c r="N87" s="16" t="n"/>
      <c r="O87" s="16" t="n"/>
      <c r="P87" s="16" t="n"/>
      <c r="Q87" s="16" t="n"/>
      <c r="R87" s="9" t="n"/>
    </row>
    <row r="88">
      <c r="A88" s="17" t="n"/>
      <c r="B88" s="10" t="n"/>
      <c r="C88" s="17" t="n"/>
      <c r="D88" s="17" t="n"/>
      <c r="E88" s="23" t="n"/>
      <c r="F88" s="24" t="n"/>
      <c r="G88" s="24" t="n"/>
      <c r="H88" s="17" t="n"/>
      <c r="I88" s="17" t="n"/>
      <c r="J88" s="17" t="n"/>
      <c r="K88" s="17" t="n"/>
      <c r="L88" s="16" t="n"/>
      <c r="M88" s="16" t="n"/>
      <c r="N88" s="16" t="n"/>
      <c r="O88" s="16" t="n"/>
      <c r="P88" s="16" t="n"/>
      <c r="Q88" s="16" t="n"/>
      <c r="R88" s="9" t="n"/>
    </row>
    <row r="89">
      <c r="A89" s="17" t="n"/>
      <c r="B89" s="10" t="n"/>
      <c r="C89" s="17" t="n"/>
      <c r="D89" s="17" t="n"/>
      <c r="E89" s="23" t="n"/>
      <c r="F89" s="24" t="n"/>
      <c r="G89" s="24" t="n"/>
      <c r="H89" s="17" t="n"/>
      <c r="I89" s="17" t="n"/>
      <c r="J89" s="17" t="n"/>
      <c r="K89" s="17" t="n"/>
      <c r="L89" s="16" t="n"/>
      <c r="M89" s="16" t="n"/>
      <c r="N89" s="16" t="n"/>
      <c r="O89" s="16" t="n"/>
      <c r="P89" s="16" t="n"/>
      <c r="Q89" s="16" t="n"/>
      <c r="R89" s="9" t="n"/>
    </row>
    <row r="90">
      <c r="A90" s="17" t="n"/>
      <c r="B90" s="10" t="n"/>
      <c r="C90" s="17" t="n"/>
      <c r="D90" s="17" t="n"/>
      <c r="E90" s="23" t="n"/>
      <c r="F90" s="24" t="n"/>
      <c r="G90" s="24" t="n"/>
      <c r="H90" s="17" t="n"/>
      <c r="I90" s="17" t="n"/>
      <c r="J90" s="17" t="n"/>
      <c r="K90" s="17" t="n"/>
      <c r="L90" s="16" t="n"/>
      <c r="M90" s="16" t="n"/>
      <c r="N90" s="16" t="n"/>
      <c r="O90" s="16" t="n"/>
      <c r="P90" s="16" t="n"/>
      <c r="Q90" s="16" t="n"/>
      <c r="R90" s="9" t="n"/>
    </row>
    <row r="91">
      <c r="A91" s="17" t="n"/>
      <c r="B91" s="10" t="n"/>
      <c r="C91" s="17" t="n"/>
      <c r="D91" s="17" t="n"/>
      <c r="E91" s="23" t="n"/>
      <c r="F91" s="24" t="n"/>
      <c r="G91" s="24" t="n"/>
      <c r="H91" s="17" t="n"/>
      <c r="I91" s="17" t="n"/>
      <c r="J91" s="17" t="n"/>
      <c r="K91" s="17" t="n"/>
      <c r="L91" s="16" t="n"/>
      <c r="M91" s="16" t="n"/>
      <c r="N91" s="16" t="n"/>
      <c r="O91" s="16" t="n"/>
      <c r="P91" s="16" t="n"/>
      <c r="Q91" s="16" t="n"/>
      <c r="R91" s="9" t="n"/>
    </row>
    <row r="92">
      <c r="A92" s="17" t="n"/>
      <c r="B92" s="10" t="n"/>
      <c r="C92" s="17" t="n"/>
      <c r="D92" s="17" t="n"/>
      <c r="E92" s="23" t="n"/>
      <c r="F92" s="24" t="n"/>
      <c r="G92" s="24" t="n"/>
      <c r="H92" s="17" t="n"/>
      <c r="I92" s="17" t="n"/>
      <c r="J92" s="17" t="n"/>
      <c r="K92" s="17" t="n"/>
      <c r="L92" s="16" t="n"/>
      <c r="M92" s="16" t="n"/>
      <c r="N92" s="16" t="n"/>
      <c r="O92" s="16" t="n"/>
      <c r="P92" s="16" t="n"/>
      <c r="Q92" s="16" t="n"/>
      <c r="R92" s="9" t="n"/>
    </row>
    <row r="93">
      <c r="A93" s="17" t="n"/>
      <c r="B93" s="10" t="n"/>
      <c r="C93" s="17" t="n"/>
      <c r="D93" s="17" t="n"/>
      <c r="E93" s="23" t="n"/>
      <c r="F93" s="24" t="n"/>
      <c r="G93" s="24" t="n"/>
      <c r="H93" s="17" t="n"/>
      <c r="I93" s="17" t="n"/>
      <c r="J93" s="17" t="n"/>
      <c r="K93" s="17" t="n"/>
      <c r="L93" s="16" t="n"/>
      <c r="M93" s="16" t="n"/>
      <c r="N93" s="16" t="n"/>
      <c r="O93" s="16" t="n"/>
      <c r="P93" s="16" t="n"/>
      <c r="Q93" s="16" t="n"/>
      <c r="R93" s="9" t="n"/>
    </row>
    <row r="94">
      <c r="A94" s="17" t="n"/>
      <c r="B94" s="10" t="n"/>
      <c r="C94" s="17" t="n"/>
      <c r="D94" s="17" t="n"/>
      <c r="E94" s="23" t="n"/>
      <c r="F94" s="24" t="n"/>
      <c r="G94" s="24" t="n"/>
      <c r="H94" s="17" t="n"/>
      <c r="I94" s="17" t="n"/>
      <c r="J94" s="17" t="n"/>
      <c r="K94" s="17" t="n"/>
      <c r="L94" s="16" t="n"/>
      <c r="M94" s="16" t="n"/>
      <c r="N94" s="16" t="n"/>
      <c r="O94" s="16" t="n"/>
      <c r="P94" s="16" t="n"/>
      <c r="Q94" s="16" t="n"/>
      <c r="R94" s="9" t="n"/>
    </row>
    <row r="95">
      <c r="A95" s="17" t="n"/>
      <c r="B95" s="10" t="n"/>
      <c r="C95" s="17" t="n"/>
      <c r="D95" s="17" t="n"/>
      <c r="E95" s="23" t="n"/>
      <c r="F95" s="24" t="n"/>
      <c r="G95" s="24" t="n"/>
      <c r="H95" s="17" t="n"/>
      <c r="I95" s="17" t="n"/>
      <c r="J95" s="17" t="n"/>
      <c r="K95" s="17" t="n"/>
      <c r="L95" s="16" t="n"/>
      <c r="M95" s="16" t="n"/>
      <c r="N95" s="16" t="n"/>
      <c r="O95" s="16" t="n"/>
      <c r="P95" s="16" t="n"/>
      <c r="Q95" s="16" t="n"/>
      <c r="R95" s="9" t="n"/>
    </row>
    <row r="96">
      <c r="A96" s="17" t="n"/>
      <c r="B96" s="10" t="n"/>
      <c r="C96" s="17" t="n"/>
      <c r="D96" s="17" t="n"/>
      <c r="E96" s="23" t="n"/>
      <c r="F96" s="24" t="n"/>
      <c r="G96" s="24" t="n"/>
      <c r="H96" s="17" t="n"/>
      <c r="I96" s="17" t="n"/>
      <c r="J96" s="17" t="n"/>
      <c r="K96" s="17" t="n"/>
      <c r="L96" s="16" t="n"/>
      <c r="M96" s="16" t="n"/>
      <c r="N96" s="16" t="n"/>
      <c r="O96" s="16" t="n"/>
      <c r="P96" s="16" t="n"/>
      <c r="Q96" s="16" t="n"/>
      <c r="R96" s="9" t="n"/>
    </row>
    <row r="97">
      <c r="A97" s="17" t="n"/>
      <c r="B97" s="10" t="n"/>
      <c r="C97" s="17" t="n"/>
      <c r="D97" s="17" t="n"/>
      <c r="E97" s="23" t="n"/>
      <c r="F97" s="24" t="n"/>
      <c r="G97" s="24" t="n"/>
      <c r="H97" s="17" t="n"/>
      <c r="I97" s="17" t="n"/>
      <c r="J97" s="17" t="n"/>
      <c r="K97" s="17" t="n"/>
      <c r="L97" s="16" t="n"/>
      <c r="M97" s="16" t="n"/>
      <c r="N97" s="16" t="n"/>
      <c r="O97" s="16" t="n"/>
      <c r="P97" s="16" t="n"/>
      <c r="Q97" s="16" t="n"/>
      <c r="R97" s="9" t="n"/>
    </row>
    <row r="98">
      <c r="A98" s="17" t="n"/>
      <c r="B98" s="10" t="n"/>
      <c r="C98" s="17" t="n"/>
      <c r="D98" s="17" t="n"/>
      <c r="E98" s="23" t="n"/>
      <c r="F98" s="24" t="n"/>
      <c r="G98" s="24" t="n"/>
      <c r="H98" s="17" t="n"/>
      <c r="I98" s="17" t="n"/>
      <c r="J98" s="17" t="n"/>
      <c r="K98" s="17" t="n"/>
      <c r="L98" s="16" t="n"/>
      <c r="M98" s="16" t="n"/>
      <c r="N98" s="16" t="n"/>
      <c r="O98" s="16" t="n"/>
      <c r="P98" s="16" t="n"/>
      <c r="Q98" s="16" t="n"/>
      <c r="R98" s="9" t="n"/>
    </row>
    <row r="99">
      <c r="A99" s="17" t="n"/>
      <c r="B99" s="10" t="n"/>
      <c r="C99" s="17" t="n"/>
      <c r="D99" s="17" t="n"/>
      <c r="E99" s="23" t="n"/>
      <c r="F99" s="24" t="n"/>
      <c r="G99" s="24" t="n"/>
      <c r="H99" s="17" t="n"/>
      <c r="I99" s="17" t="n"/>
      <c r="J99" s="17" t="n"/>
      <c r="K99" s="17" t="n"/>
      <c r="L99" s="16" t="n"/>
      <c r="M99" s="16" t="n"/>
      <c r="N99" s="16" t="n"/>
      <c r="O99" s="16" t="n"/>
      <c r="P99" s="16" t="n"/>
      <c r="Q99" s="16" t="n"/>
      <c r="R99" s="9" t="n"/>
    </row>
    <row r="100">
      <c r="A100" s="17" t="n"/>
      <c r="B100" s="10" t="n"/>
      <c r="C100" s="17" t="n"/>
      <c r="D100" s="17" t="n"/>
      <c r="E100" s="23" t="n"/>
      <c r="F100" s="24" t="n"/>
      <c r="G100" s="24" t="n"/>
      <c r="H100" s="17" t="n"/>
      <c r="I100" s="17" t="n"/>
      <c r="J100" s="17" t="n"/>
      <c r="K100" s="17" t="n"/>
      <c r="L100" s="16" t="n"/>
      <c r="M100" s="16" t="n"/>
      <c r="N100" s="16" t="n"/>
      <c r="O100" s="16" t="n"/>
      <c r="P100" s="16" t="n"/>
      <c r="Q100" s="16" t="n"/>
      <c r="R100" s="9" t="n"/>
    </row>
    <row r="101">
      <c r="A101" s="17" t="n"/>
      <c r="B101" s="10" t="n"/>
      <c r="C101" s="17" t="n"/>
      <c r="D101" s="17" t="n"/>
      <c r="E101" s="23" t="n"/>
      <c r="F101" s="24" t="n"/>
      <c r="G101" s="24" t="n"/>
      <c r="H101" s="17" t="n"/>
      <c r="I101" s="17" t="n"/>
      <c r="J101" s="17" t="n"/>
      <c r="K101" s="17" t="n"/>
      <c r="L101" s="16" t="n"/>
      <c r="M101" s="16" t="n"/>
      <c r="N101" s="16" t="n"/>
      <c r="O101" s="16" t="n"/>
      <c r="P101" s="16" t="n"/>
      <c r="Q101" s="16" t="n"/>
      <c r="R101" s="9" t="n"/>
    </row>
    <row r="102">
      <c r="A102" s="17" t="n"/>
      <c r="B102" s="10" t="n"/>
      <c r="C102" s="17" t="n"/>
      <c r="D102" s="17" t="n"/>
      <c r="E102" s="23" t="n"/>
      <c r="F102" s="24" t="n"/>
      <c r="G102" s="24" t="n"/>
      <c r="H102" s="17" t="n"/>
      <c r="I102" s="17" t="n"/>
      <c r="J102" s="17" t="n"/>
      <c r="K102" s="17" t="n"/>
      <c r="L102" s="16" t="n"/>
      <c r="M102" s="16" t="n"/>
      <c r="N102" s="16" t="n"/>
      <c r="O102" s="16" t="n"/>
      <c r="P102" s="16" t="n"/>
      <c r="Q102" s="16" t="n"/>
      <c r="R102" s="9" t="n"/>
    </row>
    <row r="103">
      <c r="A103" s="17" t="n"/>
      <c r="B103" s="10" t="n"/>
      <c r="C103" s="17" t="n"/>
      <c r="D103" s="17" t="n"/>
      <c r="E103" s="23" t="n"/>
      <c r="F103" s="24" t="n"/>
      <c r="G103" s="24" t="n"/>
      <c r="H103" s="17" t="n"/>
      <c r="I103" s="17" t="n"/>
      <c r="J103" s="17" t="n"/>
      <c r="K103" s="17" t="n"/>
      <c r="L103" s="16" t="n"/>
      <c r="M103" s="16" t="n"/>
      <c r="N103" s="16" t="n"/>
      <c r="O103" s="16" t="n"/>
      <c r="P103" s="16" t="n"/>
      <c r="Q103" s="16" t="n"/>
      <c r="R103" s="9" t="n"/>
    </row>
    <row r="104">
      <c r="A104" s="17" t="n"/>
      <c r="B104" s="10" t="n"/>
      <c r="C104" s="17" t="n"/>
      <c r="D104" s="17" t="n"/>
      <c r="E104" s="23" t="n"/>
      <c r="F104" s="24" t="n"/>
      <c r="G104" s="24" t="n"/>
      <c r="H104" s="17" t="n"/>
      <c r="I104" s="17" t="n"/>
      <c r="J104" s="17" t="n"/>
      <c r="K104" s="17" t="n"/>
      <c r="L104" s="16" t="n"/>
      <c r="M104" s="16" t="n"/>
      <c r="N104" s="16" t="n"/>
      <c r="O104" s="16" t="n"/>
      <c r="P104" s="16" t="n"/>
      <c r="Q104" s="16" t="n"/>
      <c r="R104" s="9" t="n"/>
    </row>
    <row r="105">
      <c r="A105" s="17" t="n"/>
      <c r="B105" s="10" t="n"/>
      <c r="C105" s="17" t="n"/>
      <c r="D105" s="17" t="n"/>
      <c r="E105" s="23" t="n"/>
      <c r="F105" s="24" t="n"/>
      <c r="G105" s="24" t="n"/>
      <c r="H105" s="17" t="n"/>
      <c r="I105" s="17" t="n"/>
      <c r="J105" s="17" t="n"/>
      <c r="K105" s="17" t="n"/>
      <c r="L105" s="16" t="n"/>
      <c r="M105" s="16" t="n"/>
      <c r="N105" s="16" t="n"/>
      <c r="O105" s="16" t="n"/>
      <c r="P105" s="16" t="n"/>
      <c r="Q105" s="16" t="n"/>
      <c r="R105" s="9" t="n"/>
    </row>
    <row r="106">
      <c r="A106" s="17" t="n"/>
      <c r="B106" s="10" t="n"/>
      <c r="C106" s="17" t="n"/>
      <c r="D106" s="17" t="n"/>
      <c r="E106" s="23" t="n"/>
      <c r="F106" s="24" t="n"/>
      <c r="G106" s="24" t="n"/>
      <c r="H106" s="17" t="n"/>
      <c r="I106" s="17" t="n"/>
      <c r="J106" s="17" t="n"/>
      <c r="K106" s="17" t="n"/>
      <c r="L106" s="16" t="n"/>
      <c r="M106" s="16" t="n"/>
      <c r="N106" s="16" t="n"/>
      <c r="O106" s="16" t="n"/>
      <c r="P106" s="16" t="n"/>
      <c r="Q106" s="16" t="n"/>
      <c r="R106" s="9" t="n"/>
    </row>
    <row r="107">
      <c r="A107" s="17" t="n"/>
      <c r="B107" s="10" t="n"/>
      <c r="C107" s="17" t="n"/>
      <c r="D107" s="17" t="n"/>
      <c r="E107" s="23" t="n"/>
      <c r="F107" s="24" t="n"/>
      <c r="G107" s="24" t="n"/>
      <c r="H107" s="17" t="n"/>
      <c r="I107" s="17" t="n"/>
      <c r="J107" s="17" t="n"/>
      <c r="K107" s="17" t="n"/>
      <c r="L107" s="16" t="n"/>
      <c r="M107" s="16" t="n"/>
      <c r="N107" s="16" t="n"/>
      <c r="O107" s="16" t="n"/>
      <c r="P107" s="16" t="n"/>
      <c r="Q107" s="16" t="n"/>
      <c r="R107" s="9" t="n"/>
    </row>
    <row r="108">
      <c r="A108" s="17" t="n"/>
      <c r="B108" s="10" t="n"/>
      <c r="C108" s="17" t="n"/>
      <c r="D108" s="17" t="n"/>
      <c r="E108" s="23" t="n"/>
      <c r="F108" s="24" t="n"/>
      <c r="G108" s="24" t="n"/>
      <c r="H108" s="17" t="n"/>
      <c r="I108" s="17" t="n"/>
      <c r="J108" s="17" t="n"/>
      <c r="K108" s="17" t="n"/>
      <c r="L108" s="16" t="n"/>
      <c r="M108" s="16" t="n"/>
      <c r="N108" s="16" t="n"/>
      <c r="O108" s="16" t="n"/>
      <c r="P108" s="16" t="n"/>
      <c r="Q108" s="16" t="n"/>
      <c r="R108" s="9" t="n"/>
    </row>
    <row r="109">
      <c r="A109" s="17" t="n"/>
      <c r="B109" s="10" t="n"/>
      <c r="C109" s="17" t="n"/>
      <c r="D109" s="17" t="n"/>
      <c r="E109" s="23" t="n"/>
      <c r="F109" s="24" t="n"/>
      <c r="G109" s="24" t="n"/>
      <c r="H109" s="17" t="n"/>
      <c r="I109" s="17" t="n"/>
      <c r="J109" s="17" t="n"/>
      <c r="K109" s="17" t="n"/>
      <c r="L109" s="16" t="n"/>
      <c r="M109" s="16" t="n"/>
      <c r="N109" s="16" t="n"/>
      <c r="O109" s="16" t="n"/>
      <c r="P109" s="16" t="n"/>
      <c r="Q109" s="16" t="n"/>
      <c r="R109" s="9" t="n"/>
    </row>
    <row r="110">
      <c r="A110" s="17" t="n"/>
      <c r="B110" s="10" t="n"/>
      <c r="C110" s="17" t="n"/>
      <c r="D110" s="17" t="n"/>
      <c r="E110" s="23" t="n"/>
      <c r="F110" s="24" t="n"/>
      <c r="G110" s="24" t="n"/>
      <c r="H110" s="17" t="n"/>
      <c r="I110" s="17" t="n"/>
      <c r="J110" s="17" t="n"/>
      <c r="K110" s="17" t="n"/>
      <c r="L110" s="16" t="n"/>
      <c r="M110" s="16" t="n"/>
      <c r="N110" s="16" t="n"/>
      <c r="O110" s="16" t="n"/>
      <c r="P110" s="16" t="n"/>
      <c r="Q110" s="16" t="n"/>
      <c r="R110" s="9" t="n"/>
    </row>
    <row r="111">
      <c r="A111" s="17" t="n"/>
      <c r="B111" s="10" t="n"/>
      <c r="C111" s="17" t="n"/>
      <c r="D111" s="17" t="n"/>
      <c r="E111" s="23" t="n"/>
      <c r="F111" s="24" t="n"/>
      <c r="G111" s="24" t="n"/>
      <c r="H111" s="17" t="n"/>
      <c r="I111" s="17" t="n"/>
      <c r="J111" s="17" t="n"/>
      <c r="K111" s="17" t="n"/>
      <c r="L111" s="16" t="n"/>
      <c r="M111" s="16" t="n"/>
      <c r="N111" s="16" t="n"/>
      <c r="O111" s="16" t="n"/>
      <c r="P111" s="16" t="n"/>
      <c r="Q111" s="16" t="n"/>
      <c r="R111" s="9" t="n"/>
    </row>
    <row r="112">
      <c r="A112" s="17" t="n"/>
      <c r="B112" s="10" t="n"/>
      <c r="C112" s="17" t="n"/>
      <c r="D112" s="17" t="n"/>
      <c r="E112" s="23" t="n"/>
      <c r="F112" s="24" t="n"/>
      <c r="G112" s="24" t="n"/>
      <c r="H112" s="17" t="n"/>
      <c r="I112" s="17" t="n"/>
      <c r="J112" s="17" t="n"/>
      <c r="K112" s="17" t="n"/>
      <c r="L112" s="16" t="n"/>
      <c r="M112" s="16" t="n"/>
      <c r="N112" s="16" t="n"/>
      <c r="O112" s="16" t="n"/>
      <c r="P112" s="16" t="n"/>
      <c r="Q112" s="16" t="n"/>
      <c r="R112" s="9" t="n"/>
    </row>
    <row r="113">
      <c r="A113" s="17" t="n"/>
      <c r="B113" s="10" t="n"/>
      <c r="C113" s="17" t="n"/>
      <c r="D113" s="17" t="n"/>
      <c r="E113" s="23" t="n"/>
      <c r="F113" s="24" t="n"/>
      <c r="G113" s="24" t="n"/>
      <c r="H113" s="17" t="n"/>
      <c r="I113" s="17" t="n"/>
      <c r="J113" s="17" t="n"/>
      <c r="K113" s="17" t="n"/>
      <c r="L113" s="16" t="n"/>
      <c r="M113" s="16" t="n"/>
      <c r="N113" s="16" t="n"/>
      <c r="O113" s="16" t="n"/>
      <c r="P113" s="16" t="n"/>
      <c r="Q113" s="16" t="n"/>
      <c r="R113" s="9" t="n"/>
    </row>
    <row r="114">
      <c r="A114" s="17" t="n"/>
      <c r="B114" s="10" t="n"/>
      <c r="C114" s="17" t="n"/>
      <c r="D114" s="17" t="n"/>
      <c r="E114" s="23" t="n"/>
      <c r="F114" s="24" t="n"/>
      <c r="G114" s="24" t="n"/>
      <c r="H114" s="17" t="n"/>
      <c r="I114" s="17" t="n"/>
      <c r="J114" s="17" t="n"/>
      <c r="K114" s="17" t="n"/>
      <c r="L114" s="16" t="n"/>
      <c r="M114" s="16" t="n"/>
      <c r="N114" s="16" t="n"/>
      <c r="O114" s="16" t="n"/>
      <c r="P114" s="16" t="n"/>
      <c r="Q114" s="16" t="n"/>
      <c r="R114" s="9" t="n"/>
    </row>
    <row r="115">
      <c r="A115" s="17" t="n"/>
      <c r="B115" s="10" t="n"/>
      <c r="C115" s="17" t="n"/>
      <c r="D115" s="17" t="n"/>
      <c r="E115" s="23" t="n"/>
      <c r="F115" s="24" t="n"/>
      <c r="G115" s="24" t="n"/>
      <c r="H115" s="17" t="n"/>
      <c r="I115" s="17" t="n"/>
      <c r="J115" s="17" t="n"/>
      <c r="K115" s="17" t="n"/>
      <c r="L115" s="16" t="n"/>
      <c r="M115" s="16" t="n"/>
      <c r="N115" s="16" t="n"/>
      <c r="O115" s="16" t="n"/>
      <c r="P115" s="16" t="n"/>
      <c r="Q115" s="16" t="n"/>
      <c r="R115" s="9" t="n"/>
    </row>
    <row r="116">
      <c r="A116" s="17" t="n"/>
      <c r="B116" s="10" t="n"/>
      <c r="C116" s="17" t="n"/>
      <c r="D116" s="17" t="n"/>
      <c r="E116" s="23" t="n"/>
      <c r="F116" s="24" t="n"/>
      <c r="G116" s="24" t="n"/>
      <c r="H116" s="17" t="n"/>
      <c r="I116" s="17" t="n"/>
      <c r="J116" s="17" t="n"/>
      <c r="K116" s="17" t="n"/>
      <c r="L116" s="16" t="n"/>
      <c r="M116" s="16" t="n"/>
      <c r="N116" s="16" t="n"/>
      <c r="O116" s="16" t="n"/>
      <c r="P116" s="16" t="n"/>
      <c r="Q116" s="16" t="n"/>
      <c r="R116" s="9" t="n"/>
    </row>
    <row r="117">
      <c r="A117" s="17" t="n"/>
      <c r="B117" s="10" t="n"/>
      <c r="C117" s="17" t="n"/>
      <c r="D117" s="17" t="n"/>
      <c r="E117" s="23" t="n"/>
      <c r="F117" s="24" t="n"/>
      <c r="G117" s="24" t="n"/>
      <c r="H117" s="17" t="n"/>
      <c r="I117" s="17" t="n"/>
      <c r="J117" s="17" t="n"/>
      <c r="K117" s="17" t="n"/>
      <c r="L117" s="16" t="n"/>
      <c r="M117" s="16" t="n"/>
      <c r="N117" s="16" t="n"/>
      <c r="O117" s="16" t="n"/>
      <c r="P117" s="16" t="n"/>
      <c r="Q117" s="16" t="n"/>
      <c r="R117" s="9" t="n"/>
    </row>
    <row r="118">
      <c r="A118" s="17" t="n"/>
      <c r="B118" s="10" t="n"/>
      <c r="C118" s="17" t="n"/>
      <c r="D118" s="17" t="n"/>
      <c r="E118" s="23" t="n"/>
      <c r="F118" s="24" t="n"/>
      <c r="G118" s="24" t="n"/>
      <c r="H118" s="17" t="n"/>
      <c r="I118" s="17" t="n"/>
      <c r="J118" s="17" t="n"/>
      <c r="K118" s="17" t="n"/>
      <c r="L118" s="16" t="n"/>
      <c r="M118" s="16" t="n"/>
      <c r="N118" s="16" t="n"/>
      <c r="O118" s="16" t="n"/>
      <c r="P118" s="16" t="n"/>
      <c r="Q118" s="16" t="n"/>
      <c r="R118" s="9" t="n"/>
    </row>
    <row r="119">
      <c r="A119" s="17" t="n"/>
      <c r="B119" s="10" t="n"/>
      <c r="C119" s="17" t="n"/>
      <c r="D119" s="17" t="n"/>
      <c r="E119" s="23" t="n"/>
      <c r="F119" s="24" t="n"/>
      <c r="G119" s="24" t="n"/>
      <c r="H119" s="17" t="n"/>
      <c r="I119" s="17" t="n"/>
      <c r="J119" s="17" t="n"/>
      <c r="K119" s="17" t="n"/>
      <c r="L119" s="16" t="n"/>
      <c r="M119" s="16" t="n"/>
      <c r="N119" s="16" t="n"/>
      <c r="O119" s="16" t="n"/>
      <c r="P119" s="16" t="n"/>
      <c r="Q119" s="16" t="n"/>
      <c r="R119" s="9" t="n"/>
    </row>
    <row r="120">
      <c r="A120" s="17" t="n"/>
      <c r="B120" s="10" t="n"/>
      <c r="C120" s="17" t="n"/>
      <c r="D120" s="17" t="n"/>
      <c r="E120" s="23" t="n"/>
      <c r="F120" s="24" t="n"/>
      <c r="G120" s="24" t="n"/>
      <c r="H120" s="17" t="n"/>
      <c r="I120" s="17" t="n"/>
      <c r="J120" s="17" t="n"/>
      <c r="K120" s="17" t="n"/>
      <c r="L120" s="16" t="n"/>
      <c r="M120" s="16" t="n"/>
      <c r="N120" s="16" t="n"/>
      <c r="O120" s="16" t="n"/>
      <c r="P120" s="16" t="n"/>
      <c r="Q120" s="16" t="n"/>
      <c r="R120" s="9" t="n"/>
    </row>
    <row r="121">
      <c r="A121" s="17" t="n"/>
      <c r="B121" s="10" t="n"/>
      <c r="C121" s="17" t="n"/>
      <c r="D121" s="17" t="n"/>
      <c r="E121" s="23" t="n"/>
      <c r="F121" s="24" t="n"/>
      <c r="G121" s="24" t="n"/>
      <c r="H121" s="17" t="n"/>
      <c r="I121" s="17" t="n"/>
      <c r="J121" s="17" t="n"/>
      <c r="K121" s="17" t="n"/>
      <c r="L121" s="16" t="n"/>
      <c r="M121" s="16" t="n"/>
      <c r="N121" s="16" t="n"/>
      <c r="O121" s="16" t="n"/>
      <c r="P121" s="16" t="n"/>
      <c r="Q121" s="16" t="n"/>
      <c r="R121" s="9" t="n"/>
    </row>
    <row r="122">
      <c r="A122" s="17" t="n"/>
      <c r="B122" s="10" t="n"/>
      <c r="C122" s="17" t="n"/>
      <c r="D122" s="17" t="n"/>
      <c r="E122" s="23" t="n"/>
      <c r="F122" s="24" t="n"/>
      <c r="G122" s="24" t="n"/>
      <c r="H122" s="17" t="n"/>
      <c r="I122" s="17" t="n"/>
      <c r="J122" s="17" t="n"/>
      <c r="K122" s="17" t="n"/>
      <c r="L122" s="16" t="n"/>
      <c r="M122" s="16" t="n"/>
      <c r="N122" s="16" t="n"/>
      <c r="O122" s="16" t="n"/>
      <c r="P122" s="16" t="n"/>
      <c r="Q122" s="16" t="n"/>
      <c r="R122" s="9" t="n"/>
    </row>
    <row r="123">
      <c r="A123" s="17" t="n"/>
      <c r="B123" s="10" t="n"/>
      <c r="C123" s="17" t="n"/>
      <c r="D123" s="17" t="n"/>
      <c r="E123" s="23" t="n"/>
      <c r="F123" s="24" t="n"/>
      <c r="G123" s="24" t="n"/>
      <c r="H123" s="17" t="n"/>
      <c r="I123" s="17" t="n"/>
      <c r="J123" s="17" t="n"/>
      <c r="K123" s="17" t="n"/>
      <c r="L123" s="16" t="n"/>
      <c r="M123" s="16" t="n"/>
      <c r="N123" s="16" t="n"/>
      <c r="O123" s="16" t="n"/>
      <c r="P123" s="16" t="n"/>
      <c r="Q123" s="16" t="n"/>
      <c r="R123" s="9" t="n"/>
    </row>
    <row r="124">
      <c r="A124" s="17" t="n"/>
      <c r="B124" s="10" t="n"/>
      <c r="C124" s="17" t="n"/>
      <c r="D124" s="17" t="n"/>
      <c r="E124" s="23" t="n"/>
      <c r="F124" s="24" t="n"/>
      <c r="G124" s="24" t="n"/>
      <c r="H124" s="17" t="n"/>
      <c r="I124" s="17" t="n"/>
      <c r="J124" s="17" t="n"/>
      <c r="K124" s="17" t="n"/>
      <c r="L124" s="16" t="n"/>
      <c r="M124" s="16" t="n"/>
      <c r="N124" s="16" t="n"/>
      <c r="O124" s="16" t="n"/>
      <c r="P124" s="16" t="n"/>
      <c r="Q124" s="16" t="n"/>
      <c r="R124" s="9" t="n"/>
    </row>
    <row r="125">
      <c r="A125" s="17" t="n"/>
      <c r="B125" s="10" t="n"/>
      <c r="C125" s="17" t="n"/>
      <c r="D125" s="17" t="n"/>
      <c r="E125" s="23" t="n"/>
      <c r="F125" s="24" t="n"/>
      <c r="G125" s="24" t="n"/>
      <c r="H125" s="17" t="n"/>
      <c r="I125" s="17" t="n"/>
      <c r="J125" s="17" t="n"/>
      <c r="K125" s="17" t="n"/>
      <c r="L125" s="16" t="n"/>
      <c r="M125" s="16" t="n"/>
      <c r="N125" s="16" t="n"/>
      <c r="O125" s="16" t="n"/>
      <c r="P125" s="16" t="n"/>
      <c r="Q125" s="16" t="n"/>
      <c r="R125" s="9" t="n"/>
    </row>
    <row r="126">
      <c r="A126" s="17" t="n"/>
      <c r="B126" s="10" t="n"/>
      <c r="C126" s="17" t="n"/>
      <c r="D126" s="17" t="n"/>
      <c r="E126" s="23" t="n"/>
      <c r="F126" s="24" t="n"/>
      <c r="G126" s="24" t="n"/>
      <c r="H126" s="17" t="n"/>
      <c r="I126" s="17" t="n"/>
      <c r="J126" s="17" t="n"/>
      <c r="K126" s="17" t="n"/>
      <c r="L126" s="16" t="n"/>
      <c r="M126" s="16" t="n"/>
      <c r="N126" s="16" t="n"/>
      <c r="O126" s="16" t="n"/>
      <c r="P126" s="16" t="n"/>
      <c r="Q126" s="16" t="n"/>
      <c r="R126" s="9" t="n"/>
    </row>
    <row r="127">
      <c r="A127" s="17" t="n"/>
      <c r="B127" s="10" t="n"/>
      <c r="C127" s="17" t="n"/>
      <c r="D127" s="17" t="n"/>
      <c r="E127" s="23" t="n"/>
      <c r="F127" s="24" t="n"/>
      <c r="G127" s="24" t="n"/>
      <c r="H127" s="17" t="n"/>
      <c r="I127" s="17" t="n"/>
      <c r="J127" s="17" t="n"/>
      <c r="K127" s="17" t="n"/>
      <c r="L127" s="16" t="n"/>
      <c r="M127" s="16" t="n"/>
      <c r="N127" s="16" t="n"/>
      <c r="O127" s="16" t="n"/>
      <c r="P127" s="16" t="n"/>
      <c r="Q127" s="16" t="n"/>
      <c r="R127" s="9" t="n"/>
    </row>
    <row r="128">
      <c r="A128" s="17" t="n"/>
      <c r="B128" s="10" t="n"/>
      <c r="C128" s="17" t="n"/>
      <c r="D128" s="17" t="n"/>
      <c r="E128" s="23" t="n"/>
      <c r="F128" s="24" t="n"/>
      <c r="G128" s="24" t="n"/>
      <c r="H128" s="17" t="n"/>
      <c r="I128" s="17" t="n"/>
      <c r="J128" s="17" t="n"/>
      <c r="K128" s="17" t="n"/>
      <c r="L128" s="16" t="n"/>
      <c r="M128" s="16" t="n"/>
      <c r="N128" s="16" t="n"/>
      <c r="O128" s="16" t="n"/>
      <c r="P128" s="16" t="n"/>
      <c r="Q128" s="16" t="n"/>
      <c r="R128" s="9" t="n"/>
    </row>
    <row r="129">
      <c r="A129" s="17" t="n"/>
      <c r="B129" s="10" t="n"/>
      <c r="C129" s="17" t="n"/>
      <c r="D129" s="17" t="n"/>
      <c r="E129" s="23" t="n"/>
      <c r="F129" s="24" t="n"/>
      <c r="G129" s="24" t="n"/>
      <c r="H129" s="17" t="n"/>
      <c r="I129" s="17" t="n"/>
      <c r="J129" s="17" t="n"/>
      <c r="K129" s="17" t="n"/>
      <c r="L129" s="16" t="n"/>
      <c r="M129" s="16" t="n"/>
      <c r="N129" s="16" t="n"/>
      <c r="O129" s="16" t="n"/>
      <c r="P129" s="16" t="n"/>
      <c r="Q129" s="16" t="n"/>
      <c r="R129" s="9" t="n"/>
    </row>
    <row r="130">
      <c r="A130" s="17" t="n"/>
      <c r="B130" s="10" t="n"/>
      <c r="C130" s="17" t="n"/>
      <c r="D130" s="17" t="n"/>
      <c r="E130" s="23" t="n"/>
      <c r="F130" s="24" t="n"/>
      <c r="G130" s="24" t="n"/>
      <c r="H130" s="17" t="n"/>
      <c r="I130" s="17" t="n"/>
      <c r="J130" s="17" t="n"/>
      <c r="K130" s="17" t="n"/>
      <c r="L130" s="16" t="n"/>
      <c r="M130" s="16" t="n"/>
      <c r="N130" s="16" t="n"/>
      <c r="O130" s="16" t="n"/>
      <c r="P130" s="16" t="n"/>
      <c r="Q130" s="16" t="n"/>
      <c r="R130" s="9" t="n"/>
    </row>
    <row r="131">
      <c r="A131" s="17" t="n"/>
      <c r="B131" s="10" t="n"/>
      <c r="C131" s="17" t="n"/>
      <c r="D131" s="17" t="n"/>
      <c r="E131" s="23" t="n"/>
      <c r="F131" s="24" t="n"/>
      <c r="G131" s="24" t="n"/>
      <c r="H131" s="17" t="n"/>
      <c r="I131" s="17" t="n"/>
      <c r="J131" s="17" t="n"/>
      <c r="K131" s="17" t="n"/>
      <c r="L131" s="16" t="n"/>
      <c r="M131" s="16" t="n"/>
      <c r="N131" s="16" t="n"/>
      <c r="O131" s="16" t="n"/>
      <c r="P131" s="16" t="n"/>
      <c r="Q131" s="16" t="n"/>
      <c r="R131" s="9" t="n"/>
    </row>
    <row r="132">
      <c r="A132" s="17" t="n"/>
      <c r="B132" s="10" t="n"/>
      <c r="C132" s="17" t="n"/>
      <c r="D132" s="17" t="n"/>
      <c r="E132" s="23" t="n"/>
      <c r="F132" s="24" t="n"/>
      <c r="G132" s="24" t="n"/>
      <c r="H132" s="17" t="n"/>
      <c r="I132" s="17" t="n"/>
      <c r="J132" s="17" t="n"/>
      <c r="K132" s="17" t="n"/>
      <c r="L132" s="16" t="n"/>
      <c r="M132" s="16" t="n"/>
      <c r="N132" s="16" t="n"/>
      <c r="O132" s="16" t="n"/>
      <c r="P132" s="16" t="n"/>
      <c r="Q132" s="16" t="n"/>
      <c r="R132" s="9" t="n"/>
    </row>
    <row r="133">
      <c r="A133" s="17" t="n"/>
      <c r="B133" s="10" t="n"/>
      <c r="C133" s="17" t="n"/>
      <c r="D133" s="17" t="n"/>
      <c r="E133" s="23" t="n"/>
      <c r="F133" s="24" t="n"/>
      <c r="G133" s="24" t="n"/>
      <c r="H133" s="17" t="n"/>
      <c r="I133" s="17" t="n"/>
      <c r="J133" s="17" t="n"/>
      <c r="K133" s="17" t="n"/>
      <c r="L133" s="16" t="n"/>
      <c r="M133" s="16" t="n"/>
      <c r="N133" s="16" t="n"/>
      <c r="O133" s="16" t="n"/>
      <c r="P133" s="16" t="n"/>
      <c r="Q133" s="16" t="n"/>
      <c r="R133" s="9" t="n"/>
    </row>
    <row r="134">
      <c r="A134" s="17" t="n"/>
      <c r="B134" s="10" t="n"/>
      <c r="C134" s="17" t="n"/>
      <c r="D134" s="17" t="n"/>
      <c r="E134" s="23" t="n"/>
      <c r="F134" s="24" t="n"/>
      <c r="G134" s="24" t="n"/>
      <c r="H134" s="17" t="n"/>
      <c r="I134" s="17" t="n"/>
      <c r="J134" s="17" t="n"/>
      <c r="K134" s="17" t="n"/>
      <c r="L134" s="16" t="n"/>
      <c r="M134" s="16" t="n"/>
      <c r="N134" s="16" t="n"/>
      <c r="O134" s="16" t="n"/>
      <c r="P134" s="16" t="n"/>
      <c r="Q134" s="16" t="n"/>
      <c r="R134" s="9" t="n"/>
    </row>
    <row r="135">
      <c r="A135" s="17" t="n"/>
      <c r="B135" s="10" t="n"/>
      <c r="C135" s="17" t="n"/>
      <c r="D135" s="17" t="n"/>
      <c r="E135" s="23" t="n"/>
      <c r="F135" s="24" t="n"/>
      <c r="G135" s="24" t="n"/>
      <c r="H135" s="17" t="n"/>
      <c r="I135" s="17" t="n"/>
      <c r="J135" s="17" t="n"/>
      <c r="K135" s="17" t="n"/>
      <c r="L135" s="16" t="n"/>
      <c r="M135" s="16" t="n"/>
      <c r="N135" s="16" t="n"/>
      <c r="O135" s="16" t="n"/>
      <c r="P135" s="16" t="n"/>
      <c r="Q135" s="16" t="n"/>
      <c r="R135" s="9" t="n"/>
    </row>
    <row r="136">
      <c r="A136" s="17" t="n"/>
      <c r="B136" s="10" t="n"/>
      <c r="C136" s="17" t="n"/>
      <c r="D136" s="17" t="n"/>
      <c r="E136" s="23" t="n"/>
      <c r="F136" s="24" t="n"/>
      <c r="G136" s="24" t="n"/>
      <c r="H136" s="17" t="n"/>
      <c r="I136" s="17" t="n"/>
      <c r="J136" s="17" t="n"/>
      <c r="K136" s="17" t="n"/>
      <c r="L136" s="16" t="n"/>
      <c r="M136" s="16" t="n"/>
      <c r="N136" s="16" t="n"/>
      <c r="O136" s="16" t="n"/>
      <c r="P136" s="16" t="n"/>
      <c r="Q136" s="16" t="n"/>
      <c r="R136" s="9" t="n"/>
    </row>
    <row r="137">
      <c r="A137" s="17" t="n"/>
      <c r="B137" s="10" t="n"/>
      <c r="C137" s="17" t="n"/>
      <c r="D137" s="17" t="n"/>
      <c r="E137" s="23" t="n"/>
      <c r="F137" s="24" t="n"/>
      <c r="G137" s="24" t="n"/>
      <c r="H137" s="17" t="n"/>
      <c r="I137" s="17" t="n"/>
      <c r="J137" s="17" t="n"/>
      <c r="K137" s="17" t="n"/>
      <c r="L137" s="16" t="n"/>
      <c r="M137" s="16" t="n"/>
      <c r="N137" s="16" t="n"/>
      <c r="O137" s="16" t="n"/>
      <c r="P137" s="16" t="n"/>
      <c r="Q137" s="16" t="n"/>
      <c r="R137" s="9" t="n"/>
    </row>
    <row r="138">
      <c r="A138" s="17" t="n"/>
      <c r="B138" s="10" t="n"/>
      <c r="C138" s="17" t="n"/>
      <c r="D138" s="17" t="n"/>
      <c r="E138" s="23" t="n"/>
      <c r="F138" s="24" t="n"/>
      <c r="G138" s="24" t="n"/>
      <c r="H138" s="17" t="n"/>
      <c r="I138" s="17" t="n"/>
      <c r="J138" s="17" t="n"/>
      <c r="K138" s="17" t="n"/>
      <c r="L138" s="16" t="n"/>
      <c r="M138" s="16" t="n"/>
      <c r="N138" s="16" t="n"/>
      <c r="O138" s="16" t="n"/>
      <c r="P138" s="16" t="n"/>
      <c r="Q138" s="16" t="n"/>
      <c r="R138" s="9" t="n"/>
    </row>
    <row r="139">
      <c r="A139" s="17" t="n"/>
      <c r="B139" s="10" t="n"/>
      <c r="C139" s="17" t="n"/>
      <c r="D139" s="17" t="n"/>
      <c r="E139" s="23" t="n"/>
      <c r="F139" s="24" t="n"/>
      <c r="G139" s="24" t="n"/>
      <c r="H139" s="17" t="n"/>
      <c r="I139" s="17" t="n"/>
      <c r="J139" s="17" t="n"/>
      <c r="K139" s="17" t="n"/>
      <c r="L139" s="16" t="n"/>
      <c r="M139" s="16" t="n"/>
      <c r="N139" s="16" t="n"/>
      <c r="O139" s="16" t="n"/>
      <c r="P139" s="16" t="n"/>
      <c r="Q139" s="16" t="n"/>
      <c r="R139" s="9" t="n"/>
    </row>
    <row r="140">
      <c r="A140" s="17" t="n"/>
      <c r="B140" s="10" t="n"/>
      <c r="C140" s="17" t="n"/>
      <c r="D140" s="17" t="n"/>
      <c r="E140" s="23" t="n"/>
      <c r="F140" s="24" t="n"/>
      <c r="G140" s="24" t="n"/>
      <c r="H140" s="17" t="n"/>
      <c r="I140" s="17" t="n"/>
      <c r="J140" s="17" t="n"/>
      <c r="K140" s="17" t="n"/>
      <c r="L140" s="16" t="n"/>
      <c r="M140" s="16" t="n"/>
      <c r="N140" s="16" t="n"/>
      <c r="O140" s="16" t="n"/>
      <c r="P140" s="16" t="n"/>
      <c r="Q140" s="16" t="n"/>
      <c r="R140" s="9" t="n"/>
    </row>
    <row r="141">
      <c r="A141" s="17" t="n"/>
      <c r="B141" s="10" t="n"/>
      <c r="C141" s="17" t="n"/>
      <c r="D141" s="17" t="n"/>
      <c r="E141" s="23" t="n"/>
      <c r="F141" s="24" t="n"/>
      <c r="G141" s="24" t="n"/>
      <c r="H141" s="17" t="n"/>
      <c r="I141" s="17" t="n"/>
      <c r="J141" s="17" t="n"/>
      <c r="K141" s="17" t="n"/>
      <c r="L141" s="16" t="n"/>
      <c r="M141" s="16" t="n"/>
      <c r="N141" s="16" t="n"/>
      <c r="O141" s="16" t="n"/>
      <c r="P141" s="16" t="n"/>
      <c r="Q141" s="16" t="n"/>
      <c r="R141" s="9" t="n"/>
    </row>
    <row r="142">
      <c r="A142" s="17" t="n"/>
      <c r="B142" s="10" t="n"/>
      <c r="C142" s="17" t="n"/>
      <c r="D142" s="17" t="n"/>
      <c r="E142" s="23" t="n"/>
      <c r="F142" s="24" t="n"/>
      <c r="G142" s="24" t="n"/>
      <c r="H142" s="17" t="n"/>
      <c r="I142" s="17" t="n"/>
      <c r="J142" s="17" t="n"/>
      <c r="K142" s="17" t="n"/>
      <c r="L142" s="16" t="n"/>
      <c r="M142" s="16" t="n"/>
      <c r="N142" s="16" t="n"/>
      <c r="O142" s="16" t="n"/>
      <c r="P142" s="16" t="n"/>
      <c r="Q142" s="16" t="n"/>
      <c r="R142" s="9" t="n"/>
    </row>
    <row r="143">
      <c r="A143" s="17" t="n"/>
      <c r="B143" s="10" t="n"/>
      <c r="C143" s="17" t="n"/>
      <c r="D143" s="17" t="n"/>
      <c r="E143" s="23" t="n"/>
      <c r="F143" s="24" t="n"/>
      <c r="G143" s="24" t="n"/>
      <c r="H143" s="17" t="n"/>
      <c r="I143" s="17" t="n"/>
      <c r="J143" s="17" t="n"/>
      <c r="K143" s="17" t="n"/>
      <c r="L143" s="16" t="n"/>
      <c r="M143" s="16" t="n"/>
      <c r="N143" s="16" t="n"/>
      <c r="O143" s="16" t="n"/>
      <c r="P143" s="16" t="n"/>
      <c r="Q143" s="16" t="n"/>
      <c r="R143" s="9" t="n"/>
    </row>
    <row r="144">
      <c r="A144" s="17" t="n"/>
      <c r="B144" s="10" t="n"/>
      <c r="C144" s="17" t="n"/>
      <c r="D144" s="17" t="n"/>
      <c r="E144" s="23" t="n"/>
      <c r="F144" s="24" t="n"/>
      <c r="G144" s="24" t="n"/>
      <c r="H144" s="17" t="n"/>
      <c r="I144" s="17" t="n"/>
      <c r="J144" s="17" t="n"/>
      <c r="K144" s="17" t="n"/>
      <c r="L144" s="16" t="n"/>
      <c r="M144" s="16" t="n"/>
      <c r="N144" s="16" t="n"/>
      <c r="O144" s="16" t="n"/>
      <c r="P144" s="16" t="n"/>
      <c r="Q144" s="16" t="n"/>
      <c r="R144" s="9" t="n"/>
    </row>
    <row r="145">
      <c r="A145" s="17" t="n"/>
      <c r="B145" s="10" t="n"/>
      <c r="C145" s="17" t="n"/>
      <c r="D145" s="17" t="n"/>
      <c r="E145" s="23" t="n"/>
      <c r="F145" s="24" t="n"/>
      <c r="G145" s="24" t="n"/>
      <c r="H145" s="17" t="n"/>
      <c r="I145" s="17" t="n"/>
      <c r="J145" s="17" t="n"/>
      <c r="K145" s="17" t="n"/>
      <c r="L145" s="16" t="n"/>
      <c r="M145" s="16" t="n"/>
      <c r="N145" s="16" t="n"/>
      <c r="O145" s="16" t="n"/>
      <c r="P145" s="16" t="n"/>
      <c r="Q145" s="16" t="n"/>
      <c r="R145" s="9" t="n"/>
    </row>
    <row r="146">
      <c r="A146" s="17" t="n"/>
      <c r="B146" s="10" t="n"/>
      <c r="C146" s="17" t="n"/>
      <c r="D146" s="17" t="n"/>
      <c r="E146" s="23" t="n"/>
      <c r="F146" s="24" t="n"/>
      <c r="G146" s="24" t="n"/>
      <c r="H146" s="17" t="n"/>
      <c r="I146" s="17" t="n"/>
      <c r="J146" s="17" t="n"/>
      <c r="K146" s="17" t="n"/>
      <c r="L146" s="16" t="n"/>
      <c r="M146" s="16" t="n"/>
      <c r="N146" s="16" t="n"/>
      <c r="O146" s="16" t="n"/>
      <c r="P146" s="16" t="n"/>
      <c r="Q146" s="16" t="n"/>
      <c r="R146" s="9" t="n"/>
    </row>
    <row r="147">
      <c r="A147" s="17" t="n"/>
      <c r="B147" s="10" t="n"/>
      <c r="C147" s="17" t="n"/>
      <c r="D147" s="17" t="n"/>
      <c r="E147" s="23" t="n"/>
      <c r="F147" s="24" t="n"/>
      <c r="G147" s="24" t="n"/>
      <c r="H147" s="17" t="n"/>
      <c r="I147" s="17" t="n"/>
      <c r="J147" s="17" t="n"/>
      <c r="K147" s="17" t="n"/>
      <c r="L147" s="16" t="n"/>
      <c r="M147" s="16" t="n"/>
      <c r="N147" s="16" t="n"/>
      <c r="O147" s="16" t="n"/>
      <c r="P147" s="16" t="n"/>
      <c r="Q147" s="16" t="n"/>
      <c r="R147" s="9" t="n"/>
    </row>
    <row r="148">
      <c r="A148" s="17" t="n"/>
      <c r="B148" s="10" t="n"/>
      <c r="C148" s="17" t="n"/>
      <c r="D148" s="17" t="n"/>
      <c r="E148" s="23" t="n"/>
      <c r="F148" s="24" t="n"/>
      <c r="G148" s="24" t="n"/>
      <c r="H148" s="17" t="n"/>
      <c r="I148" s="17" t="n"/>
      <c r="J148" s="17" t="n"/>
      <c r="K148" s="17" t="n"/>
      <c r="L148" s="16" t="n"/>
      <c r="M148" s="16" t="n"/>
      <c r="N148" s="16" t="n"/>
      <c r="O148" s="16" t="n"/>
      <c r="P148" s="16" t="n"/>
      <c r="Q148" s="16" t="n"/>
      <c r="R148" s="9" t="n"/>
    </row>
    <row r="149">
      <c r="A149" s="17" t="n"/>
      <c r="B149" s="10" t="n"/>
      <c r="C149" s="17" t="n"/>
      <c r="D149" s="17" t="n"/>
      <c r="E149" s="23" t="n"/>
      <c r="F149" s="24" t="n"/>
      <c r="G149" s="24" t="n"/>
      <c r="H149" s="17" t="n"/>
      <c r="I149" s="17" t="n"/>
      <c r="J149" s="17" t="n"/>
      <c r="K149" s="17" t="n"/>
      <c r="L149" s="16" t="n"/>
      <c r="M149" s="16" t="n"/>
      <c r="N149" s="16" t="n"/>
      <c r="O149" s="16" t="n"/>
      <c r="P149" s="16" t="n"/>
      <c r="Q149" s="16" t="n"/>
      <c r="R149" s="9" t="n"/>
    </row>
    <row r="150">
      <c r="A150" s="17" t="n"/>
      <c r="B150" s="10" t="n"/>
      <c r="C150" s="17" t="n"/>
      <c r="D150" s="17" t="n"/>
      <c r="E150" s="23" t="n"/>
      <c r="F150" s="24" t="n"/>
      <c r="G150" s="24" t="n"/>
      <c r="H150" s="17" t="n"/>
      <c r="I150" s="17" t="n"/>
      <c r="J150" s="17" t="n"/>
      <c r="K150" s="17" t="n"/>
      <c r="L150" s="16" t="n"/>
      <c r="M150" s="16" t="n"/>
      <c r="N150" s="16" t="n"/>
      <c r="O150" s="16" t="n"/>
      <c r="P150" s="16" t="n"/>
      <c r="Q150" s="16" t="n"/>
      <c r="R150" s="9" t="n"/>
    </row>
    <row r="151">
      <c r="A151" s="17" t="n"/>
      <c r="B151" s="10" t="n"/>
      <c r="C151" s="17" t="n"/>
      <c r="D151" s="17" t="n"/>
      <c r="E151" s="23" t="n"/>
      <c r="F151" s="24" t="n"/>
      <c r="G151" s="24" t="n"/>
      <c r="H151" s="17" t="n"/>
      <c r="I151" s="17" t="n"/>
      <c r="J151" s="17" t="n"/>
      <c r="K151" s="17" t="n"/>
      <c r="L151" s="16" t="n"/>
      <c r="M151" s="16" t="n"/>
      <c r="N151" s="16" t="n"/>
      <c r="O151" s="16" t="n"/>
      <c r="P151" s="16" t="n"/>
      <c r="Q151" s="16" t="n"/>
      <c r="R151" s="9" t="n"/>
    </row>
    <row r="152">
      <c r="A152" s="17" t="n"/>
      <c r="B152" s="10" t="n"/>
      <c r="C152" s="17" t="n"/>
      <c r="D152" s="17" t="n"/>
      <c r="E152" s="23" t="n"/>
      <c r="F152" s="24" t="n"/>
      <c r="G152" s="24" t="n"/>
      <c r="H152" s="17" t="n"/>
      <c r="I152" s="17" t="n"/>
      <c r="J152" s="17" t="n"/>
      <c r="K152" s="17" t="n"/>
      <c r="L152" s="16" t="n"/>
      <c r="M152" s="16" t="n"/>
      <c r="N152" s="16" t="n"/>
      <c r="O152" s="16" t="n"/>
      <c r="P152" s="16" t="n"/>
      <c r="Q152" s="16" t="n"/>
      <c r="R152" s="9" t="n"/>
    </row>
    <row r="153">
      <c r="A153" s="17" t="n"/>
      <c r="B153" s="10" t="n"/>
      <c r="C153" s="17" t="n"/>
      <c r="D153" s="17" t="n"/>
      <c r="E153" s="23" t="n"/>
      <c r="F153" s="24" t="n"/>
      <c r="G153" s="24" t="n"/>
      <c r="H153" s="17" t="n"/>
      <c r="I153" s="17" t="n"/>
      <c r="J153" s="17" t="n"/>
      <c r="K153" s="17" t="n"/>
      <c r="L153" s="16" t="n"/>
      <c r="M153" s="16" t="n"/>
      <c r="N153" s="16" t="n"/>
      <c r="O153" s="16" t="n"/>
      <c r="P153" s="16" t="n"/>
      <c r="Q153" s="16" t="n"/>
      <c r="R153" s="9" t="n"/>
    </row>
    <row r="154">
      <c r="A154" s="17" t="n"/>
      <c r="B154" s="10" t="n"/>
      <c r="C154" s="17" t="n"/>
      <c r="D154" s="17" t="n"/>
      <c r="E154" s="23" t="n"/>
      <c r="F154" s="24" t="n"/>
      <c r="G154" s="24" t="n"/>
      <c r="H154" s="17" t="n"/>
      <c r="I154" s="17" t="n"/>
      <c r="J154" s="17" t="n"/>
      <c r="K154" s="17" t="n"/>
      <c r="L154" s="16" t="n"/>
      <c r="M154" s="16" t="n"/>
      <c r="N154" s="16" t="n"/>
      <c r="O154" s="16" t="n"/>
      <c r="P154" s="16" t="n"/>
      <c r="Q154" s="16" t="n"/>
      <c r="R154" s="9" t="n"/>
    </row>
    <row r="155">
      <c r="A155" s="17" t="n"/>
      <c r="B155" s="10" t="n"/>
      <c r="C155" s="17" t="n"/>
      <c r="D155" s="17" t="n"/>
      <c r="E155" s="23" t="n"/>
      <c r="F155" s="24" t="n"/>
      <c r="G155" s="24" t="n"/>
      <c r="H155" s="17" t="n"/>
      <c r="I155" s="17" t="n"/>
      <c r="J155" s="17" t="n"/>
      <c r="K155" s="17" t="n"/>
      <c r="L155" s="16" t="n"/>
      <c r="M155" s="16" t="n"/>
      <c r="N155" s="16" t="n"/>
      <c r="O155" s="16" t="n"/>
      <c r="P155" s="16" t="n"/>
      <c r="Q155" s="16" t="n"/>
      <c r="R155" s="9" t="n"/>
    </row>
    <row r="156">
      <c r="A156" s="17" t="n"/>
      <c r="B156" s="10" t="n"/>
      <c r="C156" s="17" t="n"/>
      <c r="D156" s="17" t="n"/>
      <c r="E156" s="23" t="n"/>
      <c r="F156" s="24" t="n"/>
      <c r="G156" s="24" t="n"/>
      <c r="H156" s="17" t="n"/>
      <c r="I156" s="17" t="n"/>
      <c r="J156" s="17" t="n"/>
      <c r="K156" s="17" t="n"/>
      <c r="L156" s="16" t="n"/>
      <c r="M156" s="16" t="n"/>
      <c r="N156" s="16" t="n"/>
      <c r="O156" s="16" t="n"/>
      <c r="P156" s="16" t="n"/>
      <c r="Q156" s="16" t="n"/>
      <c r="R156" s="9" t="n"/>
    </row>
    <row r="157">
      <c r="A157" s="17" t="n"/>
      <c r="B157" s="10" t="n"/>
      <c r="C157" s="17" t="n"/>
      <c r="D157" s="17" t="n"/>
      <c r="E157" s="23" t="n"/>
      <c r="F157" s="24" t="n"/>
      <c r="G157" s="24" t="n"/>
      <c r="H157" s="17" t="n"/>
      <c r="I157" s="17" t="n"/>
      <c r="J157" s="17" t="n"/>
      <c r="K157" s="17" t="n"/>
      <c r="L157" s="16" t="n"/>
      <c r="M157" s="16" t="n"/>
      <c r="N157" s="16" t="n"/>
      <c r="O157" s="16" t="n"/>
      <c r="P157" s="16" t="n"/>
      <c r="Q157" s="16" t="n"/>
      <c r="R157" s="9" t="n"/>
    </row>
    <row r="158">
      <c r="A158" s="17" t="n"/>
      <c r="B158" s="10" t="n"/>
      <c r="C158" s="17" t="n"/>
      <c r="D158" s="17" t="n"/>
      <c r="E158" s="23" t="n"/>
      <c r="F158" s="24" t="n"/>
      <c r="G158" s="24" t="n"/>
      <c r="H158" s="17" t="n"/>
      <c r="I158" s="17" t="n"/>
      <c r="J158" s="17" t="n"/>
      <c r="K158" s="17" t="n"/>
      <c r="L158" s="16" t="n"/>
      <c r="M158" s="16" t="n"/>
      <c r="N158" s="16" t="n"/>
      <c r="O158" s="16" t="n"/>
      <c r="P158" s="16" t="n"/>
      <c r="Q158" s="16" t="n"/>
      <c r="R158" s="9" t="n"/>
    </row>
    <row r="159">
      <c r="A159" s="17" t="n"/>
      <c r="B159" s="10" t="n"/>
      <c r="C159" s="17" t="n"/>
      <c r="D159" s="17" t="n"/>
      <c r="E159" s="23" t="n"/>
      <c r="F159" s="24" t="n"/>
      <c r="G159" s="24" t="n"/>
      <c r="H159" s="17" t="n"/>
      <c r="I159" s="17" t="n"/>
      <c r="J159" s="17" t="n"/>
      <c r="K159" s="17" t="n"/>
      <c r="L159" s="16" t="n"/>
      <c r="M159" s="16" t="n"/>
      <c r="N159" s="16" t="n"/>
      <c r="O159" s="16" t="n"/>
      <c r="P159" s="16" t="n"/>
      <c r="Q159" s="16" t="n"/>
      <c r="R159" s="9" t="n"/>
    </row>
    <row r="160">
      <c r="A160" s="17" t="n"/>
      <c r="B160" s="10" t="n"/>
      <c r="C160" s="17" t="n"/>
      <c r="D160" s="17" t="n"/>
      <c r="E160" s="23" t="n"/>
      <c r="F160" s="24" t="n"/>
      <c r="G160" s="24" t="n"/>
      <c r="H160" s="17" t="n"/>
      <c r="I160" s="17" t="n"/>
      <c r="J160" s="17" t="n"/>
      <c r="K160" s="17" t="n"/>
      <c r="L160" s="16" t="n"/>
      <c r="M160" s="16" t="n"/>
      <c r="N160" s="16" t="n"/>
      <c r="O160" s="16" t="n"/>
      <c r="P160" s="16" t="n"/>
      <c r="Q160" s="16" t="n"/>
      <c r="R160" s="9" t="n"/>
    </row>
    <row r="161">
      <c r="A161" s="17" t="n"/>
      <c r="B161" s="10" t="n"/>
      <c r="C161" s="17" t="n"/>
      <c r="D161" s="17" t="n"/>
      <c r="E161" s="23" t="n"/>
      <c r="F161" s="24" t="n"/>
      <c r="G161" s="24" t="n"/>
      <c r="H161" s="17" t="n"/>
      <c r="I161" s="17" t="n"/>
      <c r="J161" s="17" t="n"/>
      <c r="K161" s="17" t="n"/>
      <c r="L161" s="16" t="n"/>
      <c r="M161" s="16" t="n"/>
      <c r="N161" s="16" t="n"/>
      <c r="O161" s="16" t="n"/>
      <c r="P161" s="16" t="n"/>
      <c r="Q161" s="16" t="n"/>
      <c r="R161" s="9" t="n"/>
    </row>
    <row r="162">
      <c r="A162" s="17" t="n"/>
      <c r="B162" s="10" t="n"/>
      <c r="C162" s="17" t="n"/>
      <c r="D162" s="17" t="n"/>
      <c r="E162" s="23" t="n"/>
      <c r="F162" s="24" t="n"/>
      <c r="G162" s="24" t="n"/>
      <c r="H162" s="17" t="n"/>
      <c r="I162" s="17" t="n"/>
      <c r="J162" s="17" t="n"/>
      <c r="K162" s="17" t="n"/>
      <c r="L162" s="16" t="n"/>
      <c r="M162" s="16" t="n"/>
      <c r="N162" s="16" t="n"/>
      <c r="O162" s="16" t="n"/>
      <c r="P162" s="16" t="n"/>
      <c r="Q162" s="16" t="n"/>
      <c r="R162" s="9" t="n"/>
    </row>
    <row r="163">
      <c r="A163" s="17" t="n"/>
      <c r="B163" s="10" t="n"/>
      <c r="C163" s="17" t="n"/>
      <c r="D163" s="17" t="n"/>
      <c r="E163" s="23" t="n"/>
      <c r="F163" s="24" t="n"/>
      <c r="G163" s="24" t="n"/>
      <c r="H163" s="17" t="n"/>
      <c r="I163" s="17" t="n"/>
      <c r="J163" s="17" t="n"/>
      <c r="K163" s="17" t="n"/>
      <c r="L163" s="16" t="n"/>
      <c r="M163" s="16" t="n"/>
      <c r="N163" s="16" t="n"/>
      <c r="O163" s="16" t="n"/>
      <c r="P163" s="16" t="n"/>
      <c r="Q163" s="16" t="n"/>
      <c r="R163" s="9" t="n"/>
    </row>
    <row r="164">
      <c r="A164" s="17" t="n"/>
      <c r="B164" s="10" t="n"/>
      <c r="C164" s="17" t="n"/>
      <c r="D164" s="17" t="n"/>
      <c r="E164" s="23" t="n"/>
      <c r="F164" s="24" t="n"/>
      <c r="G164" s="24" t="n"/>
      <c r="H164" s="17" t="n"/>
      <c r="I164" s="17" t="n"/>
      <c r="J164" s="17" t="n"/>
      <c r="K164" s="17" t="n"/>
      <c r="L164" s="16" t="n"/>
      <c r="M164" s="16" t="n"/>
      <c r="N164" s="16" t="n"/>
      <c r="O164" s="16" t="n"/>
      <c r="P164" s="16" t="n"/>
      <c r="Q164" s="16" t="n"/>
      <c r="R164" s="9" t="n"/>
    </row>
    <row r="165">
      <c r="A165" s="17" t="n"/>
      <c r="B165" s="10" t="n"/>
      <c r="C165" s="17" t="n"/>
      <c r="D165" s="17" t="n"/>
      <c r="E165" s="23" t="n"/>
      <c r="F165" s="24" t="n"/>
      <c r="G165" s="24" t="n"/>
      <c r="H165" s="17" t="n"/>
      <c r="I165" s="17" t="n"/>
      <c r="J165" s="17" t="n"/>
      <c r="K165" s="17" t="n"/>
      <c r="L165" s="16" t="n"/>
      <c r="M165" s="16" t="n"/>
      <c r="N165" s="16" t="n"/>
      <c r="O165" s="16" t="n"/>
      <c r="P165" s="16" t="n"/>
      <c r="Q165" s="16" t="n"/>
      <c r="R165" s="9" t="n"/>
    </row>
    <row r="166">
      <c r="A166" s="17" t="n"/>
      <c r="B166" s="10" t="n"/>
      <c r="C166" s="17" t="n"/>
      <c r="D166" s="17" t="n"/>
      <c r="E166" s="23" t="n"/>
      <c r="F166" s="24" t="n"/>
      <c r="G166" s="24" t="n"/>
      <c r="H166" s="17" t="n"/>
      <c r="I166" s="17" t="n"/>
      <c r="J166" s="17" t="n"/>
      <c r="K166" s="17" t="n"/>
      <c r="L166" s="16" t="n"/>
      <c r="M166" s="16" t="n"/>
      <c r="N166" s="16" t="n"/>
      <c r="O166" s="16" t="n"/>
      <c r="P166" s="16" t="n"/>
      <c r="Q166" s="16" t="n"/>
      <c r="R166" s="9" t="n"/>
    </row>
    <row r="167">
      <c r="A167" s="17" t="n"/>
      <c r="B167" s="10" t="n"/>
      <c r="C167" s="17" t="n"/>
      <c r="D167" s="17" t="n"/>
      <c r="E167" s="23" t="n"/>
      <c r="F167" s="24" t="n"/>
      <c r="G167" s="24" t="n"/>
      <c r="H167" s="17" t="n"/>
      <c r="I167" s="17" t="n"/>
      <c r="J167" s="17" t="n"/>
      <c r="K167" s="17" t="n"/>
      <c r="L167" s="16" t="n"/>
      <c r="M167" s="16" t="n"/>
      <c r="N167" s="16" t="n"/>
      <c r="O167" s="16" t="n"/>
      <c r="P167" s="16" t="n"/>
      <c r="Q167" s="16" t="n"/>
      <c r="R167" s="9" t="n"/>
    </row>
    <row r="168">
      <c r="A168" s="17" t="n"/>
      <c r="B168" s="10" t="n"/>
      <c r="C168" s="17" t="n"/>
      <c r="D168" s="17" t="n"/>
      <c r="E168" s="23" t="n"/>
      <c r="F168" s="24" t="n"/>
      <c r="G168" s="24" t="n"/>
      <c r="H168" s="17" t="n"/>
      <c r="I168" s="17" t="n"/>
      <c r="J168" s="17" t="n"/>
      <c r="K168" s="17" t="n"/>
      <c r="L168" s="16" t="n"/>
      <c r="M168" s="16" t="n"/>
      <c r="N168" s="16" t="n"/>
      <c r="O168" s="16" t="n"/>
      <c r="P168" s="16" t="n"/>
      <c r="Q168" s="16" t="n"/>
      <c r="R168" s="9" t="n"/>
    </row>
    <row r="169">
      <c r="A169" s="17" t="n"/>
      <c r="B169" s="10" t="n"/>
      <c r="C169" s="17" t="n"/>
      <c r="D169" s="17" t="n"/>
      <c r="E169" s="23" t="n"/>
      <c r="F169" s="24" t="n"/>
      <c r="G169" s="24" t="n"/>
      <c r="H169" s="17" t="n"/>
      <c r="I169" s="17" t="n"/>
      <c r="J169" s="17" t="n"/>
      <c r="K169" s="17" t="n"/>
      <c r="L169" s="16" t="n"/>
      <c r="M169" s="16" t="n"/>
      <c r="N169" s="16" t="n"/>
      <c r="O169" s="16" t="n"/>
      <c r="P169" s="16" t="n"/>
      <c r="Q169" s="16" t="n"/>
      <c r="R169" s="9" t="n"/>
    </row>
    <row r="170">
      <c r="A170" s="17" t="n"/>
      <c r="B170" s="10" t="n"/>
      <c r="C170" s="17" t="n"/>
      <c r="D170" s="17" t="n"/>
      <c r="E170" s="23" t="n"/>
      <c r="F170" s="24" t="n"/>
      <c r="G170" s="24" t="n"/>
      <c r="H170" s="17" t="n"/>
      <c r="I170" s="17" t="n"/>
      <c r="J170" s="17" t="n"/>
      <c r="K170" s="17" t="n"/>
      <c r="L170" s="16" t="n"/>
      <c r="M170" s="16" t="n"/>
      <c r="N170" s="16" t="n"/>
      <c r="O170" s="16" t="n"/>
      <c r="P170" s="16" t="n"/>
      <c r="Q170" s="16" t="n"/>
      <c r="R170" s="9" t="n"/>
    </row>
    <row r="171">
      <c r="A171" s="17" t="n"/>
      <c r="B171" s="10" t="n"/>
      <c r="C171" s="17" t="n"/>
      <c r="D171" s="17" t="n"/>
      <c r="E171" s="23" t="n"/>
      <c r="F171" s="24" t="n"/>
      <c r="G171" s="24" t="n"/>
      <c r="H171" s="17" t="n"/>
      <c r="I171" s="17" t="n"/>
      <c r="J171" s="17" t="n"/>
      <c r="K171" s="17" t="n"/>
      <c r="L171" s="16" t="n"/>
      <c r="M171" s="16" t="n"/>
      <c r="N171" s="16" t="n"/>
      <c r="O171" s="16" t="n"/>
      <c r="P171" s="16" t="n"/>
      <c r="Q171" s="16" t="n"/>
      <c r="R171" s="9" t="n"/>
    </row>
    <row r="172">
      <c r="A172" s="17" t="n"/>
      <c r="B172" s="10" t="n"/>
      <c r="C172" s="17" t="n"/>
      <c r="D172" s="17" t="n"/>
      <c r="E172" s="23" t="n"/>
      <c r="F172" s="24" t="n"/>
      <c r="G172" s="24" t="n"/>
      <c r="H172" s="17" t="n"/>
      <c r="I172" s="17" t="n"/>
      <c r="J172" s="17" t="n"/>
      <c r="K172" s="17" t="n"/>
      <c r="L172" s="16" t="n"/>
      <c r="M172" s="16" t="n"/>
      <c r="N172" s="16" t="n"/>
      <c r="O172" s="16" t="n"/>
      <c r="P172" s="16" t="n"/>
      <c r="Q172" s="16" t="n"/>
      <c r="R172" s="9" t="n"/>
    </row>
    <row r="173">
      <c r="A173" s="17" t="n"/>
      <c r="B173" s="10" t="n"/>
      <c r="C173" s="17" t="n"/>
      <c r="D173" s="17" t="n"/>
      <c r="E173" s="23" t="n"/>
      <c r="F173" s="24" t="n"/>
      <c r="G173" s="24" t="n"/>
      <c r="H173" s="17" t="n"/>
      <c r="I173" s="17" t="n"/>
      <c r="J173" s="17" t="n"/>
      <c r="K173" s="17" t="n"/>
      <c r="L173" s="16" t="n"/>
      <c r="M173" s="16" t="n"/>
      <c r="N173" s="16" t="n"/>
      <c r="O173" s="16" t="n"/>
      <c r="P173" s="16" t="n"/>
      <c r="Q173" s="16" t="n"/>
      <c r="R173" s="9" t="n"/>
    </row>
    <row r="174">
      <c r="A174" s="17" t="n"/>
      <c r="B174" s="10" t="n"/>
      <c r="C174" s="17" t="n"/>
      <c r="D174" s="17" t="n"/>
      <c r="E174" s="23" t="n"/>
      <c r="F174" s="24" t="n"/>
      <c r="G174" s="24" t="n"/>
      <c r="H174" s="17" t="n"/>
      <c r="I174" s="17" t="n"/>
      <c r="J174" s="17" t="n"/>
      <c r="K174" s="17" t="n"/>
      <c r="L174" s="16" t="n"/>
      <c r="M174" s="16" t="n"/>
      <c r="N174" s="16" t="n"/>
      <c r="O174" s="16" t="n"/>
      <c r="P174" s="16" t="n"/>
      <c r="Q174" s="16" t="n"/>
      <c r="R174" s="9" t="n"/>
    </row>
    <row r="175">
      <c r="A175" s="17" t="n"/>
      <c r="B175" s="10" t="n"/>
      <c r="C175" s="17" t="n"/>
      <c r="D175" s="17" t="n"/>
      <c r="E175" s="23" t="n"/>
      <c r="F175" s="24" t="n"/>
      <c r="G175" s="24" t="n"/>
      <c r="H175" s="17" t="n"/>
      <c r="I175" s="17" t="n"/>
      <c r="J175" s="17" t="n"/>
      <c r="K175" s="17" t="n"/>
      <c r="L175" s="16" t="n"/>
      <c r="M175" s="16" t="n"/>
      <c r="N175" s="16" t="n"/>
      <c r="O175" s="16" t="n"/>
      <c r="P175" s="16" t="n"/>
      <c r="Q175" s="16" t="n"/>
      <c r="R175" s="9" t="n"/>
    </row>
    <row r="176">
      <c r="A176" s="17" t="n"/>
      <c r="B176" s="10" t="n"/>
      <c r="C176" s="17" t="n"/>
      <c r="D176" s="17" t="n"/>
      <c r="E176" s="23" t="n"/>
      <c r="F176" s="24" t="n"/>
      <c r="G176" s="24" t="n"/>
      <c r="H176" s="17" t="n"/>
      <c r="I176" s="17" t="n"/>
      <c r="J176" s="17" t="n"/>
      <c r="K176" s="17" t="n"/>
      <c r="L176" s="16" t="n"/>
      <c r="M176" s="16" t="n"/>
      <c r="N176" s="16" t="n"/>
      <c r="O176" s="16" t="n"/>
      <c r="P176" s="16" t="n"/>
      <c r="Q176" s="16" t="n"/>
      <c r="R176" s="9" t="n"/>
    </row>
    <row r="177">
      <c r="A177" s="17" t="n"/>
      <c r="B177" s="10" t="n"/>
      <c r="C177" s="17" t="n"/>
      <c r="D177" s="17" t="n"/>
      <c r="E177" s="23" t="n"/>
      <c r="F177" s="24" t="n"/>
      <c r="G177" s="24" t="n"/>
      <c r="H177" s="17" t="n"/>
      <c r="I177" s="17" t="n"/>
      <c r="J177" s="17" t="n"/>
      <c r="K177" s="17" t="n"/>
      <c r="L177" s="16" t="n"/>
      <c r="M177" s="16" t="n"/>
      <c r="N177" s="16" t="n"/>
      <c r="O177" s="16" t="n"/>
      <c r="P177" s="16" t="n"/>
      <c r="Q177" s="16" t="n"/>
      <c r="R177" s="9" t="n"/>
    </row>
    <row r="178">
      <c r="A178" s="17" t="n"/>
      <c r="B178" s="10" t="n"/>
      <c r="C178" s="17" t="n"/>
      <c r="D178" s="17" t="n"/>
      <c r="E178" s="23" t="n"/>
      <c r="F178" s="24" t="n"/>
      <c r="G178" s="24" t="n"/>
      <c r="H178" s="17" t="n"/>
      <c r="I178" s="17" t="n"/>
      <c r="J178" s="17" t="n"/>
      <c r="K178" s="17" t="n"/>
      <c r="L178" s="16" t="n"/>
      <c r="M178" s="16" t="n"/>
      <c r="N178" s="16" t="n"/>
      <c r="O178" s="16" t="n"/>
      <c r="P178" s="16" t="n"/>
      <c r="Q178" s="16" t="n"/>
      <c r="R178" s="9" t="n"/>
    </row>
    <row r="179">
      <c r="A179" s="17" t="n"/>
      <c r="B179" s="10" t="n"/>
      <c r="C179" s="17" t="n"/>
      <c r="D179" s="17" t="n"/>
      <c r="E179" s="23" t="n"/>
      <c r="F179" s="24" t="n"/>
      <c r="G179" s="24" t="n"/>
      <c r="H179" s="17" t="n"/>
      <c r="I179" s="17" t="n"/>
      <c r="J179" s="17" t="n"/>
      <c r="K179" s="17" t="n"/>
      <c r="L179" s="16" t="n"/>
      <c r="M179" s="16" t="n"/>
      <c r="N179" s="16" t="n"/>
      <c r="O179" s="16" t="n"/>
      <c r="P179" s="16" t="n"/>
      <c r="Q179" s="16" t="n"/>
      <c r="R179" s="9" t="n"/>
    </row>
    <row r="180">
      <c r="A180" s="17" t="n"/>
      <c r="B180" s="10" t="n"/>
      <c r="C180" s="17" t="n"/>
      <c r="D180" s="17" t="n"/>
      <c r="E180" s="23" t="n"/>
      <c r="F180" s="24" t="n"/>
      <c r="G180" s="24" t="n"/>
      <c r="H180" s="17" t="n"/>
      <c r="I180" s="17" t="n"/>
      <c r="J180" s="17" t="n"/>
      <c r="K180" s="17" t="n"/>
      <c r="L180" s="16" t="n"/>
      <c r="M180" s="16" t="n"/>
      <c r="N180" s="16" t="n"/>
      <c r="O180" s="16" t="n"/>
      <c r="P180" s="16" t="n"/>
      <c r="Q180" s="16" t="n"/>
      <c r="R180" s="9" t="n"/>
    </row>
    <row r="181">
      <c r="A181" s="17" t="n"/>
      <c r="B181" s="10" t="n"/>
      <c r="C181" s="17" t="n"/>
      <c r="D181" s="17" t="n"/>
      <c r="E181" s="23" t="n"/>
      <c r="F181" s="24" t="n"/>
      <c r="G181" s="24" t="n"/>
      <c r="H181" s="17" t="n"/>
      <c r="I181" s="17" t="n"/>
      <c r="J181" s="17" t="n"/>
      <c r="K181" s="17" t="n"/>
      <c r="L181" s="16" t="n"/>
      <c r="M181" s="16" t="n"/>
      <c r="N181" s="16" t="n"/>
      <c r="O181" s="16" t="n"/>
      <c r="P181" s="16" t="n"/>
      <c r="Q181" s="16" t="n"/>
      <c r="R181" s="9" t="n"/>
    </row>
    <row r="182">
      <c r="A182" s="17" t="n"/>
      <c r="B182" s="10" t="n"/>
      <c r="C182" s="17" t="n"/>
      <c r="D182" s="17" t="n"/>
      <c r="E182" s="23" t="n"/>
      <c r="F182" s="24" t="n"/>
      <c r="G182" s="24" t="n"/>
      <c r="H182" s="17" t="n"/>
      <c r="I182" s="17" t="n"/>
      <c r="J182" s="17" t="n"/>
      <c r="K182" s="17" t="n"/>
      <c r="L182" s="16" t="n"/>
      <c r="M182" s="16" t="n"/>
      <c r="N182" s="16" t="n"/>
      <c r="O182" s="16" t="n"/>
      <c r="P182" s="16" t="n"/>
      <c r="Q182" s="16" t="n"/>
      <c r="R182" s="9" t="n"/>
    </row>
    <row r="183">
      <c r="A183" s="17" t="n"/>
      <c r="B183" s="10" t="n"/>
      <c r="C183" s="17" t="n"/>
      <c r="D183" s="17" t="n"/>
      <c r="E183" s="23" t="n"/>
      <c r="F183" s="24" t="n"/>
      <c r="G183" s="24" t="n"/>
      <c r="H183" s="17" t="n"/>
      <c r="I183" s="17" t="n"/>
      <c r="J183" s="17" t="n"/>
      <c r="K183" s="17" t="n"/>
      <c r="L183" s="16" t="n"/>
      <c r="M183" s="16" t="n"/>
      <c r="N183" s="16" t="n"/>
      <c r="O183" s="16" t="n"/>
      <c r="P183" s="16" t="n"/>
      <c r="Q183" s="16" t="n"/>
      <c r="R183" s="9" t="n"/>
    </row>
    <row r="184">
      <c r="A184" s="17" t="n"/>
      <c r="B184" s="10" t="n"/>
      <c r="C184" s="17" t="n"/>
      <c r="D184" s="17" t="n"/>
      <c r="E184" s="23" t="n"/>
      <c r="F184" s="24" t="n"/>
      <c r="G184" s="24" t="n"/>
      <c r="H184" s="17" t="n"/>
      <c r="I184" s="17" t="n"/>
      <c r="J184" s="17" t="n"/>
      <c r="K184" s="17" t="n"/>
      <c r="L184" s="16" t="n"/>
      <c r="M184" s="16" t="n"/>
      <c r="N184" s="16" t="n"/>
      <c r="O184" s="16" t="n"/>
      <c r="P184" s="16" t="n"/>
      <c r="Q184" s="16" t="n"/>
      <c r="R184" s="9" t="n"/>
    </row>
    <row r="185">
      <c r="A185" s="17" t="n"/>
      <c r="B185" s="10" t="n"/>
      <c r="C185" s="17" t="n"/>
      <c r="D185" s="17" t="n"/>
      <c r="E185" s="23" t="n"/>
      <c r="F185" s="24" t="n"/>
      <c r="G185" s="24" t="n"/>
      <c r="H185" s="17" t="n"/>
      <c r="I185" s="17" t="n"/>
      <c r="J185" s="17" t="n"/>
      <c r="K185" s="17" t="n"/>
      <c r="L185" s="16" t="n"/>
      <c r="M185" s="16" t="n"/>
      <c r="N185" s="16" t="n"/>
      <c r="O185" s="16" t="n"/>
      <c r="P185" s="16" t="n"/>
      <c r="Q185" s="16" t="n"/>
      <c r="R185" s="9" t="n"/>
    </row>
    <row r="186">
      <c r="A186" s="17" t="n"/>
      <c r="B186" s="10" t="n"/>
      <c r="C186" s="17" t="n"/>
      <c r="D186" s="17" t="n"/>
      <c r="E186" s="23" t="n"/>
      <c r="F186" s="24" t="n"/>
      <c r="G186" s="24" t="n"/>
      <c r="H186" s="17" t="n"/>
      <c r="I186" s="17" t="n"/>
      <c r="J186" s="17" t="n"/>
      <c r="K186" s="17" t="n"/>
      <c r="L186" s="16" t="n"/>
      <c r="M186" s="16" t="n"/>
      <c r="N186" s="16" t="n"/>
      <c r="O186" s="16" t="n"/>
      <c r="P186" s="16" t="n"/>
      <c r="Q186" s="16" t="n"/>
      <c r="R186" s="9" t="n"/>
    </row>
    <row r="187">
      <c r="A187" s="17" t="n"/>
      <c r="B187" s="10" t="n"/>
      <c r="C187" s="17" t="n"/>
      <c r="D187" s="17" t="n"/>
      <c r="E187" s="23" t="n"/>
      <c r="F187" s="24" t="n"/>
      <c r="G187" s="24" t="n"/>
      <c r="H187" s="17" t="n"/>
      <c r="I187" s="17" t="n"/>
      <c r="J187" s="17" t="n"/>
      <c r="K187" s="17" t="n"/>
      <c r="L187" s="16" t="n"/>
      <c r="M187" s="16" t="n"/>
      <c r="N187" s="16" t="n"/>
      <c r="O187" s="16" t="n"/>
      <c r="P187" s="16" t="n"/>
      <c r="Q187" s="16" t="n"/>
      <c r="R187" s="9" t="n"/>
    </row>
    <row r="188">
      <c r="A188" s="17" t="n"/>
      <c r="B188" s="10" t="n"/>
      <c r="C188" s="17" t="n"/>
      <c r="D188" s="17" t="n"/>
      <c r="E188" s="23" t="n"/>
      <c r="F188" s="24" t="n"/>
      <c r="G188" s="24" t="n"/>
      <c r="H188" s="17" t="n"/>
      <c r="I188" s="17" t="n"/>
      <c r="J188" s="17" t="n"/>
      <c r="K188" s="17" t="n"/>
      <c r="L188" s="16" t="n"/>
      <c r="M188" s="16" t="n"/>
      <c r="N188" s="16" t="n"/>
      <c r="O188" s="16" t="n"/>
      <c r="P188" s="16" t="n"/>
      <c r="Q188" s="16" t="n"/>
      <c r="R188" s="9" t="n"/>
    </row>
    <row r="189">
      <c r="A189" s="17" t="n"/>
      <c r="B189" s="10" t="n"/>
      <c r="C189" s="17" t="n"/>
      <c r="D189" s="17" t="n"/>
      <c r="E189" s="23" t="n"/>
      <c r="F189" s="24" t="n"/>
      <c r="G189" s="24" t="n"/>
      <c r="H189" s="17" t="n"/>
      <c r="I189" s="17" t="n"/>
      <c r="J189" s="17" t="n"/>
      <c r="K189" s="17" t="n"/>
      <c r="L189" s="16" t="n"/>
      <c r="M189" s="16" t="n"/>
      <c r="N189" s="16" t="n"/>
      <c r="O189" s="16" t="n"/>
      <c r="P189" s="16" t="n"/>
      <c r="Q189" s="16" t="n"/>
      <c r="R189" s="9" t="n"/>
    </row>
    <row r="190">
      <c r="A190" s="17" t="n"/>
      <c r="B190" s="10" t="n"/>
      <c r="C190" s="17" t="n"/>
      <c r="D190" s="17" t="n"/>
      <c r="E190" s="23" t="n"/>
      <c r="F190" s="24" t="n"/>
      <c r="G190" s="24" t="n"/>
      <c r="H190" s="17" t="n"/>
      <c r="I190" s="17" t="n"/>
      <c r="J190" s="17" t="n"/>
      <c r="K190" s="17" t="n"/>
      <c r="L190" s="16" t="n"/>
      <c r="M190" s="16" t="n"/>
      <c r="N190" s="16" t="n"/>
      <c r="O190" s="16" t="n"/>
      <c r="P190" s="16" t="n"/>
      <c r="Q190" s="16" t="n"/>
      <c r="R190" s="9" t="n"/>
    </row>
    <row r="191">
      <c r="A191" s="17" t="n"/>
      <c r="B191" s="10" t="n"/>
      <c r="C191" s="17" t="n"/>
      <c r="D191" s="17" t="n"/>
      <c r="E191" s="23" t="n"/>
      <c r="F191" s="24" t="n"/>
      <c r="G191" s="24" t="n"/>
      <c r="H191" s="17" t="n"/>
      <c r="I191" s="17" t="n"/>
      <c r="J191" s="17" t="n"/>
      <c r="K191" s="17" t="n"/>
      <c r="L191" s="16" t="n"/>
      <c r="M191" s="16" t="n"/>
      <c r="N191" s="16" t="n"/>
      <c r="O191" s="16" t="n"/>
      <c r="P191" s="16" t="n"/>
      <c r="Q191" s="16" t="n"/>
      <c r="R191" s="9" t="n"/>
    </row>
    <row r="192">
      <c r="A192" s="17" t="n"/>
      <c r="B192" s="10" t="n"/>
      <c r="C192" s="17" t="n"/>
      <c r="D192" s="17" t="n"/>
      <c r="E192" s="23" t="n"/>
      <c r="F192" s="24" t="n"/>
      <c r="G192" s="24" t="n"/>
      <c r="H192" s="17" t="n"/>
      <c r="I192" s="17" t="n"/>
      <c r="J192" s="17" t="n"/>
      <c r="K192" s="17" t="n"/>
      <c r="L192" s="16" t="n"/>
      <c r="M192" s="16" t="n"/>
      <c r="N192" s="16" t="n"/>
      <c r="O192" s="16" t="n"/>
      <c r="P192" s="16" t="n"/>
      <c r="Q192" s="16" t="n"/>
      <c r="R192" s="9" t="n"/>
    </row>
    <row r="193">
      <c r="A193" s="17" t="n"/>
      <c r="B193" s="10" t="n"/>
      <c r="C193" s="17" t="n"/>
      <c r="D193" s="17" t="n"/>
      <c r="E193" s="23" t="n"/>
      <c r="F193" s="24" t="n"/>
      <c r="G193" s="24" t="n"/>
      <c r="H193" s="17" t="n"/>
      <c r="I193" s="17" t="n"/>
      <c r="J193" s="17" t="n"/>
      <c r="K193" s="17" t="n"/>
      <c r="L193" s="16" t="n"/>
      <c r="M193" s="16" t="n"/>
      <c r="N193" s="16" t="n"/>
      <c r="O193" s="16" t="n"/>
      <c r="P193" s="16" t="n"/>
      <c r="Q193" s="16" t="n"/>
      <c r="R193" s="9" t="n"/>
    </row>
    <row r="194">
      <c r="A194" s="17" t="n"/>
      <c r="B194" s="10" t="n"/>
      <c r="C194" s="17" t="n"/>
      <c r="D194" s="17" t="n"/>
      <c r="E194" s="23" t="n"/>
      <c r="F194" s="24" t="n"/>
      <c r="G194" s="24" t="n"/>
      <c r="H194" s="17" t="n"/>
      <c r="I194" s="17" t="n"/>
      <c r="J194" s="17" t="n"/>
      <c r="K194" s="17" t="n"/>
      <c r="L194" s="16" t="n"/>
      <c r="M194" s="16" t="n"/>
      <c r="N194" s="16" t="n"/>
      <c r="O194" s="16" t="n"/>
      <c r="P194" s="16" t="n"/>
      <c r="Q194" s="16" t="n"/>
      <c r="R194" s="9" t="n"/>
    </row>
    <row r="195">
      <c r="A195" s="17" t="n"/>
      <c r="B195" s="10" t="n"/>
      <c r="C195" s="17" t="n"/>
      <c r="D195" s="17" t="n"/>
      <c r="E195" s="23" t="n"/>
      <c r="F195" s="24" t="n"/>
      <c r="G195" s="24" t="n"/>
      <c r="H195" s="17" t="n"/>
      <c r="I195" s="17" t="n"/>
      <c r="J195" s="17" t="n"/>
      <c r="K195" s="17" t="n"/>
      <c r="L195" s="16" t="n"/>
      <c r="M195" s="16" t="n"/>
      <c r="N195" s="16" t="n"/>
      <c r="O195" s="16" t="n"/>
      <c r="P195" s="16" t="n"/>
      <c r="Q195" s="16" t="n"/>
      <c r="R195" s="9" t="n"/>
    </row>
    <row r="196">
      <c r="A196" s="17" t="n"/>
      <c r="B196" s="10" t="n"/>
      <c r="C196" s="17" t="n"/>
      <c r="D196" s="17" t="n"/>
      <c r="E196" s="23" t="n"/>
      <c r="F196" s="24" t="n"/>
      <c r="G196" s="24" t="n"/>
      <c r="H196" s="17" t="n"/>
      <c r="I196" s="17" t="n"/>
      <c r="J196" s="17" t="n"/>
      <c r="K196" s="17" t="n"/>
      <c r="L196" s="16" t="n"/>
      <c r="M196" s="16" t="n"/>
      <c r="N196" s="16" t="n"/>
      <c r="O196" s="16" t="n"/>
      <c r="P196" s="16" t="n"/>
      <c r="Q196" s="16" t="n"/>
      <c r="R196" s="9" t="n"/>
    </row>
    <row r="197">
      <c r="A197" s="17" t="n"/>
      <c r="B197" s="10" t="n"/>
      <c r="C197" s="17" t="n"/>
      <c r="D197" s="17" t="n"/>
      <c r="E197" s="23" t="n"/>
      <c r="F197" s="24" t="n"/>
      <c r="G197" s="24" t="n"/>
      <c r="H197" s="17" t="n"/>
      <c r="I197" s="17" t="n"/>
      <c r="J197" s="17" t="n"/>
      <c r="K197" s="17" t="n"/>
      <c r="L197" s="16" t="n"/>
      <c r="M197" s="16" t="n"/>
      <c r="N197" s="16" t="n"/>
      <c r="O197" s="16" t="n"/>
      <c r="P197" s="16" t="n"/>
      <c r="Q197" s="16" t="n"/>
      <c r="R197" s="9" t="n"/>
    </row>
    <row r="198">
      <c r="A198" s="17" t="n"/>
      <c r="B198" s="10" t="n"/>
      <c r="C198" s="17" t="n"/>
      <c r="D198" s="17" t="n"/>
      <c r="E198" s="23" t="n"/>
      <c r="F198" s="24" t="n"/>
      <c r="G198" s="24" t="n"/>
      <c r="H198" s="17" t="n"/>
      <c r="I198" s="17" t="n"/>
      <c r="J198" s="17" t="n"/>
      <c r="K198" s="17" t="n"/>
      <c r="L198" s="16" t="n"/>
      <c r="M198" s="16" t="n"/>
      <c r="N198" s="16" t="n"/>
      <c r="O198" s="16" t="n"/>
      <c r="P198" s="16" t="n"/>
      <c r="Q198" s="16" t="n"/>
      <c r="R198" s="9" t="n"/>
    </row>
    <row r="199">
      <c r="A199" s="17" t="n"/>
      <c r="B199" s="10" t="n"/>
      <c r="C199" s="17" t="n"/>
      <c r="D199" s="17" t="n"/>
      <c r="E199" s="23" t="n"/>
      <c r="F199" s="24" t="n"/>
      <c r="G199" s="24" t="n"/>
      <c r="H199" s="17" t="n"/>
      <c r="I199" s="17" t="n"/>
      <c r="J199" s="17" t="n"/>
      <c r="K199" s="17" t="n"/>
      <c r="L199" s="16" t="n"/>
      <c r="M199" s="16" t="n"/>
      <c r="N199" s="16" t="n"/>
      <c r="O199" s="16" t="n"/>
      <c r="P199" s="16" t="n"/>
      <c r="Q199" s="16" t="n"/>
      <c r="R199" s="9" t="n"/>
    </row>
    <row r="200">
      <c r="A200" s="17" t="n"/>
      <c r="B200" s="10" t="n"/>
      <c r="C200" s="17" t="n"/>
      <c r="D200" s="17" t="n"/>
      <c r="E200" s="23" t="n"/>
      <c r="F200" s="24" t="n"/>
      <c r="G200" s="24" t="n"/>
      <c r="H200" s="17" t="n"/>
      <c r="I200" s="17" t="n"/>
      <c r="J200" s="17" t="n"/>
      <c r="K200" s="17" t="n"/>
      <c r="L200" s="16" t="n"/>
      <c r="M200" s="16" t="n"/>
      <c r="N200" s="16" t="n"/>
      <c r="O200" s="16" t="n"/>
      <c r="P200" s="16" t="n"/>
      <c r="Q200" s="16" t="n"/>
      <c r="R200" s="9" t="n"/>
    </row>
    <row r="201">
      <c r="A201" s="17" t="n"/>
      <c r="B201" s="10" t="n"/>
      <c r="C201" s="17" t="n"/>
      <c r="D201" s="17" t="n"/>
      <c r="E201" s="23" t="n"/>
      <c r="F201" s="24" t="n"/>
      <c r="G201" s="24" t="n"/>
      <c r="H201" s="17" t="n"/>
      <c r="I201" s="17" t="n"/>
      <c r="J201" s="17" t="n"/>
      <c r="K201" s="17" t="n"/>
      <c r="L201" s="16" t="n"/>
      <c r="M201" s="16" t="n"/>
      <c r="N201" s="16" t="n"/>
      <c r="O201" s="16" t="n"/>
      <c r="P201" s="16" t="n"/>
      <c r="Q201" s="16" t="n"/>
      <c r="R201" s="9" t="n"/>
    </row>
    <row r="202">
      <c r="A202" s="17" t="n"/>
      <c r="B202" s="10" t="n"/>
      <c r="C202" s="17" t="n"/>
      <c r="D202" s="17" t="n"/>
      <c r="E202" s="23" t="n"/>
      <c r="F202" s="24" t="n"/>
      <c r="G202" s="24" t="n"/>
      <c r="H202" s="17" t="n"/>
      <c r="I202" s="17" t="n"/>
      <c r="J202" s="17" t="n"/>
      <c r="K202" s="17" t="n"/>
      <c r="L202" s="16" t="n"/>
      <c r="M202" s="16" t="n"/>
      <c r="N202" s="16" t="n"/>
      <c r="O202" s="16" t="n"/>
      <c r="P202" s="16" t="n"/>
      <c r="Q202" s="16" t="n"/>
      <c r="R202" s="9" t="n"/>
    </row>
    <row r="203">
      <c r="A203" s="17" t="n"/>
      <c r="B203" s="10" t="n"/>
      <c r="C203" s="17" t="n"/>
      <c r="D203" s="17" t="n"/>
      <c r="E203" s="23" t="n"/>
      <c r="F203" s="24" t="n"/>
      <c r="G203" s="24" t="n"/>
      <c r="H203" s="17" t="n"/>
      <c r="I203" s="17" t="n"/>
      <c r="J203" s="17" t="n"/>
      <c r="K203" s="17" t="n"/>
      <c r="L203" s="16" t="n"/>
      <c r="M203" s="16" t="n"/>
      <c r="N203" s="16" t="n"/>
      <c r="O203" s="16" t="n"/>
      <c r="P203" s="16" t="n"/>
      <c r="Q203" s="16" t="n"/>
      <c r="R203" s="9" t="n"/>
    </row>
    <row r="204">
      <c r="A204" s="17" t="n"/>
      <c r="B204" s="10" t="n"/>
      <c r="C204" s="17" t="n"/>
      <c r="D204" s="17" t="n"/>
      <c r="E204" s="23" t="n"/>
      <c r="F204" s="24" t="n"/>
      <c r="G204" s="24" t="n"/>
      <c r="H204" s="17" t="n"/>
      <c r="I204" s="17" t="n"/>
      <c r="J204" s="17" t="n"/>
      <c r="K204" s="17" t="n"/>
      <c r="L204" s="16" t="n"/>
      <c r="M204" s="16" t="n"/>
      <c r="N204" s="16" t="n"/>
      <c r="O204" s="16" t="n"/>
      <c r="P204" s="16" t="n"/>
      <c r="Q204" s="16" t="n"/>
      <c r="R204" s="9" t="n"/>
    </row>
    <row r="205">
      <c r="A205" s="17" t="n"/>
      <c r="B205" s="10" t="n"/>
      <c r="C205" s="17" t="n"/>
      <c r="D205" s="17" t="n"/>
      <c r="E205" s="23" t="n"/>
      <c r="F205" s="24" t="n"/>
      <c r="G205" s="24" t="n"/>
      <c r="H205" s="17" t="n"/>
      <c r="I205" s="17" t="n"/>
      <c r="J205" s="17" t="n"/>
      <c r="K205" s="17" t="n"/>
      <c r="L205" s="16" t="n"/>
      <c r="M205" s="16" t="n"/>
      <c r="N205" s="16" t="n"/>
      <c r="O205" s="16" t="n"/>
      <c r="P205" s="16" t="n"/>
      <c r="Q205" s="16" t="n"/>
      <c r="R205" s="9" t="n"/>
    </row>
    <row r="206">
      <c r="A206" s="17" t="n"/>
      <c r="B206" s="10" t="n"/>
      <c r="C206" s="17" t="n"/>
      <c r="D206" s="17" t="n"/>
      <c r="E206" s="23" t="n"/>
      <c r="F206" s="24" t="n"/>
      <c r="G206" s="24" t="n"/>
      <c r="H206" s="17" t="n"/>
      <c r="I206" s="17" t="n"/>
      <c r="J206" s="17" t="n"/>
      <c r="K206" s="17" t="n"/>
      <c r="L206" s="16" t="n"/>
      <c r="M206" s="16" t="n"/>
      <c r="N206" s="16" t="n"/>
      <c r="O206" s="16" t="n"/>
      <c r="P206" s="16" t="n"/>
      <c r="Q206" s="16" t="n"/>
      <c r="R206" s="9" t="n"/>
    </row>
    <row r="207">
      <c r="A207" s="17" t="n"/>
      <c r="B207" s="10" t="n"/>
      <c r="C207" s="17" t="n"/>
      <c r="D207" s="17" t="n"/>
      <c r="E207" s="23" t="n"/>
      <c r="F207" s="24" t="n"/>
      <c r="G207" s="24" t="n"/>
      <c r="H207" s="17" t="n"/>
      <c r="I207" s="17" t="n"/>
      <c r="J207" s="17" t="n"/>
      <c r="K207" s="17" t="n"/>
      <c r="L207" s="16" t="n"/>
      <c r="M207" s="16" t="n"/>
      <c r="N207" s="16" t="n"/>
      <c r="O207" s="16" t="n"/>
      <c r="P207" s="16" t="n"/>
      <c r="Q207" s="16" t="n"/>
      <c r="R207" s="9" t="n"/>
    </row>
    <row r="208">
      <c r="A208" s="17" t="n"/>
      <c r="B208" s="10" t="n"/>
      <c r="C208" s="17" t="n"/>
      <c r="D208" s="17" t="n"/>
      <c r="E208" s="23" t="n"/>
      <c r="F208" s="24" t="n"/>
      <c r="G208" s="24" t="n"/>
      <c r="H208" s="17" t="n"/>
      <c r="I208" s="17" t="n"/>
      <c r="J208" s="17" t="n"/>
      <c r="K208" s="17" t="n"/>
      <c r="L208" s="16" t="n"/>
      <c r="M208" s="16" t="n"/>
      <c r="N208" s="16" t="n"/>
      <c r="O208" s="16" t="n"/>
      <c r="P208" s="16" t="n"/>
      <c r="Q208" s="16" t="n"/>
      <c r="R208" s="9" t="n"/>
    </row>
    <row r="209">
      <c r="A209" s="17" t="n"/>
      <c r="B209" s="10" t="n"/>
      <c r="C209" s="17" t="n"/>
      <c r="D209" s="17" t="n"/>
      <c r="E209" s="23" t="n"/>
      <c r="F209" s="24" t="n"/>
      <c r="G209" s="24" t="n"/>
      <c r="H209" s="17" t="n"/>
      <c r="I209" s="17" t="n"/>
      <c r="J209" s="17" t="n"/>
      <c r="K209" s="17" t="n"/>
      <c r="L209" s="16" t="n"/>
      <c r="M209" s="16" t="n"/>
      <c r="N209" s="16" t="n"/>
      <c r="O209" s="16" t="n"/>
      <c r="P209" s="16" t="n"/>
      <c r="Q209" s="16" t="n"/>
      <c r="R209" s="9" t="n"/>
    </row>
    <row r="210">
      <c r="A210" s="17" t="n"/>
      <c r="B210" s="10" t="n"/>
      <c r="C210" s="17" t="n"/>
      <c r="D210" s="17" t="n"/>
      <c r="E210" s="23" t="n"/>
      <c r="F210" s="24" t="n"/>
      <c r="G210" s="24" t="n"/>
      <c r="H210" s="17" t="n"/>
      <c r="I210" s="17" t="n"/>
      <c r="J210" s="17" t="n"/>
      <c r="K210" s="17" t="n"/>
      <c r="L210" s="16" t="n"/>
      <c r="M210" s="16" t="n"/>
      <c r="N210" s="16" t="n"/>
      <c r="O210" s="16" t="n"/>
      <c r="P210" s="16" t="n"/>
      <c r="Q210" s="16" t="n"/>
      <c r="R210" s="9" t="n"/>
    </row>
    <row r="211">
      <c r="A211" s="17" t="n"/>
      <c r="B211" s="10" t="n"/>
      <c r="C211" s="17" t="n"/>
      <c r="D211" s="17" t="n"/>
      <c r="E211" s="23" t="n"/>
      <c r="F211" s="24" t="n"/>
      <c r="G211" s="24" t="n"/>
      <c r="H211" s="17" t="n"/>
      <c r="I211" s="17" t="n"/>
      <c r="J211" s="17" t="n"/>
      <c r="K211" s="17" t="n"/>
      <c r="L211" s="16" t="n"/>
      <c r="M211" s="16" t="n"/>
      <c r="N211" s="16" t="n"/>
      <c r="O211" s="16" t="n"/>
      <c r="P211" s="16" t="n"/>
      <c r="Q211" s="16" t="n"/>
      <c r="R211" s="9" t="n"/>
    </row>
    <row r="212">
      <c r="A212" s="17" t="n"/>
      <c r="B212" s="10" t="n"/>
      <c r="C212" s="17" t="n"/>
      <c r="D212" s="17" t="n"/>
      <c r="E212" s="23" t="n"/>
      <c r="F212" s="24" t="n"/>
      <c r="G212" s="24" t="n"/>
      <c r="H212" s="17" t="n"/>
      <c r="I212" s="17" t="n"/>
      <c r="J212" s="17" t="n"/>
      <c r="K212" s="17" t="n"/>
      <c r="L212" s="16" t="n"/>
      <c r="M212" s="16" t="n"/>
      <c r="N212" s="16" t="n"/>
      <c r="O212" s="16" t="n"/>
      <c r="P212" s="16" t="n"/>
      <c r="Q212" s="16" t="n"/>
      <c r="R212" s="9" t="n"/>
    </row>
    <row r="213">
      <c r="A213" s="17" t="n"/>
      <c r="B213" s="10" t="n"/>
      <c r="C213" s="17" t="n"/>
      <c r="D213" s="17" t="n"/>
      <c r="E213" s="23" t="n"/>
      <c r="F213" s="24" t="n"/>
      <c r="G213" s="24" t="n"/>
      <c r="H213" s="17" t="n"/>
      <c r="I213" s="17" t="n"/>
      <c r="J213" s="17" t="n"/>
      <c r="K213" s="17" t="n"/>
      <c r="L213" s="16" t="n"/>
      <c r="M213" s="16" t="n"/>
      <c r="N213" s="16" t="n"/>
      <c r="O213" s="16" t="n"/>
      <c r="P213" s="16" t="n"/>
      <c r="Q213" s="16" t="n"/>
      <c r="R213" s="9" t="n"/>
    </row>
    <row r="214">
      <c r="A214" s="17" t="n"/>
      <c r="B214" s="10" t="n"/>
      <c r="C214" s="17" t="n"/>
      <c r="D214" s="17" t="n"/>
      <c r="E214" s="23" t="n"/>
      <c r="F214" s="24" t="n"/>
      <c r="G214" s="24" t="n"/>
      <c r="H214" s="17" t="n"/>
      <c r="I214" s="17" t="n"/>
      <c r="J214" s="17" t="n"/>
      <c r="K214" s="17" t="n"/>
      <c r="L214" s="16" t="n"/>
      <c r="M214" s="16" t="n"/>
      <c r="N214" s="16" t="n"/>
      <c r="O214" s="16" t="n"/>
      <c r="P214" s="16" t="n"/>
      <c r="Q214" s="16" t="n"/>
      <c r="R214" s="9" t="n"/>
    </row>
    <row r="215">
      <c r="A215" s="17" t="n"/>
      <c r="B215" s="10" t="n"/>
      <c r="C215" s="17" t="n"/>
      <c r="D215" s="17" t="n"/>
      <c r="E215" s="23" t="n"/>
      <c r="F215" s="24" t="n"/>
      <c r="G215" s="24" t="n"/>
      <c r="H215" s="17" t="n"/>
      <c r="I215" s="17" t="n"/>
      <c r="J215" s="17" t="n"/>
      <c r="K215" s="17" t="n"/>
      <c r="L215" s="16" t="n"/>
      <c r="M215" s="16" t="n"/>
      <c r="N215" s="16" t="n"/>
      <c r="O215" s="16" t="n"/>
      <c r="P215" s="16" t="n"/>
      <c r="Q215" s="16" t="n"/>
      <c r="R215" s="9" t="n"/>
    </row>
    <row r="216">
      <c r="A216" s="17" t="n"/>
      <c r="B216" s="10" t="n"/>
      <c r="C216" s="17" t="n"/>
      <c r="D216" s="17" t="n"/>
      <c r="E216" s="23" t="n"/>
      <c r="F216" s="24" t="n"/>
      <c r="G216" s="24" t="n"/>
      <c r="H216" s="17" t="n"/>
      <c r="I216" s="17" t="n"/>
      <c r="J216" s="17" t="n"/>
      <c r="K216" s="17" t="n"/>
      <c r="L216" s="16" t="n"/>
      <c r="M216" s="16" t="n"/>
      <c r="N216" s="16" t="n"/>
      <c r="O216" s="16" t="n"/>
      <c r="P216" s="16" t="n"/>
      <c r="Q216" s="16" t="n"/>
      <c r="R216" s="9" t="n"/>
    </row>
    <row r="217">
      <c r="A217" s="17" t="n"/>
      <c r="B217" s="10" t="n"/>
      <c r="C217" s="17" t="n"/>
      <c r="D217" s="17" t="n"/>
      <c r="E217" s="23" t="n"/>
      <c r="F217" s="24" t="n"/>
      <c r="G217" s="24" t="n"/>
      <c r="H217" s="17" t="n"/>
      <c r="I217" s="17" t="n"/>
      <c r="J217" s="17" t="n"/>
      <c r="K217" s="17" t="n"/>
      <c r="L217" s="16" t="n"/>
      <c r="M217" s="16" t="n"/>
      <c r="N217" s="16" t="n"/>
      <c r="O217" s="16" t="n"/>
      <c r="P217" s="16" t="n"/>
      <c r="Q217" s="16" t="n"/>
      <c r="R217" s="9" t="n"/>
    </row>
    <row r="218">
      <c r="A218" s="17" t="n"/>
      <c r="B218" s="10" t="n"/>
      <c r="C218" s="17" t="n"/>
      <c r="D218" s="17" t="n"/>
      <c r="E218" s="23" t="n"/>
      <c r="F218" s="24" t="n"/>
      <c r="G218" s="24" t="n"/>
      <c r="H218" s="17" t="n"/>
      <c r="I218" s="17" t="n"/>
      <c r="J218" s="17" t="n"/>
      <c r="K218" s="17" t="n"/>
      <c r="L218" s="16" t="n"/>
      <c r="M218" s="16" t="n"/>
      <c r="N218" s="16" t="n"/>
      <c r="O218" s="16" t="n"/>
      <c r="P218" s="16" t="n"/>
      <c r="Q218" s="16" t="n"/>
      <c r="R218" s="9" t="n"/>
    </row>
    <row r="219">
      <c r="A219" s="17" t="n"/>
      <c r="B219" s="10" t="n"/>
      <c r="C219" s="17" t="n"/>
      <c r="D219" s="17" t="n"/>
      <c r="E219" s="23" t="n"/>
      <c r="F219" s="24" t="n"/>
      <c r="G219" s="24" t="n"/>
      <c r="H219" s="17" t="n"/>
      <c r="I219" s="17" t="n"/>
      <c r="J219" s="17" t="n"/>
      <c r="K219" s="17" t="n"/>
      <c r="L219" s="16" t="n"/>
      <c r="M219" s="16" t="n"/>
      <c r="N219" s="16" t="n"/>
      <c r="O219" s="16" t="n"/>
      <c r="P219" s="16" t="n"/>
      <c r="Q219" s="16" t="n"/>
      <c r="R219" s="9" t="n"/>
    </row>
    <row r="220">
      <c r="A220" s="17" t="n"/>
      <c r="B220" s="10" t="n"/>
      <c r="C220" s="17" t="n"/>
      <c r="D220" s="17" t="n"/>
      <c r="E220" s="23" t="n"/>
      <c r="F220" s="24" t="n"/>
      <c r="G220" s="24" t="n"/>
      <c r="H220" s="17" t="n"/>
      <c r="I220" s="17" t="n"/>
      <c r="J220" s="17" t="n"/>
      <c r="K220" s="17" t="n"/>
      <c r="L220" s="16" t="n"/>
      <c r="M220" s="16" t="n"/>
      <c r="N220" s="16" t="n"/>
      <c r="O220" s="16" t="n"/>
      <c r="P220" s="16" t="n"/>
      <c r="Q220" s="16" t="n"/>
      <c r="R220" s="9" t="n"/>
    </row>
    <row r="221">
      <c r="A221" s="17" t="n"/>
      <c r="B221" s="10" t="n"/>
      <c r="C221" s="17" t="n"/>
      <c r="D221" s="17" t="n"/>
      <c r="E221" s="23" t="n"/>
      <c r="F221" s="24" t="n"/>
      <c r="G221" s="24" t="n"/>
      <c r="H221" s="17" t="n"/>
      <c r="I221" s="17" t="n"/>
      <c r="J221" s="17" t="n"/>
      <c r="K221" s="17" t="n"/>
      <c r="L221" s="16" t="n"/>
      <c r="M221" s="16" t="n"/>
      <c r="N221" s="16" t="n"/>
      <c r="O221" s="16" t="n"/>
      <c r="P221" s="16" t="n"/>
      <c r="Q221" s="16" t="n"/>
      <c r="R221" s="9" t="n"/>
    </row>
    <row r="222">
      <c r="A222" s="17" t="n"/>
      <c r="B222" s="10" t="n"/>
      <c r="C222" s="17" t="n"/>
      <c r="D222" s="17" t="n"/>
      <c r="E222" s="23" t="n"/>
      <c r="F222" s="24" t="n"/>
      <c r="G222" s="24" t="n"/>
      <c r="H222" s="17" t="n"/>
      <c r="I222" s="17" t="n"/>
      <c r="J222" s="17" t="n"/>
      <c r="K222" s="17" t="n"/>
      <c r="L222" s="16" t="n"/>
      <c r="M222" s="16" t="n"/>
      <c r="N222" s="16" t="n"/>
      <c r="O222" s="16" t="n"/>
      <c r="P222" s="16" t="n"/>
      <c r="Q222" s="16" t="n"/>
      <c r="R222" s="9" t="n"/>
    </row>
    <row r="223">
      <c r="A223" s="17" t="n"/>
      <c r="B223" s="10" t="n"/>
      <c r="C223" s="17" t="n"/>
      <c r="D223" s="17" t="n"/>
      <c r="E223" s="23" t="n"/>
      <c r="F223" s="24" t="n"/>
      <c r="G223" s="24" t="n"/>
      <c r="H223" s="17" t="n"/>
      <c r="I223" s="17" t="n"/>
      <c r="J223" s="17" t="n"/>
      <c r="K223" s="17" t="n"/>
      <c r="L223" s="16" t="n"/>
      <c r="M223" s="16" t="n"/>
      <c r="N223" s="16" t="n"/>
      <c r="O223" s="16" t="n"/>
      <c r="P223" s="16" t="n"/>
      <c r="Q223" s="16" t="n"/>
      <c r="R223" s="9" t="n"/>
    </row>
    <row r="224">
      <c r="A224" s="17" t="n"/>
      <c r="B224" s="10" t="n"/>
      <c r="C224" s="17" t="n"/>
      <c r="D224" s="17" t="n"/>
      <c r="E224" s="23" t="n"/>
      <c r="F224" s="24" t="n"/>
      <c r="G224" s="24" t="n"/>
      <c r="H224" s="17" t="n"/>
      <c r="I224" s="17" t="n"/>
      <c r="J224" s="17" t="n"/>
      <c r="K224" s="17" t="n"/>
      <c r="L224" s="16" t="n"/>
      <c r="M224" s="16" t="n"/>
      <c r="N224" s="16" t="n"/>
      <c r="O224" s="16" t="n"/>
      <c r="P224" s="16" t="n"/>
      <c r="Q224" s="16" t="n"/>
      <c r="R224" s="9" t="n"/>
    </row>
    <row r="225">
      <c r="A225" s="17" t="n"/>
      <c r="B225" s="10" t="n"/>
      <c r="C225" s="17" t="n"/>
      <c r="D225" s="17" t="n"/>
      <c r="E225" s="23" t="n"/>
      <c r="F225" s="24" t="n"/>
      <c r="G225" s="24" t="n"/>
      <c r="H225" s="17" t="n"/>
      <c r="I225" s="17" t="n"/>
      <c r="J225" s="17" t="n"/>
      <c r="K225" s="17" t="n"/>
      <c r="L225" s="16" t="n"/>
      <c r="M225" s="16" t="n"/>
      <c r="N225" s="16" t="n"/>
      <c r="O225" s="16" t="n"/>
      <c r="P225" s="16" t="n"/>
      <c r="Q225" s="16" t="n"/>
      <c r="R225" s="9" t="n"/>
    </row>
    <row r="226">
      <c r="A226" s="17" t="n"/>
      <c r="B226" s="10" t="n"/>
      <c r="C226" s="17" t="n"/>
      <c r="D226" s="17" t="n"/>
      <c r="E226" s="23" t="n"/>
      <c r="F226" s="24" t="n"/>
      <c r="G226" s="24" t="n"/>
      <c r="H226" s="17" t="n"/>
      <c r="I226" s="17" t="n"/>
      <c r="J226" s="17" t="n"/>
      <c r="K226" s="17" t="n"/>
      <c r="L226" s="16" t="n"/>
      <c r="M226" s="16" t="n"/>
      <c r="N226" s="16" t="n"/>
      <c r="O226" s="16" t="n"/>
      <c r="P226" s="16" t="n"/>
      <c r="Q226" s="16" t="n"/>
      <c r="R226" s="9" t="n"/>
    </row>
    <row r="227">
      <c r="A227" s="17" t="n"/>
      <c r="B227" s="10" t="n"/>
      <c r="C227" s="17" t="n"/>
      <c r="D227" s="17" t="n"/>
      <c r="E227" s="23" t="n"/>
      <c r="F227" s="24" t="n"/>
      <c r="G227" s="24" t="n"/>
      <c r="H227" s="17" t="n"/>
      <c r="I227" s="17" t="n"/>
      <c r="J227" s="17" t="n"/>
      <c r="K227" s="17" t="n"/>
      <c r="L227" s="16" t="n"/>
      <c r="M227" s="16" t="n"/>
      <c r="N227" s="16" t="n"/>
      <c r="O227" s="16" t="n"/>
      <c r="P227" s="16" t="n"/>
      <c r="Q227" s="16" t="n"/>
      <c r="R227" s="9" t="n"/>
    </row>
    <row r="228">
      <c r="A228" s="17" t="n"/>
      <c r="B228" s="10" t="n"/>
      <c r="C228" s="17" t="n"/>
      <c r="D228" s="17" t="n"/>
      <c r="E228" s="23" t="n"/>
      <c r="F228" s="24" t="n"/>
      <c r="G228" s="24" t="n"/>
      <c r="H228" s="17" t="n"/>
      <c r="I228" s="17" t="n"/>
      <c r="J228" s="17" t="n"/>
      <c r="K228" s="17" t="n"/>
      <c r="L228" s="16" t="n"/>
      <c r="M228" s="16" t="n"/>
      <c r="N228" s="16" t="n"/>
      <c r="O228" s="16" t="n"/>
      <c r="P228" s="16" t="n"/>
      <c r="Q228" s="16" t="n"/>
      <c r="R228" s="9" t="n"/>
    </row>
    <row r="229">
      <c r="A229" s="17" t="n"/>
      <c r="B229" s="10" t="n"/>
      <c r="C229" s="17" t="n"/>
      <c r="D229" s="17" t="n"/>
      <c r="E229" s="23" t="n"/>
      <c r="F229" s="24" t="n"/>
      <c r="G229" s="24" t="n"/>
      <c r="H229" s="17" t="n"/>
      <c r="I229" s="17" t="n"/>
      <c r="J229" s="17" t="n"/>
      <c r="K229" s="17" t="n"/>
      <c r="L229" s="16" t="n"/>
      <c r="M229" s="16" t="n"/>
      <c r="N229" s="16" t="n"/>
      <c r="O229" s="16" t="n"/>
      <c r="P229" s="16" t="n"/>
      <c r="Q229" s="16" t="n"/>
      <c r="R229" s="9" t="n"/>
    </row>
    <row r="230">
      <c r="A230" s="17" t="n"/>
      <c r="B230" s="10" t="n"/>
      <c r="C230" s="17" t="n"/>
      <c r="D230" s="17" t="n"/>
      <c r="E230" s="23" t="n"/>
      <c r="F230" s="24" t="n"/>
      <c r="G230" s="24" t="n"/>
      <c r="H230" s="17" t="n"/>
      <c r="I230" s="17" t="n"/>
      <c r="J230" s="17" t="n"/>
      <c r="K230" s="17" t="n"/>
      <c r="L230" s="16" t="n"/>
      <c r="M230" s="16" t="n"/>
      <c r="N230" s="16" t="n"/>
      <c r="O230" s="16" t="n"/>
      <c r="P230" s="16" t="n"/>
      <c r="Q230" s="16" t="n"/>
      <c r="R230" s="9" t="n"/>
    </row>
    <row r="231">
      <c r="A231" s="17" t="n"/>
      <c r="B231" s="10" t="n"/>
      <c r="C231" s="17" t="n"/>
      <c r="D231" s="17" t="n"/>
      <c r="E231" s="23" t="n"/>
      <c r="F231" s="24" t="n"/>
      <c r="G231" s="24" t="n"/>
      <c r="H231" s="17" t="n"/>
      <c r="I231" s="17" t="n"/>
      <c r="J231" s="17" t="n"/>
      <c r="K231" s="17" t="n"/>
      <c r="L231" s="16" t="n"/>
      <c r="M231" s="16" t="n"/>
      <c r="N231" s="16" t="n"/>
      <c r="O231" s="16" t="n"/>
      <c r="P231" s="16" t="n"/>
      <c r="Q231" s="16" t="n"/>
      <c r="R231" s="9" t="n"/>
    </row>
    <row r="232">
      <c r="A232" s="17" t="n"/>
      <c r="B232" s="10" t="n"/>
      <c r="C232" s="17" t="n"/>
      <c r="D232" s="17" t="n"/>
      <c r="E232" s="23" t="n"/>
      <c r="F232" s="24" t="n"/>
      <c r="G232" s="24" t="n"/>
      <c r="H232" s="17" t="n"/>
      <c r="I232" s="17" t="n"/>
      <c r="J232" s="17" t="n"/>
      <c r="K232" s="17" t="n"/>
      <c r="L232" s="16" t="n"/>
      <c r="M232" s="16" t="n"/>
      <c r="N232" s="16" t="n"/>
      <c r="O232" s="16" t="n"/>
      <c r="P232" s="16" t="n"/>
      <c r="Q232" s="16" t="n"/>
      <c r="R232" s="9" t="n"/>
    </row>
    <row r="233">
      <c r="A233" s="17" t="n"/>
      <c r="B233" s="10" t="n"/>
      <c r="C233" s="17" t="n"/>
      <c r="D233" s="17" t="n"/>
      <c r="E233" s="23" t="n"/>
      <c r="F233" s="24" t="n"/>
      <c r="G233" s="24" t="n"/>
      <c r="H233" s="17" t="n"/>
      <c r="I233" s="17" t="n"/>
      <c r="J233" s="17" t="n"/>
      <c r="K233" s="17" t="n"/>
      <c r="L233" s="16" t="n"/>
      <c r="M233" s="16" t="n"/>
      <c r="N233" s="16" t="n"/>
      <c r="O233" s="16" t="n"/>
      <c r="P233" s="16" t="n"/>
      <c r="Q233" s="16" t="n"/>
      <c r="R233" s="9" t="n"/>
    </row>
    <row r="234">
      <c r="A234" s="17" t="n"/>
      <c r="B234" s="10" t="n"/>
      <c r="C234" s="17" t="n"/>
      <c r="D234" s="17" t="n"/>
      <c r="E234" s="23" t="n"/>
      <c r="F234" s="24" t="n"/>
      <c r="G234" s="24" t="n"/>
      <c r="H234" s="17" t="n"/>
      <c r="I234" s="17" t="n"/>
      <c r="J234" s="17" t="n"/>
      <c r="K234" s="17" t="n"/>
      <c r="L234" s="16" t="n"/>
      <c r="M234" s="16" t="n"/>
      <c r="N234" s="16" t="n"/>
      <c r="O234" s="16" t="n"/>
      <c r="P234" s="16" t="n"/>
      <c r="Q234" s="16" t="n"/>
      <c r="R234" s="9" t="n"/>
    </row>
    <row r="235">
      <c r="A235" s="17" t="n"/>
      <c r="B235" s="10" t="n"/>
      <c r="C235" s="17" t="n"/>
      <c r="D235" s="17" t="n"/>
      <c r="E235" s="23" t="n"/>
      <c r="F235" s="24" t="n"/>
      <c r="G235" s="24" t="n"/>
      <c r="H235" s="17" t="n"/>
      <c r="I235" s="17" t="n"/>
      <c r="J235" s="17" t="n"/>
      <c r="K235" s="17" t="n"/>
      <c r="L235" s="16" t="n"/>
      <c r="M235" s="16" t="n"/>
      <c r="N235" s="16" t="n"/>
      <c r="O235" s="16" t="n"/>
      <c r="P235" s="16" t="n"/>
      <c r="Q235" s="16" t="n"/>
      <c r="R235" s="9" t="n"/>
    </row>
    <row r="236">
      <c r="A236" s="17" t="n"/>
      <c r="B236" s="10" t="n"/>
      <c r="C236" s="17" t="n"/>
      <c r="D236" s="17" t="n"/>
      <c r="E236" s="23" t="n"/>
      <c r="F236" s="24" t="n"/>
      <c r="G236" s="24" t="n"/>
      <c r="H236" s="17" t="n"/>
      <c r="I236" s="17" t="n"/>
      <c r="J236" s="17" t="n"/>
      <c r="K236" s="17" t="n"/>
      <c r="L236" s="16" t="n"/>
      <c r="M236" s="16" t="n"/>
      <c r="N236" s="16" t="n"/>
      <c r="O236" s="16" t="n"/>
      <c r="P236" s="16" t="n"/>
      <c r="Q236" s="16" t="n"/>
      <c r="R236" s="9" t="n"/>
    </row>
    <row r="237">
      <c r="A237" s="17" t="n"/>
      <c r="B237" s="10" t="n"/>
      <c r="C237" s="17" t="n"/>
      <c r="D237" s="17" t="n"/>
      <c r="E237" s="23" t="n"/>
      <c r="F237" s="24" t="n"/>
      <c r="G237" s="24" t="n"/>
      <c r="H237" s="17" t="n"/>
      <c r="I237" s="17" t="n"/>
      <c r="J237" s="17" t="n"/>
      <c r="K237" s="17" t="n"/>
      <c r="L237" s="16" t="n"/>
      <c r="M237" s="16" t="n"/>
      <c r="N237" s="16" t="n"/>
      <c r="O237" s="16" t="n"/>
      <c r="P237" s="16" t="n"/>
      <c r="Q237" s="16" t="n"/>
      <c r="R237" s="9" t="n"/>
    </row>
    <row r="238">
      <c r="A238" s="17" t="n"/>
      <c r="B238" s="10" t="n"/>
      <c r="C238" s="17" t="n"/>
      <c r="D238" s="17" t="n"/>
      <c r="E238" s="23" t="n"/>
      <c r="F238" s="24" t="n"/>
      <c r="G238" s="24" t="n"/>
      <c r="H238" s="17" t="n"/>
      <c r="I238" s="17" t="n"/>
      <c r="J238" s="17" t="n"/>
      <c r="K238" s="17" t="n"/>
      <c r="L238" s="16" t="n"/>
      <c r="M238" s="16" t="n"/>
      <c r="N238" s="16" t="n"/>
      <c r="O238" s="16" t="n"/>
      <c r="P238" s="16" t="n"/>
      <c r="Q238" s="16" t="n"/>
      <c r="R238" s="9" t="n"/>
    </row>
    <row r="239">
      <c r="A239" s="17" t="n"/>
      <c r="B239" s="10" t="n"/>
      <c r="C239" s="17" t="n"/>
      <c r="D239" s="17" t="n"/>
      <c r="E239" s="23" t="n"/>
      <c r="F239" s="24" t="n"/>
      <c r="G239" s="24" t="n"/>
      <c r="H239" s="17" t="n"/>
      <c r="I239" s="17" t="n"/>
      <c r="J239" s="17" t="n"/>
      <c r="K239" s="17" t="n"/>
      <c r="L239" s="16" t="n"/>
      <c r="M239" s="16" t="n"/>
      <c r="N239" s="16" t="n"/>
      <c r="O239" s="16" t="n"/>
      <c r="P239" s="16" t="n"/>
      <c r="Q239" s="16" t="n"/>
      <c r="R239" s="9" t="n"/>
    </row>
    <row r="240">
      <c r="A240" s="17" t="n"/>
      <c r="B240" s="10" t="n"/>
      <c r="C240" s="17" t="n"/>
      <c r="D240" s="17" t="n"/>
      <c r="E240" s="23" t="n"/>
      <c r="F240" s="24" t="n"/>
      <c r="G240" s="24" t="n"/>
      <c r="H240" s="17" t="n"/>
      <c r="I240" s="17" t="n"/>
      <c r="J240" s="17" t="n"/>
      <c r="K240" s="17" t="n"/>
      <c r="L240" s="16" t="n"/>
      <c r="M240" s="16" t="n"/>
      <c r="N240" s="16" t="n"/>
      <c r="O240" s="16" t="n"/>
      <c r="P240" s="16" t="n"/>
      <c r="Q240" s="16" t="n"/>
      <c r="R240" s="9" t="n"/>
    </row>
    <row r="241">
      <c r="A241" s="17" t="n"/>
      <c r="B241" s="10" t="n"/>
      <c r="C241" s="17" t="n"/>
      <c r="D241" s="17" t="n"/>
      <c r="E241" s="23" t="n"/>
      <c r="F241" s="24" t="n"/>
      <c r="G241" s="24" t="n"/>
      <c r="H241" s="17" t="n"/>
      <c r="I241" s="17" t="n"/>
      <c r="J241" s="17" t="n"/>
      <c r="K241" s="17" t="n"/>
      <c r="L241" s="16" t="n"/>
      <c r="M241" s="16" t="n"/>
      <c r="N241" s="16" t="n"/>
      <c r="O241" s="16" t="n"/>
      <c r="P241" s="16" t="n"/>
      <c r="Q241" s="16" t="n"/>
      <c r="R241" s="9" t="n"/>
    </row>
    <row r="242">
      <c r="A242" s="17" t="n"/>
      <c r="B242" s="10" t="n"/>
      <c r="C242" s="17" t="n"/>
      <c r="D242" s="17" t="n"/>
      <c r="E242" s="23" t="n"/>
      <c r="F242" s="24" t="n"/>
      <c r="G242" s="24" t="n"/>
      <c r="H242" s="17" t="n"/>
      <c r="I242" s="17" t="n"/>
      <c r="J242" s="17" t="n"/>
      <c r="K242" s="17" t="n"/>
      <c r="L242" s="16" t="n"/>
      <c r="M242" s="16" t="n"/>
      <c r="N242" s="16" t="n"/>
      <c r="O242" s="16" t="n"/>
      <c r="P242" s="16" t="n"/>
      <c r="Q242" s="16" t="n"/>
      <c r="R242" s="9" t="n"/>
    </row>
    <row r="243">
      <c r="A243" s="17" t="n"/>
      <c r="B243" s="10" t="n"/>
      <c r="C243" s="17" t="n"/>
      <c r="D243" s="17" t="n"/>
      <c r="E243" s="23" t="n"/>
      <c r="F243" s="24" t="n"/>
      <c r="G243" s="24" t="n"/>
      <c r="H243" s="17" t="n"/>
      <c r="I243" s="17" t="n"/>
      <c r="J243" s="17" t="n"/>
      <c r="K243" s="17" t="n"/>
      <c r="L243" s="16" t="n"/>
      <c r="M243" s="16" t="n"/>
      <c r="N243" s="16" t="n"/>
      <c r="O243" s="16" t="n"/>
      <c r="P243" s="16" t="n"/>
      <c r="Q243" s="16" t="n"/>
      <c r="R243" s="9" t="n"/>
    </row>
    <row r="244">
      <c r="A244" s="17" t="n"/>
      <c r="B244" s="10" t="n"/>
      <c r="C244" s="17" t="n"/>
      <c r="D244" s="17" t="n"/>
      <c r="E244" s="23" t="n"/>
      <c r="F244" s="24" t="n"/>
      <c r="G244" s="24" t="n"/>
      <c r="H244" s="17" t="n"/>
      <c r="I244" s="17" t="n"/>
      <c r="J244" s="17" t="n"/>
      <c r="K244" s="17" t="n"/>
      <c r="L244" s="16" t="n"/>
      <c r="M244" s="16" t="n"/>
      <c r="N244" s="16" t="n"/>
      <c r="O244" s="16" t="n"/>
      <c r="P244" s="16" t="n"/>
      <c r="Q244" s="16" t="n"/>
      <c r="R244" s="9" t="n"/>
    </row>
    <row r="245">
      <c r="A245" s="17" t="n"/>
      <c r="B245" s="10" t="n"/>
      <c r="C245" s="17" t="n"/>
      <c r="D245" s="17" t="n"/>
      <c r="E245" s="23" t="n"/>
      <c r="F245" s="24" t="n"/>
      <c r="G245" s="24" t="n"/>
      <c r="H245" s="17" t="n"/>
      <c r="I245" s="17" t="n"/>
      <c r="J245" s="17" t="n"/>
      <c r="K245" s="17" t="n"/>
      <c r="L245" s="16" t="n"/>
      <c r="M245" s="16" t="n"/>
      <c r="N245" s="16" t="n"/>
      <c r="O245" s="16" t="n"/>
      <c r="P245" s="16" t="n"/>
      <c r="Q245" s="16" t="n"/>
      <c r="R245" s="9" t="n"/>
    </row>
    <row r="246">
      <c r="A246" s="17" t="n"/>
      <c r="B246" s="10" t="n"/>
      <c r="C246" s="17" t="n"/>
      <c r="D246" s="17" t="n"/>
      <c r="E246" s="23" t="n"/>
      <c r="F246" s="24" t="n"/>
      <c r="G246" s="24" t="n"/>
      <c r="H246" s="17" t="n"/>
      <c r="I246" s="17" t="n"/>
      <c r="J246" s="17" t="n"/>
      <c r="K246" s="17" t="n"/>
      <c r="L246" s="16" t="n"/>
      <c r="M246" s="16" t="n"/>
      <c r="N246" s="16" t="n"/>
      <c r="O246" s="16" t="n"/>
      <c r="P246" s="16" t="n"/>
      <c r="Q246" s="16" t="n"/>
      <c r="R246" s="9" t="n"/>
    </row>
    <row r="247">
      <c r="A247" s="17" t="n"/>
      <c r="B247" s="10" t="n"/>
      <c r="C247" s="17" t="n"/>
      <c r="D247" s="17" t="n"/>
      <c r="E247" s="23" t="n"/>
      <c r="F247" s="24" t="n"/>
      <c r="G247" s="24" t="n"/>
      <c r="H247" s="17" t="n"/>
      <c r="I247" s="17" t="n"/>
      <c r="J247" s="17" t="n"/>
      <c r="K247" s="17" t="n"/>
      <c r="L247" s="16" t="n"/>
      <c r="M247" s="16" t="n"/>
      <c r="N247" s="16" t="n"/>
      <c r="O247" s="16" t="n"/>
      <c r="P247" s="16" t="n"/>
      <c r="Q247" s="16" t="n"/>
      <c r="R247" s="9" t="n"/>
    </row>
    <row r="248">
      <c r="A248" s="17" t="n"/>
      <c r="B248" s="10" t="n"/>
      <c r="C248" s="17" t="n"/>
      <c r="D248" s="17" t="n"/>
      <c r="E248" s="23" t="n"/>
      <c r="F248" s="24" t="n"/>
      <c r="G248" s="24" t="n"/>
      <c r="H248" s="17" t="n"/>
      <c r="I248" s="17" t="n"/>
      <c r="J248" s="17" t="n"/>
      <c r="K248" s="17" t="n"/>
      <c r="L248" s="16" t="n"/>
      <c r="M248" s="16" t="n"/>
      <c r="N248" s="16" t="n"/>
      <c r="O248" s="16" t="n"/>
      <c r="P248" s="16" t="n"/>
      <c r="Q248" s="16" t="n"/>
      <c r="R248" s="9" t="n"/>
    </row>
    <row r="249">
      <c r="A249" s="17" t="n"/>
      <c r="B249" s="10" t="n"/>
      <c r="C249" s="17" t="n"/>
      <c r="D249" s="17" t="n"/>
      <c r="E249" s="23" t="n"/>
      <c r="F249" s="24" t="n"/>
      <c r="G249" s="24" t="n"/>
      <c r="H249" s="17" t="n"/>
      <c r="I249" s="17" t="n"/>
      <c r="J249" s="17" t="n"/>
      <c r="K249" s="17" t="n"/>
      <c r="L249" s="16" t="n"/>
      <c r="M249" s="16" t="n"/>
      <c r="N249" s="16" t="n"/>
      <c r="O249" s="16" t="n"/>
      <c r="P249" s="16" t="n"/>
      <c r="Q249" s="16" t="n"/>
      <c r="R249" s="9" t="n"/>
    </row>
    <row r="250">
      <c r="A250" s="17" t="n"/>
      <c r="B250" s="10" t="n"/>
      <c r="C250" s="17" t="n"/>
      <c r="D250" s="17" t="n"/>
      <c r="E250" s="23" t="n"/>
      <c r="F250" s="24" t="n"/>
      <c r="G250" s="24" t="n"/>
      <c r="H250" s="17" t="n"/>
      <c r="I250" s="17" t="n"/>
      <c r="J250" s="17" t="n"/>
      <c r="K250" s="17" t="n"/>
      <c r="L250" s="16" t="n"/>
      <c r="M250" s="16" t="n"/>
      <c r="N250" s="16" t="n"/>
      <c r="O250" s="16" t="n"/>
      <c r="P250" s="16" t="n"/>
      <c r="Q250" s="16" t="n"/>
      <c r="R250" s="9" t="n"/>
    </row>
    <row r="251">
      <c r="A251" s="17" t="n"/>
      <c r="B251" s="10" t="n"/>
      <c r="C251" s="17" t="n"/>
      <c r="D251" s="17" t="n"/>
      <c r="E251" s="23" t="n"/>
      <c r="F251" s="24" t="n"/>
      <c r="G251" s="24" t="n"/>
      <c r="H251" s="17" t="n"/>
      <c r="I251" s="17" t="n"/>
      <c r="J251" s="17" t="n"/>
      <c r="K251" s="17" t="n"/>
      <c r="L251" s="16" t="n"/>
      <c r="M251" s="16" t="n"/>
      <c r="N251" s="16" t="n"/>
      <c r="O251" s="16" t="n"/>
      <c r="P251" s="16" t="n"/>
      <c r="Q251" s="16" t="n"/>
      <c r="R251" s="9" t="n"/>
    </row>
    <row r="252">
      <c r="A252" s="17" t="n"/>
      <c r="B252" s="10" t="n"/>
      <c r="C252" s="17" t="n"/>
      <c r="D252" s="17" t="n"/>
      <c r="E252" s="23" t="n"/>
      <c r="F252" s="24" t="n"/>
      <c r="G252" s="24" t="n"/>
      <c r="H252" s="17" t="n"/>
      <c r="I252" s="17" t="n"/>
      <c r="J252" s="17" t="n"/>
      <c r="K252" s="17" t="n"/>
      <c r="L252" s="16" t="n"/>
      <c r="M252" s="16" t="n"/>
      <c r="N252" s="16" t="n"/>
      <c r="O252" s="16" t="n"/>
      <c r="P252" s="16" t="n"/>
      <c r="Q252" s="16" t="n"/>
      <c r="R252" s="9" t="n"/>
    </row>
    <row r="253">
      <c r="A253" s="17" t="n"/>
      <c r="B253" s="10" t="n"/>
      <c r="C253" s="17" t="n"/>
      <c r="D253" s="17" t="n"/>
      <c r="E253" s="23" t="n"/>
      <c r="F253" s="24" t="n"/>
      <c r="G253" s="24" t="n"/>
      <c r="H253" s="17" t="n"/>
      <c r="I253" s="17" t="n"/>
      <c r="J253" s="17" t="n"/>
      <c r="K253" s="17" t="n"/>
      <c r="L253" s="16" t="n"/>
      <c r="M253" s="16" t="n"/>
      <c r="N253" s="16" t="n"/>
      <c r="O253" s="16" t="n"/>
      <c r="P253" s="16" t="n"/>
      <c r="Q253" s="16" t="n"/>
      <c r="R253" s="9" t="n"/>
    </row>
    <row r="254">
      <c r="A254" s="17" t="n"/>
      <c r="B254" s="10" t="n"/>
      <c r="C254" s="17" t="n"/>
      <c r="D254" s="17" t="n"/>
      <c r="E254" s="23" t="n"/>
      <c r="F254" s="24" t="n"/>
      <c r="G254" s="24" t="n"/>
      <c r="H254" s="17" t="n"/>
      <c r="I254" s="17" t="n"/>
      <c r="J254" s="17" t="n"/>
      <c r="K254" s="17" t="n"/>
      <c r="L254" s="16" t="n"/>
      <c r="M254" s="16" t="n"/>
      <c r="N254" s="16" t="n"/>
      <c r="O254" s="16" t="n"/>
      <c r="P254" s="16" t="n"/>
      <c r="Q254" s="16" t="n"/>
      <c r="R254" s="9" t="n"/>
    </row>
    <row r="255">
      <c r="A255" s="17" t="n"/>
      <c r="B255" s="10" t="n"/>
      <c r="C255" s="17" t="n"/>
      <c r="D255" s="17" t="n"/>
      <c r="E255" s="23" t="n"/>
      <c r="F255" s="24" t="n"/>
      <c r="G255" s="24" t="n"/>
      <c r="H255" s="17" t="n"/>
      <c r="I255" s="17" t="n"/>
      <c r="J255" s="17" t="n"/>
      <c r="K255" s="17" t="n"/>
      <c r="L255" s="16" t="n"/>
      <c r="M255" s="16" t="n"/>
      <c r="N255" s="16" t="n"/>
      <c r="O255" s="16" t="n"/>
      <c r="P255" s="16" t="n"/>
      <c r="Q255" s="16" t="n"/>
      <c r="R255" s="9" t="n"/>
    </row>
    <row r="256">
      <c r="A256" s="17" t="n"/>
      <c r="B256" s="10" t="n"/>
      <c r="C256" s="17" t="n"/>
      <c r="D256" s="17" t="n"/>
      <c r="E256" s="23" t="n"/>
      <c r="F256" s="24" t="n"/>
      <c r="G256" s="24" t="n"/>
      <c r="H256" s="17" t="n"/>
      <c r="I256" s="17" t="n"/>
      <c r="J256" s="17" t="n"/>
      <c r="K256" s="17" t="n"/>
      <c r="L256" s="16" t="n"/>
      <c r="M256" s="16" t="n"/>
      <c r="N256" s="16" t="n"/>
      <c r="O256" s="16" t="n"/>
      <c r="P256" s="16" t="n"/>
      <c r="Q256" s="16" t="n"/>
      <c r="R256" s="9" t="n"/>
    </row>
    <row r="257">
      <c r="A257" s="17" t="n"/>
      <c r="B257" s="10" t="n"/>
      <c r="C257" s="17" t="n"/>
      <c r="D257" s="17" t="n"/>
      <c r="E257" s="23" t="n"/>
      <c r="F257" s="24" t="n"/>
      <c r="G257" s="24" t="n"/>
      <c r="H257" s="17" t="n"/>
      <c r="I257" s="17" t="n"/>
      <c r="J257" s="17" t="n"/>
      <c r="K257" s="17" t="n"/>
      <c r="L257" s="16" t="n"/>
      <c r="M257" s="16" t="n"/>
      <c r="N257" s="16" t="n"/>
      <c r="O257" s="16" t="n"/>
      <c r="P257" s="16" t="n"/>
      <c r="Q257" s="16" t="n"/>
      <c r="R257" s="9" t="n"/>
    </row>
    <row r="258">
      <c r="A258" s="17" t="n"/>
      <c r="B258" s="10" t="n"/>
      <c r="C258" s="17" t="n"/>
      <c r="D258" s="17" t="n"/>
      <c r="E258" s="23" t="n"/>
      <c r="F258" s="24" t="n"/>
      <c r="G258" s="24" t="n"/>
      <c r="H258" s="17" t="n"/>
      <c r="I258" s="17" t="n"/>
      <c r="J258" s="17" t="n"/>
      <c r="K258" s="17" t="n"/>
      <c r="L258" s="16" t="n"/>
      <c r="M258" s="16" t="n"/>
      <c r="N258" s="16" t="n"/>
      <c r="O258" s="16" t="n"/>
      <c r="P258" s="16" t="n"/>
      <c r="Q258" s="16" t="n"/>
      <c r="R258" s="9" t="n"/>
    </row>
    <row r="259">
      <c r="A259" s="17" t="n"/>
      <c r="B259" s="10" t="n"/>
      <c r="C259" s="17" t="n"/>
      <c r="D259" s="17" t="n"/>
      <c r="E259" s="23" t="n"/>
      <c r="F259" s="24" t="n"/>
      <c r="G259" s="24" t="n"/>
      <c r="H259" s="17" t="n"/>
      <c r="I259" s="17" t="n"/>
      <c r="J259" s="17" t="n"/>
      <c r="K259" s="17" t="n"/>
      <c r="L259" s="16" t="n"/>
      <c r="M259" s="16" t="n"/>
      <c r="N259" s="16" t="n"/>
      <c r="O259" s="16" t="n"/>
      <c r="P259" s="16" t="n"/>
      <c r="Q259" s="16" t="n"/>
      <c r="R259" s="9" t="n"/>
    </row>
    <row r="260">
      <c r="A260" s="17" t="n"/>
      <c r="B260" s="10" t="n"/>
      <c r="C260" s="17" t="n"/>
      <c r="D260" s="17" t="n"/>
      <c r="E260" s="23" t="n"/>
      <c r="F260" s="24" t="n"/>
      <c r="G260" s="24" t="n"/>
      <c r="H260" s="17" t="n"/>
      <c r="I260" s="17" t="n"/>
      <c r="J260" s="17" t="n"/>
      <c r="K260" s="17" t="n"/>
      <c r="L260" s="16" t="n"/>
      <c r="M260" s="16" t="n"/>
      <c r="N260" s="16" t="n"/>
      <c r="O260" s="16" t="n"/>
      <c r="P260" s="16" t="n"/>
      <c r="Q260" s="16" t="n"/>
      <c r="R260" s="9" t="n"/>
    </row>
    <row r="261">
      <c r="A261" s="17" t="n"/>
      <c r="B261" s="10" t="n"/>
      <c r="C261" s="17" t="n"/>
      <c r="D261" s="17" t="n"/>
      <c r="E261" s="23" t="n"/>
      <c r="F261" s="24" t="n"/>
      <c r="G261" s="24" t="n"/>
      <c r="H261" s="17" t="n"/>
      <c r="I261" s="17" t="n"/>
      <c r="J261" s="17" t="n"/>
      <c r="K261" s="17" t="n"/>
      <c r="L261" s="16" t="n"/>
      <c r="M261" s="16" t="n"/>
      <c r="N261" s="16" t="n"/>
      <c r="O261" s="16" t="n"/>
      <c r="P261" s="16" t="n"/>
      <c r="Q261" s="16" t="n"/>
      <c r="R261" s="9" t="n"/>
    </row>
    <row r="262">
      <c r="A262" s="17" t="n"/>
      <c r="B262" s="10" t="n"/>
      <c r="C262" s="17" t="n"/>
      <c r="D262" s="17" t="n"/>
      <c r="E262" s="23" t="n"/>
      <c r="F262" s="24" t="n"/>
      <c r="G262" s="24" t="n"/>
      <c r="H262" s="17" t="n"/>
      <c r="I262" s="17" t="n"/>
      <c r="J262" s="17" t="n"/>
      <c r="K262" s="17" t="n"/>
      <c r="L262" s="16" t="n"/>
      <c r="M262" s="16" t="n"/>
      <c r="N262" s="16" t="n"/>
      <c r="O262" s="16" t="n"/>
      <c r="P262" s="16" t="n"/>
      <c r="Q262" s="16" t="n"/>
      <c r="R262" s="9" t="n"/>
    </row>
    <row r="263">
      <c r="A263" s="17" t="n"/>
      <c r="B263" s="10" t="n"/>
      <c r="C263" s="17" t="n"/>
      <c r="D263" s="17" t="n"/>
      <c r="E263" s="23" t="n"/>
      <c r="F263" s="24" t="n"/>
      <c r="G263" s="24" t="n"/>
      <c r="H263" s="17" t="n"/>
      <c r="I263" s="17" t="n"/>
      <c r="J263" s="17" t="n"/>
      <c r="K263" s="17" t="n"/>
      <c r="L263" s="16" t="n"/>
      <c r="M263" s="16" t="n"/>
      <c r="N263" s="16" t="n"/>
      <c r="O263" s="16" t="n"/>
      <c r="P263" s="16" t="n"/>
      <c r="Q263" s="16" t="n"/>
      <c r="R263" s="9" t="n"/>
    </row>
    <row r="264">
      <c r="A264" s="17" t="n"/>
      <c r="B264" s="10" t="n"/>
      <c r="C264" s="17" t="n"/>
      <c r="D264" s="17" t="n"/>
      <c r="E264" s="23" t="n"/>
      <c r="F264" s="24" t="n"/>
      <c r="G264" s="24" t="n"/>
      <c r="H264" s="17" t="n"/>
      <c r="I264" s="17" t="n"/>
      <c r="J264" s="17" t="n"/>
      <c r="K264" s="17" t="n"/>
      <c r="L264" s="16" t="n"/>
      <c r="M264" s="16" t="n"/>
      <c r="N264" s="16" t="n"/>
      <c r="O264" s="16" t="n"/>
      <c r="P264" s="16" t="n"/>
      <c r="Q264" s="16" t="n"/>
      <c r="R264" s="9" t="n"/>
    </row>
    <row r="265">
      <c r="A265" s="17" t="n"/>
      <c r="B265" s="10" t="n"/>
      <c r="C265" s="17" t="n"/>
      <c r="D265" s="17" t="n"/>
      <c r="E265" s="23" t="n"/>
      <c r="F265" s="24" t="n"/>
      <c r="G265" s="24" t="n"/>
      <c r="H265" s="17" t="n"/>
      <c r="I265" s="17" t="n"/>
      <c r="J265" s="17" t="n"/>
      <c r="K265" s="17" t="n"/>
      <c r="L265" s="16" t="n"/>
      <c r="M265" s="16" t="n"/>
      <c r="N265" s="16" t="n"/>
      <c r="O265" s="16" t="n"/>
      <c r="P265" s="16" t="n"/>
      <c r="Q265" s="16" t="n"/>
      <c r="R265" s="9" t="n"/>
    </row>
    <row r="266">
      <c r="A266" s="17" t="n"/>
      <c r="B266" s="10" t="n"/>
      <c r="C266" s="17" t="n"/>
      <c r="D266" s="17" t="n"/>
      <c r="E266" s="23" t="n"/>
      <c r="F266" s="24" t="n"/>
      <c r="G266" s="24" t="n"/>
      <c r="H266" s="17" t="n"/>
      <c r="I266" s="17" t="n"/>
      <c r="J266" s="17" t="n"/>
      <c r="K266" s="17" t="n"/>
      <c r="L266" s="16" t="n"/>
      <c r="M266" s="16" t="n"/>
      <c r="N266" s="16" t="n"/>
      <c r="O266" s="16" t="n"/>
      <c r="P266" s="16" t="n"/>
      <c r="Q266" s="16" t="n"/>
      <c r="R266" s="9" t="n"/>
    </row>
    <row r="267">
      <c r="A267" s="17" t="n"/>
      <c r="B267" s="10" t="n"/>
      <c r="C267" s="17" t="n"/>
      <c r="D267" s="17" t="n"/>
      <c r="E267" s="23" t="n"/>
      <c r="F267" s="24" t="n"/>
      <c r="G267" s="24" t="n"/>
      <c r="H267" s="17" t="n"/>
      <c r="I267" s="17" t="n"/>
      <c r="J267" s="17" t="n"/>
      <c r="K267" s="17" t="n"/>
      <c r="L267" s="16" t="n"/>
      <c r="M267" s="16" t="n"/>
      <c r="N267" s="16" t="n"/>
      <c r="O267" s="16" t="n"/>
      <c r="P267" s="16" t="n"/>
      <c r="Q267" s="16" t="n"/>
      <c r="R267" s="9" t="n"/>
    </row>
    <row r="268">
      <c r="A268" s="17" t="n"/>
      <c r="B268" s="10" t="n"/>
      <c r="C268" s="17" t="n"/>
      <c r="D268" s="17" t="n"/>
      <c r="E268" s="23" t="n"/>
      <c r="F268" s="24" t="n"/>
      <c r="G268" s="24" t="n"/>
      <c r="H268" s="17" t="n"/>
      <c r="I268" s="17" t="n"/>
      <c r="J268" s="17" t="n"/>
      <c r="K268" s="17" t="n"/>
      <c r="L268" s="16" t="n"/>
      <c r="M268" s="16" t="n"/>
      <c r="N268" s="16" t="n"/>
      <c r="O268" s="16" t="n"/>
      <c r="P268" s="16" t="n"/>
      <c r="Q268" s="16" t="n"/>
      <c r="R268" s="9" t="n"/>
    </row>
    <row r="269">
      <c r="A269" s="17" t="n"/>
      <c r="B269" s="10" t="n"/>
      <c r="C269" s="17" t="n"/>
      <c r="D269" s="17" t="n"/>
      <c r="E269" s="23" t="n"/>
      <c r="F269" s="24" t="n"/>
      <c r="G269" s="24" t="n"/>
      <c r="H269" s="17" t="n"/>
      <c r="I269" s="17" t="n"/>
      <c r="J269" s="17" t="n"/>
      <c r="K269" s="17" t="n"/>
      <c r="L269" s="16" t="n"/>
      <c r="M269" s="16" t="n"/>
      <c r="N269" s="16" t="n"/>
      <c r="O269" s="16" t="n"/>
      <c r="P269" s="16" t="n"/>
      <c r="Q269" s="16" t="n"/>
      <c r="R269" s="9" t="n"/>
    </row>
    <row r="270">
      <c r="A270" s="17" t="n"/>
      <c r="B270" s="10" t="n"/>
      <c r="C270" s="17" t="n"/>
      <c r="D270" s="17" t="n"/>
      <c r="E270" s="23" t="n"/>
      <c r="F270" s="24" t="n"/>
      <c r="G270" s="24" t="n"/>
      <c r="H270" s="17" t="n"/>
      <c r="I270" s="17" t="n"/>
      <c r="J270" s="17" t="n"/>
      <c r="K270" s="17" t="n"/>
      <c r="L270" s="16" t="n"/>
      <c r="M270" s="16" t="n"/>
      <c r="N270" s="16" t="n"/>
      <c r="O270" s="16" t="n"/>
      <c r="P270" s="16" t="n"/>
      <c r="Q270" s="16" t="n"/>
      <c r="R270" s="9" t="n"/>
    </row>
    <row r="271">
      <c r="A271" s="17" t="n"/>
      <c r="B271" s="10" t="n"/>
      <c r="C271" s="17" t="n"/>
      <c r="D271" s="17" t="n"/>
      <c r="E271" s="23" t="n"/>
      <c r="F271" s="24" t="n"/>
      <c r="G271" s="24" t="n"/>
      <c r="H271" s="17" t="n"/>
      <c r="I271" s="17" t="n"/>
      <c r="J271" s="17" t="n"/>
      <c r="K271" s="17" t="n"/>
      <c r="L271" s="16" t="n"/>
      <c r="M271" s="16" t="n"/>
      <c r="N271" s="16" t="n"/>
      <c r="O271" s="16" t="n"/>
      <c r="P271" s="16" t="n"/>
      <c r="Q271" s="16" t="n"/>
      <c r="R271" s="9" t="n"/>
    </row>
    <row r="272">
      <c r="A272" s="17" t="n"/>
      <c r="B272" s="10" t="n"/>
      <c r="C272" s="17" t="n"/>
      <c r="D272" s="17" t="n"/>
      <c r="E272" s="23" t="n"/>
      <c r="F272" s="24" t="n"/>
      <c r="G272" s="24" t="n"/>
      <c r="H272" s="17" t="n"/>
      <c r="I272" s="17" t="n"/>
      <c r="J272" s="17" t="n"/>
      <c r="K272" s="17" t="n"/>
      <c r="L272" s="16" t="n"/>
      <c r="M272" s="16" t="n"/>
      <c r="N272" s="16" t="n"/>
      <c r="O272" s="16" t="n"/>
      <c r="P272" s="16" t="n"/>
      <c r="Q272" s="16" t="n"/>
      <c r="R272" s="9" t="n"/>
    </row>
    <row r="273">
      <c r="A273" s="17" t="n"/>
      <c r="B273" s="10" t="n"/>
      <c r="C273" s="17" t="n"/>
      <c r="D273" s="17" t="n"/>
      <c r="E273" s="23" t="n"/>
      <c r="F273" s="24" t="n"/>
      <c r="G273" s="24" t="n"/>
      <c r="H273" s="17" t="n"/>
      <c r="I273" s="17" t="n"/>
      <c r="J273" s="17" t="n"/>
      <c r="K273" s="17" t="n"/>
      <c r="L273" s="16" t="n"/>
      <c r="M273" s="16" t="n"/>
      <c r="N273" s="16" t="n"/>
      <c r="O273" s="16" t="n"/>
      <c r="P273" s="16" t="n"/>
      <c r="Q273" s="16" t="n"/>
      <c r="R273" s="9" t="n"/>
    </row>
    <row r="274">
      <c r="A274" s="17" t="n"/>
      <c r="B274" s="10" t="n"/>
      <c r="C274" s="17" t="n"/>
      <c r="D274" s="17" t="n"/>
      <c r="E274" s="23" t="n"/>
      <c r="F274" s="24" t="n"/>
      <c r="G274" s="24" t="n"/>
      <c r="H274" s="17" t="n"/>
      <c r="I274" s="17" t="n"/>
      <c r="J274" s="17" t="n"/>
      <c r="K274" s="17" t="n"/>
      <c r="L274" s="16" t="n"/>
      <c r="M274" s="16" t="n"/>
      <c r="N274" s="16" t="n"/>
      <c r="O274" s="16" t="n"/>
      <c r="P274" s="16" t="n"/>
      <c r="Q274" s="16" t="n"/>
      <c r="R274" s="9" t="n"/>
    </row>
    <row r="275">
      <c r="A275" s="17" t="n"/>
      <c r="B275" s="10" t="n"/>
      <c r="C275" s="17" t="n"/>
      <c r="D275" s="17" t="n"/>
      <c r="E275" s="23" t="n"/>
      <c r="F275" s="24" t="n"/>
      <c r="G275" s="24" t="n"/>
      <c r="H275" s="17" t="n"/>
      <c r="I275" s="17" t="n"/>
      <c r="J275" s="17" t="n"/>
      <c r="K275" s="17" t="n"/>
      <c r="L275" s="16" t="n"/>
      <c r="M275" s="16" t="n"/>
      <c r="N275" s="16" t="n"/>
      <c r="O275" s="16" t="n"/>
      <c r="P275" s="16" t="n"/>
      <c r="Q275" s="16" t="n"/>
      <c r="R275" s="9" t="n"/>
    </row>
    <row r="276">
      <c r="A276" s="17" t="n"/>
      <c r="B276" s="10" t="n"/>
      <c r="C276" s="17" t="n"/>
      <c r="D276" s="17" t="n"/>
      <c r="E276" s="23" t="n"/>
      <c r="F276" s="24" t="n"/>
      <c r="G276" s="24" t="n"/>
      <c r="H276" s="17" t="n"/>
      <c r="I276" s="17" t="n"/>
      <c r="J276" s="17" t="n"/>
      <c r="K276" s="17" t="n"/>
      <c r="L276" s="16" t="n"/>
      <c r="M276" s="16" t="n"/>
      <c r="N276" s="16" t="n"/>
      <c r="O276" s="16" t="n"/>
      <c r="P276" s="16" t="n"/>
      <c r="Q276" s="16" t="n"/>
      <c r="R276" s="9" t="n"/>
    </row>
    <row r="277">
      <c r="A277" s="17" t="n"/>
      <c r="B277" s="10" t="n"/>
      <c r="C277" s="17" t="n"/>
      <c r="D277" s="17" t="n"/>
      <c r="E277" s="23" t="n"/>
      <c r="F277" s="24" t="n"/>
      <c r="G277" s="24" t="n"/>
      <c r="H277" s="17" t="n"/>
      <c r="I277" s="17" t="n"/>
      <c r="J277" s="17" t="n"/>
      <c r="K277" s="17" t="n"/>
      <c r="L277" s="16" t="n"/>
      <c r="M277" s="16" t="n"/>
      <c r="N277" s="16" t="n"/>
      <c r="O277" s="16" t="n"/>
      <c r="P277" s="16" t="n"/>
      <c r="Q277" s="16" t="n"/>
      <c r="R277" s="9" t="n"/>
    </row>
    <row r="278">
      <c r="A278" s="17" t="n"/>
      <c r="B278" s="10" t="n"/>
      <c r="C278" s="17" t="n"/>
      <c r="D278" s="17" t="n"/>
      <c r="E278" s="23" t="n"/>
      <c r="F278" s="24" t="n"/>
      <c r="G278" s="24" t="n"/>
      <c r="H278" s="17" t="n"/>
      <c r="I278" s="17" t="n"/>
      <c r="J278" s="17" t="n"/>
      <c r="K278" s="17" t="n"/>
      <c r="L278" s="16" t="n"/>
      <c r="M278" s="16" t="n"/>
      <c r="N278" s="16" t="n"/>
      <c r="O278" s="16" t="n"/>
      <c r="P278" s="16" t="n"/>
      <c r="Q278" s="16" t="n"/>
      <c r="R278" s="9" t="n"/>
    </row>
    <row r="279">
      <c r="A279" s="17" t="n"/>
      <c r="B279" s="10" t="n"/>
      <c r="C279" s="17" t="n"/>
      <c r="D279" s="17" t="n"/>
      <c r="E279" s="23" t="n"/>
      <c r="F279" s="24" t="n"/>
      <c r="G279" s="24" t="n"/>
      <c r="H279" s="17" t="n"/>
      <c r="I279" s="17" t="n"/>
      <c r="J279" s="17" t="n"/>
      <c r="K279" s="17" t="n"/>
      <c r="L279" s="16" t="n"/>
      <c r="M279" s="16" t="n"/>
      <c r="N279" s="16" t="n"/>
      <c r="O279" s="16" t="n"/>
      <c r="P279" s="16" t="n"/>
      <c r="Q279" s="16" t="n"/>
      <c r="R279" s="9" t="n"/>
    </row>
    <row r="280">
      <c r="A280" s="17" t="n"/>
      <c r="B280" s="10" t="n"/>
      <c r="C280" s="17" t="n"/>
      <c r="D280" s="17" t="n"/>
      <c r="E280" s="23" t="n"/>
      <c r="F280" s="24" t="n"/>
      <c r="G280" s="24" t="n"/>
      <c r="H280" s="17" t="n"/>
      <c r="I280" s="17" t="n"/>
      <c r="J280" s="17" t="n"/>
      <c r="K280" s="17" t="n"/>
      <c r="L280" s="16" t="n"/>
      <c r="M280" s="16" t="n"/>
      <c r="N280" s="16" t="n"/>
      <c r="O280" s="16" t="n"/>
      <c r="P280" s="16" t="n"/>
      <c r="Q280" s="16" t="n"/>
      <c r="R280" s="9" t="n"/>
    </row>
    <row r="281">
      <c r="A281" s="17" t="n"/>
      <c r="B281" s="10" t="n"/>
      <c r="C281" s="17" t="n"/>
      <c r="D281" s="17" t="n"/>
      <c r="E281" s="23" t="n"/>
      <c r="F281" s="24" t="n"/>
      <c r="G281" s="24" t="n"/>
      <c r="H281" s="17" t="n"/>
      <c r="I281" s="17" t="n"/>
      <c r="J281" s="17" t="n"/>
      <c r="K281" s="17" t="n"/>
      <c r="L281" s="16" t="n"/>
      <c r="M281" s="16" t="n"/>
      <c r="N281" s="16" t="n"/>
      <c r="O281" s="16" t="n"/>
      <c r="P281" s="16" t="n"/>
      <c r="Q281" s="16" t="n"/>
      <c r="R281" s="9" t="n"/>
    </row>
    <row r="282">
      <c r="A282" s="17" t="n"/>
      <c r="B282" s="10" t="n"/>
      <c r="C282" s="17" t="n"/>
      <c r="D282" s="17" t="n"/>
      <c r="E282" s="23" t="n"/>
      <c r="F282" s="24" t="n"/>
      <c r="G282" s="24" t="n"/>
      <c r="H282" s="17" t="n"/>
      <c r="I282" s="17" t="n"/>
      <c r="J282" s="17" t="n"/>
      <c r="K282" s="17" t="n"/>
      <c r="L282" s="16" t="n"/>
      <c r="M282" s="16" t="n"/>
      <c r="N282" s="16" t="n"/>
      <c r="O282" s="16" t="n"/>
      <c r="P282" s="16" t="n"/>
      <c r="Q282" s="16" t="n"/>
      <c r="R282" s="9" t="n"/>
    </row>
    <row r="283">
      <c r="A283" s="17" t="n"/>
      <c r="B283" s="10" t="n"/>
      <c r="C283" s="17" t="n"/>
      <c r="D283" s="17" t="n"/>
      <c r="E283" s="23" t="n"/>
      <c r="F283" s="24" t="n"/>
      <c r="G283" s="24" t="n"/>
      <c r="H283" s="17" t="n"/>
      <c r="I283" s="17" t="n"/>
      <c r="J283" s="17" t="n"/>
      <c r="K283" s="17" t="n"/>
      <c r="L283" s="16" t="n"/>
      <c r="M283" s="16" t="n"/>
      <c r="N283" s="16" t="n"/>
      <c r="O283" s="16" t="n"/>
      <c r="P283" s="16" t="n"/>
      <c r="Q283" s="16" t="n"/>
      <c r="R283" s="9" t="n"/>
    </row>
    <row r="284">
      <c r="A284" s="17" t="n"/>
      <c r="B284" s="10" t="n"/>
      <c r="C284" s="17" t="n"/>
      <c r="D284" s="17" t="n"/>
      <c r="E284" s="23" t="n"/>
      <c r="F284" s="24" t="n"/>
      <c r="G284" s="24" t="n"/>
      <c r="H284" s="17" t="n"/>
      <c r="I284" s="17" t="n"/>
      <c r="J284" s="17" t="n"/>
      <c r="K284" s="17" t="n"/>
      <c r="L284" s="16" t="n"/>
      <c r="M284" s="16" t="n"/>
      <c r="N284" s="16" t="n"/>
      <c r="O284" s="16" t="n"/>
      <c r="P284" s="16" t="n"/>
      <c r="Q284" s="16" t="n"/>
      <c r="R284" s="9" t="n"/>
    </row>
    <row r="285">
      <c r="A285" s="17" t="n"/>
      <c r="B285" s="10" t="n"/>
      <c r="C285" s="17" t="n"/>
      <c r="D285" s="17" t="n"/>
      <c r="E285" s="23" t="n"/>
      <c r="F285" s="24" t="n"/>
      <c r="G285" s="24" t="n"/>
      <c r="H285" s="17" t="n"/>
      <c r="I285" s="17" t="n"/>
      <c r="J285" s="17" t="n"/>
      <c r="K285" s="17" t="n"/>
      <c r="L285" s="16" t="n"/>
      <c r="M285" s="16" t="n"/>
      <c r="N285" s="16" t="n"/>
      <c r="O285" s="16" t="n"/>
      <c r="P285" s="16" t="n"/>
      <c r="Q285" s="16" t="n"/>
      <c r="R285" s="9" t="n"/>
    </row>
    <row r="286">
      <c r="A286" s="17" t="n"/>
      <c r="B286" s="10" t="n"/>
      <c r="C286" s="17" t="n"/>
      <c r="D286" s="17" t="n"/>
      <c r="E286" s="23" t="n"/>
      <c r="F286" s="24" t="n"/>
      <c r="G286" s="24" t="n"/>
      <c r="H286" s="17" t="n"/>
      <c r="I286" s="17" t="n"/>
      <c r="J286" s="17" t="n"/>
      <c r="K286" s="17" t="n"/>
      <c r="L286" s="16" t="n"/>
      <c r="M286" s="16" t="n"/>
      <c r="N286" s="16" t="n"/>
      <c r="O286" s="16" t="n"/>
      <c r="P286" s="16" t="n"/>
      <c r="Q286" s="16" t="n"/>
      <c r="R286" s="9" t="n"/>
    </row>
    <row r="287">
      <c r="A287" s="17" t="n"/>
      <c r="B287" s="10" t="n"/>
      <c r="C287" s="17" t="n"/>
      <c r="D287" s="17" t="n"/>
      <c r="E287" s="23" t="n"/>
      <c r="F287" s="24" t="n"/>
      <c r="G287" s="24" t="n"/>
      <c r="H287" s="17" t="n"/>
      <c r="I287" s="17" t="n"/>
      <c r="J287" s="17" t="n"/>
      <c r="K287" s="17" t="n"/>
      <c r="L287" s="16" t="n"/>
      <c r="M287" s="16" t="n"/>
      <c r="N287" s="16" t="n"/>
      <c r="O287" s="16" t="n"/>
      <c r="P287" s="16" t="n"/>
      <c r="Q287" s="16" t="n"/>
      <c r="R287" s="9" t="n"/>
    </row>
    <row r="288">
      <c r="A288" s="17" t="n"/>
      <c r="B288" s="10" t="n"/>
      <c r="C288" s="17" t="n"/>
      <c r="D288" s="17" t="n"/>
      <c r="E288" s="23" t="n"/>
      <c r="F288" s="24" t="n"/>
      <c r="G288" s="24" t="n"/>
      <c r="H288" s="17" t="n"/>
      <c r="I288" s="17" t="n"/>
      <c r="J288" s="17" t="n"/>
      <c r="K288" s="17" t="n"/>
      <c r="L288" s="16" t="n"/>
      <c r="M288" s="16" t="n"/>
      <c r="N288" s="16" t="n"/>
      <c r="O288" s="16" t="n"/>
      <c r="P288" s="16" t="n"/>
      <c r="Q288" s="16" t="n"/>
      <c r="R288" s="9" t="n"/>
    </row>
    <row r="289">
      <c r="A289" s="17" t="n"/>
      <c r="B289" s="10" t="n"/>
      <c r="C289" s="17" t="n"/>
      <c r="D289" s="17" t="n"/>
      <c r="E289" s="23" t="n"/>
      <c r="F289" s="24" t="n"/>
      <c r="G289" s="24" t="n"/>
      <c r="H289" s="17" t="n"/>
      <c r="I289" s="17" t="n"/>
      <c r="J289" s="17" t="n"/>
      <c r="K289" s="17" t="n"/>
      <c r="L289" s="16" t="n"/>
      <c r="M289" s="16" t="n"/>
      <c r="N289" s="16" t="n"/>
      <c r="O289" s="16" t="n"/>
      <c r="P289" s="16" t="n"/>
      <c r="Q289" s="16" t="n"/>
      <c r="R289" s="9" t="n"/>
    </row>
    <row r="290">
      <c r="A290" s="17" t="n"/>
      <c r="B290" s="10" t="n"/>
      <c r="C290" s="17" t="n"/>
      <c r="D290" s="17" t="n"/>
      <c r="E290" s="23" t="n"/>
      <c r="F290" s="24" t="n"/>
      <c r="G290" s="24" t="n"/>
      <c r="H290" s="17" t="n"/>
      <c r="I290" s="17" t="n"/>
      <c r="J290" s="17" t="n"/>
      <c r="K290" s="17" t="n"/>
      <c r="L290" s="16" t="n"/>
      <c r="M290" s="16" t="n"/>
      <c r="N290" s="16" t="n"/>
      <c r="O290" s="16" t="n"/>
      <c r="P290" s="16" t="n"/>
      <c r="Q290" s="16" t="n"/>
      <c r="R290" s="9" t="n"/>
    </row>
    <row r="291">
      <c r="A291" s="17" t="n"/>
      <c r="B291" s="10" t="n"/>
      <c r="C291" s="17" t="n"/>
      <c r="D291" s="17" t="n"/>
      <c r="E291" s="23" t="n"/>
      <c r="F291" s="24" t="n"/>
      <c r="G291" s="24" t="n"/>
      <c r="H291" s="17" t="n"/>
      <c r="I291" s="17" t="n"/>
      <c r="J291" s="17" t="n"/>
      <c r="K291" s="17" t="n"/>
      <c r="L291" s="16" t="n"/>
      <c r="M291" s="16" t="n"/>
      <c r="N291" s="16" t="n"/>
      <c r="O291" s="16" t="n"/>
      <c r="P291" s="16" t="n"/>
      <c r="Q291" s="16" t="n"/>
      <c r="R291" s="9" t="n"/>
    </row>
    <row r="292">
      <c r="A292" s="17" t="n"/>
      <c r="B292" s="10" t="n"/>
      <c r="C292" s="17" t="n"/>
      <c r="D292" s="17" t="n"/>
      <c r="E292" s="23" t="n"/>
      <c r="F292" s="24" t="n"/>
      <c r="G292" s="24" t="n"/>
      <c r="H292" s="17" t="n"/>
      <c r="I292" s="17" t="n"/>
      <c r="J292" s="17" t="n"/>
      <c r="K292" s="17" t="n"/>
      <c r="L292" s="16" t="n"/>
      <c r="M292" s="16" t="n"/>
      <c r="N292" s="16" t="n"/>
      <c r="O292" s="16" t="n"/>
      <c r="P292" s="16" t="n"/>
      <c r="Q292" s="16" t="n"/>
      <c r="R292" s="9" t="n"/>
    </row>
    <row r="293">
      <c r="A293" s="17" t="n"/>
      <c r="B293" s="10" t="n"/>
      <c r="C293" s="17" t="n"/>
      <c r="D293" s="17" t="n"/>
      <c r="E293" s="23" t="n"/>
      <c r="F293" s="24" t="n"/>
      <c r="G293" s="24" t="n"/>
      <c r="H293" s="17" t="n"/>
      <c r="I293" s="17" t="n"/>
      <c r="J293" s="17" t="n"/>
      <c r="K293" s="17" t="n"/>
      <c r="L293" s="16" t="n"/>
      <c r="M293" s="16" t="n"/>
      <c r="N293" s="16" t="n"/>
      <c r="O293" s="16" t="n"/>
      <c r="P293" s="16" t="n"/>
      <c r="Q293" s="16" t="n"/>
      <c r="R293" s="9" t="n"/>
    </row>
    <row r="294">
      <c r="A294" s="17" t="n"/>
      <c r="B294" s="10" t="n"/>
      <c r="C294" s="17" t="n"/>
      <c r="D294" s="17" t="n"/>
      <c r="E294" s="23" t="n"/>
      <c r="F294" s="24" t="n"/>
      <c r="G294" s="24" t="n"/>
      <c r="H294" s="17" t="n"/>
      <c r="I294" s="17" t="n"/>
      <c r="J294" s="17" t="n"/>
      <c r="K294" s="17" t="n"/>
      <c r="L294" s="16" t="n"/>
      <c r="M294" s="16" t="n"/>
      <c r="N294" s="16" t="n"/>
      <c r="O294" s="16" t="n"/>
      <c r="P294" s="16" t="n"/>
      <c r="Q294" s="16" t="n"/>
      <c r="R294" s="9" t="n"/>
    </row>
    <row r="295">
      <c r="A295" s="17" t="n"/>
      <c r="B295" s="10" t="n"/>
      <c r="C295" s="17" t="n"/>
      <c r="D295" s="17" t="n"/>
      <c r="E295" s="23" t="n"/>
      <c r="F295" s="24" t="n"/>
      <c r="G295" s="24" t="n"/>
      <c r="H295" s="17" t="n"/>
      <c r="I295" s="17" t="n"/>
      <c r="J295" s="17" t="n"/>
      <c r="K295" s="17" t="n"/>
      <c r="L295" s="16" t="n"/>
      <c r="M295" s="16" t="n"/>
      <c r="N295" s="16" t="n"/>
      <c r="O295" s="16" t="n"/>
      <c r="P295" s="16" t="n"/>
      <c r="Q295" s="16" t="n"/>
      <c r="R295" s="9" t="n"/>
    </row>
    <row r="296">
      <c r="A296" s="17" t="n"/>
      <c r="B296" s="10" t="n"/>
      <c r="C296" s="17" t="n"/>
      <c r="D296" s="17" t="n"/>
      <c r="E296" s="23" t="n"/>
      <c r="F296" s="24" t="n"/>
      <c r="G296" s="24" t="n"/>
      <c r="H296" s="17" t="n"/>
      <c r="I296" s="17" t="n"/>
      <c r="J296" s="17" t="n"/>
      <c r="K296" s="17" t="n"/>
      <c r="L296" s="16" t="n"/>
      <c r="M296" s="16" t="n"/>
      <c r="N296" s="16" t="n"/>
      <c r="O296" s="16" t="n"/>
      <c r="P296" s="16" t="n"/>
      <c r="Q296" s="16" t="n"/>
      <c r="R296" s="9" t="n"/>
    </row>
    <row r="297">
      <c r="A297" s="17" t="n"/>
      <c r="B297" s="10" t="n"/>
      <c r="C297" s="17" t="n"/>
      <c r="D297" s="17" t="n"/>
      <c r="E297" s="23" t="n"/>
      <c r="F297" s="24" t="n"/>
      <c r="G297" s="24" t="n"/>
      <c r="H297" s="17" t="n"/>
      <c r="I297" s="17" t="n"/>
      <c r="J297" s="17" t="n"/>
      <c r="K297" s="17" t="n"/>
      <c r="L297" s="16" t="n"/>
      <c r="M297" s="16" t="n"/>
      <c r="N297" s="16" t="n"/>
      <c r="O297" s="16" t="n"/>
      <c r="P297" s="16" t="n"/>
      <c r="Q297" s="16" t="n"/>
      <c r="R297" s="9" t="n"/>
    </row>
    <row r="298">
      <c r="A298" s="17" t="n"/>
      <c r="B298" s="10" t="n"/>
      <c r="C298" s="17" t="n"/>
      <c r="D298" s="17" t="n"/>
      <c r="E298" s="23" t="n"/>
      <c r="F298" s="24" t="n"/>
      <c r="G298" s="24" t="n"/>
      <c r="H298" s="17" t="n"/>
      <c r="I298" s="17" t="n"/>
      <c r="J298" s="17" t="n"/>
      <c r="K298" s="17" t="n"/>
      <c r="L298" s="16" t="n"/>
      <c r="M298" s="16" t="n"/>
      <c r="N298" s="16" t="n"/>
      <c r="O298" s="16" t="n"/>
      <c r="P298" s="16" t="n"/>
      <c r="Q298" s="16" t="n"/>
      <c r="R298" s="9" t="n"/>
    </row>
    <row r="299">
      <c r="A299" s="17" t="n"/>
      <c r="B299" s="10" t="n"/>
      <c r="C299" s="17" t="n"/>
      <c r="D299" s="17" t="n"/>
      <c r="E299" s="23" t="n"/>
      <c r="F299" s="24" t="n"/>
      <c r="G299" s="24" t="n"/>
      <c r="H299" s="17" t="n"/>
      <c r="I299" s="17" t="n"/>
      <c r="J299" s="17" t="n"/>
      <c r="K299" s="17" t="n"/>
      <c r="L299" s="16" t="n"/>
      <c r="M299" s="16" t="n"/>
      <c r="N299" s="16" t="n"/>
      <c r="O299" s="16" t="n"/>
      <c r="P299" s="16" t="n"/>
      <c r="Q299" s="16" t="n"/>
      <c r="R299" s="9" t="n"/>
    </row>
    <row r="300">
      <c r="A300" s="17" t="n"/>
      <c r="B300" s="10" t="n"/>
      <c r="C300" s="17" t="n"/>
      <c r="D300" s="17" t="n"/>
      <c r="E300" s="23" t="n"/>
      <c r="F300" s="24" t="n"/>
      <c r="G300" s="24" t="n"/>
      <c r="H300" s="17" t="n"/>
      <c r="I300" s="17" t="n"/>
      <c r="J300" s="17" t="n"/>
      <c r="K300" s="17" t="n"/>
      <c r="L300" s="16" t="n"/>
      <c r="M300" s="16" t="n"/>
      <c r="N300" s="16" t="n"/>
      <c r="O300" s="16" t="n"/>
      <c r="P300" s="16" t="n"/>
      <c r="Q300" s="16" t="n"/>
      <c r="R300" s="9" t="n"/>
    </row>
    <row r="301">
      <c r="A301" s="17" t="n"/>
      <c r="B301" s="10" t="n"/>
      <c r="C301" s="17" t="n"/>
      <c r="D301" s="17" t="n"/>
      <c r="E301" s="23" t="n"/>
      <c r="F301" s="24" t="n"/>
      <c r="G301" s="24" t="n"/>
      <c r="H301" s="17" t="n"/>
      <c r="I301" s="17" t="n"/>
      <c r="J301" s="17" t="n"/>
      <c r="K301" s="17" t="n"/>
      <c r="L301" s="16" t="n"/>
      <c r="M301" s="16" t="n"/>
      <c r="N301" s="16" t="n"/>
      <c r="O301" s="16" t="n"/>
      <c r="P301" s="16" t="n"/>
      <c r="Q301" s="16" t="n"/>
      <c r="R301" s="9" t="n"/>
    </row>
    <row r="302">
      <c r="A302" s="17" t="n"/>
      <c r="B302" s="10" t="n"/>
      <c r="C302" s="17" t="n"/>
      <c r="D302" s="17" t="n"/>
      <c r="E302" s="23" t="n"/>
      <c r="F302" s="24" t="n"/>
      <c r="G302" s="24" t="n"/>
      <c r="H302" s="17" t="n"/>
      <c r="I302" s="17" t="n"/>
      <c r="J302" s="17" t="n"/>
      <c r="K302" s="17" t="n"/>
      <c r="L302" s="16" t="n"/>
      <c r="M302" s="16" t="n"/>
      <c r="N302" s="16" t="n"/>
      <c r="O302" s="16" t="n"/>
      <c r="P302" s="16" t="n"/>
      <c r="Q302" s="16" t="n"/>
      <c r="R302" s="9" t="n"/>
    </row>
    <row r="303">
      <c r="A303" s="17" t="n"/>
      <c r="B303" s="10" t="n"/>
      <c r="C303" s="17" t="n"/>
      <c r="D303" s="17" t="n"/>
      <c r="E303" s="23" t="n"/>
      <c r="F303" s="24" t="n"/>
      <c r="G303" s="24" t="n"/>
      <c r="H303" s="17" t="n"/>
      <c r="I303" s="17" t="n"/>
      <c r="J303" s="17" t="n"/>
      <c r="K303" s="17" t="n"/>
      <c r="L303" s="16" t="n"/>
      <c r="M303" s="16" t="n"/>
      <c r="N303" s="16" t="n"/>
      <c r="O303" s="16" t="n"/>
      <c r="P303" s="16" t="n"/>
      <c r="Q303" s="16" t="n"/>
      <c r="R303" s="9" t="n"/>
    </row>
    <row r="304">
      <c r="A304" s="17" t="n"/>
      <c r="B304" s="10" t="n"/>
      <c r="C304" s="17" t="n"/>
      <c r="D304" s="17" t="n"/>
      <c r="E304" s="23" t="n"/>
      <c r="F304" s="24" t="n"/>
      <c r="G304" s="24" t="n"/>
      <c r="H304" s="17" t="n"/>
      <c r="I304" s="17" t="n"/>
      <c r="J304" s="17" t="n"/>
      <c r="K304" s="17" t="n"/>
      <c r="L304" s="16" t="n"/>
      <c r="M304" s="16" t="n"/>
      <c r="N304" s="16" t="n"/>
      <c r="O304" s="16" t="n"/>
      <c r="P304" s="16" t="n"/>
      <c r="Q304" s="16" t="n"/>
      <c r="R304" s="9" t="n"/>
    </row>
    <row r="305">
      <c r="A305" s="17" t="n"/>
      <c r="B305" s="10" t="n"/>
      <c r="C305" s="17" t="n"/>
      <c r="D305" s="17" t="n"/>
      <c r="E305" s="23" t="n"/>
      <c r="F305" s="24" t="n"/>
      <c r="G305" s="24" t="n"/>
      <c r="H305" s="17" t="n"/>
      <c r="I305" s="17" t="n"/>
      <c r="J305" s="17" t="n"/>
      <c r="K305" s="17" t="n"/>
      <c r="L305" s="16" t="n"/>
      <c r="M305" s="16" t="n"/>
      <c r="N305" s="16" t="n"/>
      <c r="O305" s="16" t="n"/>
      <c r="P305" s="16" t="n"/>
      <c r="Q305" s="16" t="n"/>
      <c r="R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R305"/>
  <mergeCells count="1">
    <mergeCell ref="A2:R2"/>
  </mergeCells>
  <conditionalFormatting sqref="Q6:Q305">
    <cfRule type="expression" priority="1" dxfId="0">
      <formula>OR(Q6="Pending Review",Q6="Draft",Q6="Needs Review",Q6="Suggested")</formula>
    </cfRule>
    <cfRule type="expression" priority="2" dxfId="1">
      <formula>OR(Q6="Rejected",Q6="Expired")</formula>
    </cfRule>
  </conditionalFormatting>
  <dataValidations count="1">
    <dataValidation sqref="J6:J306" showDropDown="0" showInputMessage="0" showErrorMessage="0" allowBlank="1" errorTitle="Invalid value" error="Pick a value from the list." type="list">
      <formula1>=Lists!$U$2:$U$1000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Q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1" customWidth="1" min="4" max="4"/>
    <col width="14" customWidth="1" min="5" max="5"/>
    <col width="40" customWidth="1" min="6" max="6"/>
    <col width="14" customWidth="1" min="7" max="7"/>
    <col width="7" customWidth="1" min="8" max="8"/>
    <col width="14" customWidth="1" min="9" max="9"/>
    <col width="16" customWidth="1" min="10" max="10"/>
    <col width="16" customWidth="1" min="11" max="11"/>
    <col width="11" customWidth="1" min="12" max="12"/>
    <col width="24" customWidth="1" min="13" max="13"/>
    <col width="18" customWidth="1" min="14" max="14"/>
    <col width="12" customWidth="1" min="15" max="15"/>
    <col width="60" customWidth="1" min="16" max="16"/>
    <col width="28" customWidth="1" min="17" max="17"/>
  </cols>
  <sheetData>
    <row r="1">
      <c r="A1" s="4" t="inlineStr">
        <is>
          <t>Direct Cost Build-Up</t>
        </is>
      </c>
    </row>
    <row r="2" ht="48" customHeight="1">
      <c r="A2" s="3" t="inlineStr">
        <is>
          <t>One row per resource line: quantity x rate. Unpriced lines are blank (never zero) and listed with their exception. Amount formula = ROUND(qty x rate, 2); 'Engine amount' is authoritative.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item_key</t>
        </is>
      </c>
      <c r="B4" t="inlineStr">
        <is>
          <t>assembly</t>
        </is>
      </c>
      <c r="C4" t="inlineStr">
        <is>
          <t>line_ref</t>
        </is>
      </c>
      <c r="D4" t="inlineStr">
        <is>
          <t>kind</t>
        </is>
      </c>
      <c r="E4" t="inlineStr">
        <is>
          <t>resource_id</t>
        </is>
      </c>
      <c r="F4" t="inlineStr">
        <is>
          <t>description</t>
        </is>
      </c>
      <c r="G4" t="inlineStr">
        <is>
          <t>quantity</t>
        </is>
      </c>
      <c r="H4" t="inlineStr">
        <is>
          <t>unit</t>
        </is>
      </c>
      <c r="I4" t="inlineStr">
        <is>
          <t>rate</t>
        </is>
      </c>
      <c r="J4" t="inlineStr">
        <is>
          <t>amount</t>
        </is>
      </c>
      <c r="K4" t="inlineStr">
        <is>
          <t>engine_amount</t>
        </is>
      </c>
      <c r="L4" t="inlineStr">
        <is>
          <t>check</t>
        </is>
      </c>
      <c r="M4" t="inlineStr">
        <is>
          <t>rate_type</t>
        </is>
      </c>
      <c r="N4" t="inlineStr">
        <is>
          <t>rate_status</t>
        </is>
      </c>
      <c r="O4" t="inlineStr">
        <is>
          <t>eligibility</t>
        </is>
      </c>
      <c r="P4" t="inlineStr">
        <is>
          <t>basis</t>
        </is>
      </c>
      <c r="Q4" t="inlineStr">
        <is>
          <t>flags</t>
        </is>
      </c>
    </row>
    <row r="5" ht="34" customHeight="1">
      <c r="A5" s="15" t="inlineStr">
        <is>
          <t>BOQ item</t>
        </is>
      </c>
      <c r="B5" s="15" t="inlineStr">
        <is>
          <t>Assembly</t>
        </is>
      </c>
      <c r="C5" s="15" t="inlineStr">
        <is>
          <t>Line ref</t>
        </is>
      </c>
      <c r="D5" s="15" t="inlineStr">
        <is>
          <t>Kind</t>
        </is>
      </c>
      <c r="E5" s="15" t="inlineStr">
        <is>
          <t>Resource ID</t>
        </is>
      </c>
      <c r="F5" s="15" t="inlineStr">
        <is>
          <t>Description</t>
        </is>
      </c>
      <c r="G5" s="15" t="inlineStr">
        <is>
          <t>Quantity</t>
        </is>
      </c>
      <c r="H5" s="15" t="inlineStr">
        <is>
          <t>Unit</t>
        </is>
      </c>
      <c r="I5" s="15" t="inlineStr">
        <is>
          <t>Rate (SAR)</t>
        </is>
      </c>
      <c r="J5" s="15" t="inlineStr">
        <is>
          <t>Amount (SAR)</t>
        </is>
      </c>
      <c r="K5" s="15" t="inlineStr">
        <is>
          <t>Engine amount</t>
        </is>
      </c>
      <c r="L5" s="15" t="inlineStr">
        <is>
          <t>Check</t>
        </is>
      </c>
      <c r="M5" s="15" t="inlineStr">
        <is>
          <t>Rate type</t>
        </is>
      </c>
      <c r="N5" s="15" t="inlineStr">
        <is>
          <t>Rate status</t>
        </is>
      </c>
      <c r="O5" s="15" t="inlineStr">
        <is>
          <t>Eligibility</t>
        </is>
      </c>
      <c r="P5" s="15" t="inlineStr">
        <is>
          <t>Calculation basis</t>
        </is>
      </c>
      <c r="Q5" s="15" t="inlineStr">
        <is>
          <t>Flags</t>
        </is>
      </c>
    </row>
    <row r="6">
      <c r="A6" s="16" t="n"/>
      <c r="B6" s="16" t="n"/>
      <c r="C6" s="16" t="n"/>
      <c r="D6" s="16" t="n"/>
      <c r="E6" s="16" t="n"/>
      <c r="F6" s="9" t="n"/>
      <c r="G6" s="18" t="n"/>
      <c r="H6" s="16" t="n"/>
      <c r="I6" s="25" t="n"/>
      <c r="J6" s="20">
        <f>IF(OR(G6="",I6=""),"",ROUND(G6*I6,2))</f>
        <v/>
      </c>
      <c r="K6" s="19" t="n"/>
      <c r="L6" s="21">
        <f>IF(OR(J6="",K6=""),"",IF(ABS(J6-K6)&gt;0.01,"MISMATCH","OK"))</f>
        <v/>
      </c>
      <c r="M6" s="16" t="n"/>
      <c r="N6" s="16" t="n"/>
      <c r="O6" s="16" t="n"/>
      <c r="P6" s="9" t="n"/>
      <c r="Q6" s="9" t="n"/>
    </row>
    <row r="7">
      <c r="A7" s="16" t="n"/>
      <c r="B7" s="16" t="n"/>
      <c r="C7" s="16" t="n"/>
      <c r="D7" s="16" t="n"/>
      <c r="E7" s="16" t="n"/>
      <c r="F7" s="9" t="n"/>
      <c r="G7" s="18" t="n"/>
      <c r="H7" s="16" t="n"/>
      <c r="I7" s="25" t="n"/>
      <c r="J7" s="20">
        <f>IF(OR(G7="",I7=""),"",ROUND(G7*I7,2))</f>
        <v/>
      </c>
      <c r="K7" s="19" t="n"/>
      <c r="L7" s="21">
        <f>IF(OR(J7="",K7=""),"",IF(ABS(J7-K7)&gt;0.01,"MISMATCH","OK"))</f>
        <v/>
      </c>
      <c r="M7" s="16" t="n"/>
      <c r="N7" s="16" t="n"/>
      <c r="O7" s="16" t="n"/>
      <c r="P7" s="9" t="n"/>
      <c r="Q7" s="9" t="n"/>
    </row>
    <row r="8">
      <c r="A8" s="16" t="n"/>
      <c r="B8" s="16" t="n"/>
      <c r="C8" s="16" t="n"/>
      <c r="D8" s="16" t="n"/>
      <c r="E8" s="16" t="n"/>
      <c r="F8" s="9" t="n"/>
      <c r="G8" s="18" t="n"/>
      <c r="H8" s="16" t="n"/>
      <c r="I8" s="25" t="n"/>
      <c r="J8" s="20">
        <f>IF(OR(G8="",I8=""),"",ROUND(G8*I8,2))</f>
        <v/>
      </c>
      <c r="K8" s="19" t="n"/>
      <c r="L8" s="21">
        <f>IF(OR(J8="",K8=""),"",IF(ABS(J8-K8)&gt;0.01,"MISMATCH","OK"))</f>
        <v/>
      </c>
      <c r="M8" s="16" t="n"/>
      <c r="N8" s="16" t="n"/>
      <c r="O8" s="16" t="n"/>
      <c r="P8" s="9" t="n"/>
      <c r="Q8" s="9" t="n"/>
    </row>
    <row r="9">
      <c r="A9" s="16" t="n"/>
      <c r="B9" s="16" t="n"/>
      <c r="C9" s="16" t="n"/>
      <c r="D9" s="16" t="n"/>
      <c r="E9" s="16" t="n"/>
      <c r="F9" s="9" t="n"/>
      <c r="G9" s="18" t="n"/>
      <c r="H9" s="16" t="n"/>
      <c r="I9" s="25" t="n"/>
      <c r="J9" s="20">
        <f>IF(OR(G9="",I9=""),"",ROUND(G9*I9,2))</f>
        <v/>
      </c>
      <c r="K9" s="19" t="n"/>
      <c r="L9" s="21">
        <f>IF(OR(J9="",K9=""),"",IF(ABS(J9-K9)&gt;0.01,"MISMATCH","OK"))</f>
        <v/>
      </c>
      <c r="M9" s="16" t="n"/>
      <c r="N9" s="16" t="n"/>
      <c r="O9" s="16" t="n"/>
      <c r="P9" s="9" t="n"/>
      <c r="Q9" s="9" t="n"/>
    </row>
    <row r="10">
      <c r="A10" s="16" t="n"/>
      <c r="B10" s="16" t="n"/>
      <c r="C10" s="16" t="n"/>
      <c r="D10" s="16" t="n"/>
      <c r="E10" s="16" t="n"/>
      <c r="F10" s="9" t="n"/>
      <c r="G10" s="18" t="n"/>
      <c r="H10" s="16" t="n"/>
      <c r="I10" s="25" t="n"/>
      <c r="J10" s="20">
        <f>IF(OR(G10="",I10=""),"",ROUND(G10*I10,2))</f>
        <v/>
      </c>
      <c r="K10" s="19" t="n"/>
      <c r="L10" s="21">
        <f>IF(OR(J10="",K10=""),"",IF(ABS(J10-K10)&gt;0.01,"MISMATCH","OK"))</f>
        <v/>
      </c>
      <c r="M10" s="16" t="n"/>
      <c r="N10" s="16" t="n"/>
      <c r="O10" s="16" t="n"/>
      <c r="P10" s="9" t="n"/>
      <c r="Q10" s="9" t="n"/>
    </row>
    <row r="11">
      <c r="A11" s="16" t="n"/>
      <c r="B11" s="16" t="n"/>
      <c r="C11" s="16" t="n"/>
      <c r="D11" s="16" t="n"/>
      <c r="E11" s="16" t="n"/>
      <c r="F11" s="9" t="n"/>
      <c r="G11" s="18" t="n"/>
      <c r="H11" s="16" t="n"/>
      <c r="I11" s="25" t="n"/>
      <c r="J11" s="20">
        <f>IF(OR(G11="",I11=""),"",ROUND(G11*I11,2))</f>
        <v/>
      </c>
      <c r="K11" s="19" t="n"/>
      <c r="L11" s="21">
        <f>IF(OR(J11="",K11=""),"",IF(ABS(J11-K11)&gt;0.01,"MISMATCH","OK"))</f>
        <v/>
      </c>
      <c r="M11" s="16" t="n"/>
      <c r="N11" s="16" t="n"/>
      <c r="O11" s="16" t="n"/>
      <c r="P11" s="9" t="n"/>
      <c r="Q11" s="9" t="n"/>
    </row>
    <row r="12">
      <c r="A12" s="16" t="n"/>
      <c r="B12" s="16" t="n"/>
      <c r="C12" s="16" t="n"/>
      <c r="D12" s="16" t="n"/>
      <c r="E12" s="16" t="n"/>
      <c r="F12" s="9" t="n"/>
      <c r="G12" s="18" t="n"/>
      <c r="H12" s="16" t="n"/>
      <c r="I12" s="25" t="n"/>
      <c r="J12" s="20">
        <f>IF(OR(G12="",I12=""),"",ROUND(G12*I12,2))</f>
        <v/>
      </c>
      <c r="K12" s="19" t="n"/>
      <c r="L12" s="21">
        <f>IF(OR(J12="",K12=""),"",IF(ABS(J12-K12)&gt;0.01,"MISMATCH","OK"))</f>
        <v/>
      </c>
      <c r="M12" s="16" t="n"/>
      <c r="N12" s="16" t="n"/>
      <c r="O12" s="16" t="n"/>
      <c r="P12" s="9" t="n"/>
      <c r="Q12" s="9" t="n"/>
    </row>
    <row r="13">
      <c r="A13" s="16" t="n"/>
      <c r="B13" s="16" t="n"/>
      <c r="C13" s="16" t="n"/>
      <c r="D13" s="16" t="n"/>
      <c r="E13" s="16" t="n"/>
      <c r="F13" s="9" t="n"/>
      <c r="G13" s="18" t="n"/>
      <c r="H13" s="16" t="n"/>
      <c r="I13" s="25" t="n"/>
      <c r="J13" s="20">
        <f>IF(OR(G13="",I13=""),"",ROUND(G13*I13,2))</f>
        <v/>
      </c>
      <c r="K13" s="19" t="n"/>
      <c r="L13" s="21">
        <f>IF(OR(J13="",K13=""),"",IF(ABS(J13-K13)&gt;0.01,"MISMATCH","OK"))</f>
        <v/>
      </c>
      <c r="M13" s="16" t="n"/>
      <c r="N13" s="16" t="n"/>
      <c r="O13" s="16" t="n"/>
      <c r="P13" s="9" t="n"/>
      <c r="Q13" s="9" t="n"/>
    </row>
    <row r="14">
      <c r="A14" s="16" t="n"/>
      <c r="B14" s="16" t="n"/>
      <c r="C14" s="16" t="n"/>
      <c r="D14" s="16" t="n"/>
      <c r="E14" s="16" t="n"/>
      <c r="F14" s="9" t="n"/>
      <c r="G14" s="18" t="n"/>
      <c r="H14" s="16" t="n"/>
      <c r="I14" s="25" t="n"/>
      <c r="J14" s="20">
        <f>IF(OR(G14="",I14=""),"",ROUND(G14*I14,2))</f>
        <v/>
      </c>
      <c r="K14" s="19" t="n"/>
      <c r="L14" s="21">
        <f>IF(OR(J14="",K14=""),"",IF(ABS(J14-K14)&gt;0.01,"MISMATCH","OK"))</f>
        <v/>
      </c>
      <c r="M14" s="16" t="n"/>
      <c r="N14" s="16" t="n"/>
      <c r="O14" s="16" t="n"/>
      <c r="P14" s="9" t="n"/>
      <c r="Q14" s="9" t="n"/>
    </row>
    <row r="15">
      <c r="A15" s="16" t="n"/>
      <c r="B15" s="16" t="n"/>
      <c r="C15" s="16" t="n"/>
      <c r="D15" s="16" t="n"/>
      <c r="E15" s="16" t="n"/>
      <c r="F15" s="9" t="n"/>
      <c r="G15" s="18" t="n"/>
      <c r="H15" s="16" t="n"/>
      <c r="I15" s="25" t="n"/>
      <c r="J15" s="20">
        <f>IF(OR(G15="",I15=""),"",ROUND(G15*I15,2))</f>
        <v/>
      </c>
      <c r="K15" s="19" t="n"/>
      <c r="L15" s="21">
        <f>IF(OR(J15="",K15=""),"",IF(ABS(J15-K15)&gt;0.01,"MISMATCH","OK"))</f>
        <v/>
      </c>
      <c r="M15" s="16" t="n"/>
      <c r="N15" s="16" t="n"/>
      <c r="O15" s="16" t="n"/>
      <c r="P15" s="9" t="n"/>
      <c r="Q15" s="9" t="n"/>
    </row>
    <row r="16">
      <c r="A16" s="16" t="n"/>
      <c r="B16" s="16" t="n"/>
      <c r="C16" s="16" t="n"/>
      <c r="D16" s="16" t="n"/>
      <c r="E16" s="16" t="n"/>
      <c r="F16" s="9" t="n"/>
      <c r="G16" s="18" t="n"/>
      <c r="H16" s="16" t="n"/>
      <c r="I16" s="25" t="n"/>
      <c r="J16" s="20">
        <f>IF(OR(G16="",I16=""),"",ROUND(G16*I16,2))</f>
        <v/>
      </c>
      <c r="K16" s="19" t="n"/>
      <c r="L16" s="21">
        <f>IF(OR(J16="",K16=""),"",IF(ABS(J16-K16)&gt;0.01,"MISMATCH","OK"))</f>
        <v/>
      </c>
      <c r="M16" s="16" t="n"/>
      <c r="N16" s="16" t="n"/>
      <c r="O16" s="16" t="n"/>
      <c r="P16" s="9" t="n"/>
      <c r="Q16" s="9" t="n"/>
    </row>
    <row r="17">
      <c r="A17" s="16" t="n"/>
      <c r="B17" s="16" t="n"/>
      <c r="C17" s="16" t="n"/>
      <c r="D17" s="16" t="n"/>
      <c r="E17" s="16" t="n"/>
      <c r="F17" s="9" t="n"/>
      <c r="G17" s="18" t="n"/>
      <c r="H17" s="16" t="n"/>
      <c r="I17" s="25" t="n"/>
      <c r="J17" s="20">
        <f>IF(OR(G17="",I17=""),"",ROUND(G17*I17,2))</f>
        <v/>
      </c>
      <c r="K17" s="19" t="n"/>
      <c r="L17" s="21">
        <f>IF(OR(J17="",K17=""),"",IF(ABS(J17-K17)&gt;0.01,"MISMATCH","OK"))</f>
        <v/>
      </c>
      <c r="M17" s="16" t="n"/>
      <c r="N17" s="16" t="n"/>
      <c r="O17" s="16" t="n"/>
      <c r="P17" s="9" t="n"/>
      <c r="Q17" s="9" t="n"/>
    </row>
    <row r="18">
      <c r="A18" s="16" t="n"/>
      <c r="B18" s="16" t="n"/>
      <c r="C18" s="16" t="n"/>
      <c r="D18" s="16" t="n"/>
      <c r="E18" s="16" t="n"/>
      <c r="F18" s="9" t="n"/>
      <c r="G18" s="18" t="n"/>
      <c r="H18" s="16" t="n"/>
      <c r="I18" s="25" t="n"/>
      <c r="J18" s="20">
        <f>IF(OR(G18="",I18=""),"",ROUND(G18*I18,2))</f>
        <v/>
      </c>
      <c r="K18" s="19" t="n"/>
      <c r="L18" s="21">
        <f>IF(OR(J18="",K18=""),"",IF(ABS(J18-K18)&gt;0.01,"MISMATCH","OK"))</f>
        <v/>
      </c>
      <c r="M18" s="16" t="n"/>
      <c r="N18" s="16" t="n"/>
      <c r="O18" s="16" t="n"/>
      <c r="P18" s="9" t="n"/>
      <c r="Q18" s="9" t="n"/>
    </row>
    <row r="19">
      <c r="A19" s="16" t="n"/>
      <c r="B19" s="16" t="n"/>
      <c r="C19" s="16" t="n"/>
      <c r="D19" s="16" t="n"/>
      <c r="E19" s="16" t="n"/>
      <c r="F19" s="9" t="n"/>
      <c r="G19" s="18" t="n"/>
      <c r="H19" s="16" t="n"/>
      <c r="I19" s="25" t="n"/>
      <c r="J19" s="20">
        <f>IF(OR(G19="",I19=""),"",ROUND(G19*I19,2))</f>
        <v/>
      </c>
      <c r="K19" s="19" t="n"/>
      <c r="L19" s="21">
        <f>IF(OR(J19="",K19=""),"",IF(ABS(J19-K19)&gt;0.01,"MISMATCH","OK"))</f>
        <v/>
      </c>
      <c r="M19" s="16" t="n"/>
      <c r="N19" s="16" t="n"/>
      <c r="O19" s="16" t="n"/>
      <c r="P19" s="9" t="n"/>
      <c r="Q19" s="9" t="n"/>
    </row>
    <row r="20">
      <c r="A20" s="16" t="n"/>
      <c r="B20" s="16" t="n"/>
      <c r="C20" s="16" t="n"/>
      <c r="D20" s="16" t="n"/>
      <c r="E20" s="16" t="n"/>
      <c r="F20" s="9" t="n"/>
      <c r="G20" s="18" t="n"/>
      <c r="H20" s="16" t="n"/>
      <c r="I20" s="25" t="n"/>
      <c r="J20" s="20">
        <f>IF(OR(G20="",I20=""),"",ROUND(G20*I20,2))</f>
        <v/>
      </c>
      <c r="K20" s="19" t="n"/>
      <c r="L20" s="21">
        <f>IF(OR(J20="",K20=""),"",IF(ABS(J20-K20)&gt;0.01,"MISMATCH","OK"))</f>
        <v/>
      </c>
      <c r="M20" s="16" t="n"/>
      <c r="N20" s="16" t="n"/>
      <c r="O20" s="16" t="n"/>
      <c r="P20" s="9" t="n"/>
      <c r="Q20" s="9" t="n"/>
    </row>
    <row r="21">
      <c r="A21" s="16" t="n"/>
      <c r="B21" s="16" t="n"/>
      <c r="C21" s="16" t="n"/>
      <c r="D21" s="16" t="n"/>
      <c r="E21" s="16" t="n"/>
      <c r="F21" s="9" t="n"/>
      <c r="G21" s="18" t="n"/>
      <c r="H21" s="16" t="n"/>
      <c r="I21" s="25" t="n"/>
      <c r="J21" s="20">
        <f>IF(OR(G21="",I21=""),"",ROUND(G21*I21,2))</f>
        <v/>
      </c>
      <c r="K21" s="19" t="n"/>
      <c r="L21" s="21">
        <f>IF(OR(J21="",K21=""),"",IF(ABS(J21-K21)&gt;0.01,"MISMATCH","OK"))</f>
        <v/>
      </c>
      <c r="M21" s="16" t="n"/>
      <c r="N21" s="16" t="n"/>
      <c r="O21" s="16" t="n"/>
      <c r="P21" s="9" t="n"/>
      <c r="Q21" s="9" t="n"/>
    </row>
    <row r="22">
      <c r="A22" s="16" t="n"/>
      <c r="B22" s="16" t="n"/>
      <c r="C22" s="16" t="n"/>
      <c r="D22" s="16" t="n"/>
      <c r="E22" s="16" t="n"/>
      <c r="F22" s="9" t="n"/>
      <c r="G22" s="18" t="n"/>
      <c r="H22" s="16" t="n"/>
      <c r="I22" s="25" t="n"/>
      <c r="J22" s="20">
        <f>IF(OR(G22="",I22=""),"",ROUND(G22*I22,2))</f>
        <v/>
      </c>
      <c r="K22" s="19" t="n"/>
      <c r="L22" s="21">
        <f>IF(OR(J22="",K22=""),"",IF(ABS(J22-K22)&gt;0.01,"MISMATCH","OK"))</f>
        <v/>
      </c>
      <c r="M22" s="16" t="n"/>
      <c r="N22" s="16" t="n"/>
      <c r="O22" s="16" t="n"/>
      <c r="P22" s="9" t="n"/>
      <c r="Q22" s="9" t="n"/>
    </row>
    <row r="23">
      <c r="A23" s="16" t="n"/>
      <c r="B23" s="16" t="n"/>
      <c r="C23" s="16" t="n"/>
      <c r="D23" s="16" t="n"/>
      <c r="E23" s="16" t="n"/>
      <c r="F23" s="9" t="n"/>
      <c r="G23" s="18" t="n"/>
      <c r="H23" s="16" t="n"/>
      <c r="I23" s="25" t="n"/>
      <c r="J23" s="20">
        <f>IF(OR(G23="",I23=""),"",ROUND(G23*I23,2))</f>
        <v/>
      </c>
      <c r="K23" s="19" t="n"/>
      <c r="L23" s="21">
        <f>IF(OR(J23="",K23=""),"",IF(ABS(J23-K23)&gt;0.01,"MISMATCH","OK"))</f>
        <v/>
      </c>
      <c r="M23" s="16" t="n"/>
      <c r="N23" s="16" t="n"/>
      <c r="O23" s="16" t="n"/>
      <c r="P23" s="9" t="n"/>
      <c r="Q23" s="9" t="n"/>
    </row>
    <row r="24">
      <c r="A24" s="16" t="n"/>
      <c r="B24" s="16" t="n"/>
      <c r="C24" s="16" t="n"/>
      <c r="D24" s="16" t="n"/>
      <c r="E24" s="16" t="n"/>
      <c r="F24" s="9" t="n"/>
      <c r="G24" s="18" t="n"/>
      <c r="H24" s="16" t="n"/>
      <c r="I24" s="25" t="n"/>
      <c r="J24" s="20">
        <f>IF(OR(G24="",I24=""),"",ROUND(G24*I24,2))</f>
        <v/>
      </c>
      <c r="K24" s="19" t="n"/>
      <c r="L24" s="21">
        <f>IF(OR(J24="",K24=""),"",IF(ABS(J24-K24)&gt;0.01,"MISMATCH","OK"))</f>
        <v/>
      </c>
      <c r="M24" s="16" t="n"/>
      <c r="N24" s="16" t="n"/>
      <c r="O24" s="16" t="n"/>
      <c r="P24" s="9" t="n"/>
      <c r="Q24" s="9" t="n"/>
    </row>
    <row r="25">
      <c r="A25" s="16" t="n"/>
      <c r="B25" s="16" t="n"/>
      <c r="C25" s="16" t="n"/>
      <c r="D25" s="16" t="n"/>
      <c r="E25" s="16" t="n"/>
      <c r="F25" s="9" t="n"/>
      <c r="G25" s="18" t="n"/>
      <c r="H25" s="16" t="n"/>
      <c r="I25" s="25" t="n"/>
      <c r="J25" s="20">
        <f>IF(OR(G25="",I25=""),"",ROUND(G25*I25,2))</f>
        <v/>
      </c>
      <c r="K25" s="19" t="n"/>
      <c r="L25" s="21">
        <f>IF(OR(J25="",K25=""),"",IF(ABS(J25-K25)&gt;0.01,"MISMATCH","OK"))</f>
        <v/>
      </c>
      <c r="M25" s="16" t="n"/>
      <c r="N25" s="16" t="n"/>
      <c r="O25" s="16" t="n"/>
      <c r="P25" s="9" t="n"/>
      <c r="Q25" s="9" t="n"/>
    </row>
    <row r="26">
      <c r="A26" s="16" t="n"/>
      <c r="B26" s="16" t="n"/>
      <c r="C26" s="16" t="n"/>
      <c r="D26" s="16" t="n"/>
      <c r="E26" s="16" t="n"/>
      <c r="F26" s="9" t="n"/>
      <c r="G26" s="18" t="n"/>
      <c r="H26" s="16" t="n"/>
      <c r="I26" s="25" t="n"/>
      <c r="J26" s="20">
        <f>IF(OR(G26="",I26=""),"",ROUND(G26*I26,2))</f>
        <v/>
      </c>
      <c r="K26" s="19" t="n"/>
      <c r="L26" s="21">
        <f>IF(OR(J26="",K26=""),"",IF(ABS(J26-K26)&gt;0.01,"MISMATCH","OK"))</f>
        <v/>
      </c>
      <c r="M26" s="16" t="n"/>
      <c r="N26" s="16" t="n"/>
      <c r="O26" s="16" t="n"/>
      <c r="P26" s="9" t="n"/>
      <c r="Q26" s="9" t="n"/>
    </row>
    <row r="27">
      <c r="A27" s="16" t="n"/>
      <c r="B27" s="16" t="n"/>
      <c r="C27" s="16" t="n"/>
      <c r="D27" s="16" t="n"/>
      <c r="E27" s="16" t="n"/>
      <c r="F27" s="9" t="n"/>
      <c r="G27" s="18" t="n"/>
      <c r="H27" s="16" t="n"/>
      <c r="I27" s="25" t="n"/>
      <c r="J27" s="20">
        <f>IF(OR(G27="",I27=""),"",ROUND(G27*I27,2))</f>
        <v/>
      </c>
      <c r="K27" s="19" t="n"/>
      <c r="L27" s="21">
        <f>IF(OR(J27="",K27=""),"",IF(ABS(J27-K27)&gt;0.01,"MISMATCH","OK"))</f>
        <v/>
      </c>
      <c r="M27" s="16" t="n"/>
      <c r="N27" s="16" t="n"/>
      <c r="O27" s="16" t="n"/>
      <c r="P27" s="9" t="n"/>
      <c r="Q27" s="9" t="n"/>
    </row>
    <row r="28">
      <c r="A28" s="16" t="n"/>
      <c r="B28" s="16" t="n"/>
      <c r="C28" s="16" t="n"/>
      <c r="D28" s="16" t="n"/>
      <c r="E28" s="16" t="n"/>
      <c r="F28" s="9" t="n"/>
      <c r="G28" s="18" t="n"/>
      <c r="H28" s="16" t="n"/>
      <c r="I28" s="25" t="n"/>
      <c r="J28" s="20">
        <f>IF(OR(G28="",I28=""),"",ROUND(G28*I28,2))</f>
        <v/>
      </c>
      <c r="K28" s="19" t="n"/>
      <c r="L28" s="21">
        <f>IF(OR(J28="",K28=""),"",IF(ABS(J28-K28)&gt;0.01,"MISMATCH","OK"))</f>
        <v/>
      </c>
      <c r="M28" s="16" t="n"/>
      <c r="N28" s="16" t="n"/>
      <c r="O28" s="16" t="n"/>
      <c r="P28" s="9" t="n"/>
      <c r="Q28" s="9" t="n"/>
    </row>
    <row r="29">
      <c r="A29" s="16" t="n"/>
      <c r="B29" s="16" t="n"/>
      <c r="C29" s="16" t="n"/>
      <c r="D29" s="16" t="n"/>
      <c r="E29" s="16" t="n"/>
      <c r="F29" s="9" t="n"/>
      <c r="G29" s="18" t="n"/>
      <c r="H29" s="16" t="n"/>
      <c r="I29" s="25" t="n"/>
      <c r="J29" s="20">
        <f>IF(OR(G29="",I29=""),"",ROUND(G29*I29,2))</f>
        <v/>
      </c>
      <c r="K29" s="19" t="n"/>
      <c r="L29" s="21">
        <f>IF(OR(J29="",K29=""),"",IF(ABS(J29-K29)&gt;0.01,"MISMATCH","OK"))</f>
        <v/>
      </c>
      <c r="M29" s="16" t="n"/>
      <c r="N29" s="16" t="n"/>
      <c r="O29" s="16" t="n"/>
      <c r="P29" s="9" t="n"/>
      <c r="Q29" s="9" t="n"/>
    </row>
    <row r="30">
      <c r="A30" s="16" t="n"/>
      <c r="B30" s="16" t="n"/>
      <c r="C30" s="16" t="n"/>
      <c r="D30" s="16" t="n"/>
      <c r="E30" s="16" t="n"/>
      <c r="F30" s="9" t="n"/>
      <c r="G30" s="18" t="n"/>
      <c r="H30" s="16" t="n"/>
      <c r="I30" s="25" t="n"/>
      <c r="J30" s="20">
        <f>IF(OR(G30="",I30=""),"",ROUND(G30*I30,2))</f>
        <v/>
      </c>
      <c r="K30" s="19" t="n"/>
      <c r="L30" s="21">
        <f>IF(OR(J30="",K30=""),"",IF(ABS(J30-K30)&gt;0.01,"MISMATCH","OK"))</f>
        <v/>
      </c>
      <c r="M30" s="16" t="n"/>
      <c r="N30" s="16" t="n"/>
      <c r="O30" s="16" t="n"/>
      <c r="P30" s="9" t="n"/>
      <c r="Q30" s="9" t="n"/>
    </row>
    <row r="31">
      <c r="A31" s="16" t="n"/>
      <c r="B31" s="16" t="n"/>
      <c r="C31" s="16" t="n"/>
      <c r="D31" s="16" t="n"/>
      <c r="E31" s="16" t="n"/>
      <c r="F31" s="9" t="n"/>
      <c r="G31" s="18" t="n"/>
      <c r="H31" s="16" t="n"/>
      <c r="I31" s="25" t="n"/>
      <c r="J31" s="20">
        <f>IF(OR(G31="",I31=""),"",ROUND(G31*I31,2))</f>
        <v/>
      </c>
      <c r="K31" s="19" t="n"/>
      <c r="L31" s="21">
        <f>IF(OR(J31="",K31=""),"",IF(ABS(J31-K31)&gt;0.01,"MISMATCH","OK"))</f>
        <v/>
      </c>
      <c r="M31" s="16" t="n"/>
      <c r="N31" s="16" t="n"/>
      <c r="O31" s="16" t="n"/>
      <c r="P31" s="9" t="n"/>
      <c r="Q31" s="9" t="n"/>
    </row>
    <row r="32">
      <c r="A32" s="16" t="n"/>
      <c r="B32" s="16" t="n"/>
      <c r="C32" s="16" t="n"/>
      <c r="D32" s="16" t="n"/>
      <c r="E32" s="16" t="n"/>
      <c r="F32" s="9" t="n"/>
      <c r="G32" s="18" t="n"/>
      <c r="H32" s="16" t="n"/>
      <c r="I32" s="25" t="n"/>
      <c r="J32" s="20">
        <f>IF(OR(G32="",I32=""),"",ROUND(G32*I32,2))</f>
        <v/>
      </c>
      <c r="K32" s="19" t="n"/>
      <c r="L32" s="21">
        <f>IF(OR(J32="",K32=""),"",IF(ABS(J32-K32)&gt;0.01,"MISMATCH","OK"))</f>
        <v/>
      </c>
      <c r="M32" s="16" t="n"/>
      <c r="N32" s="16" t="n"/>
      <c r="O32" s="16" t="n"/>
      <c r="P32" s="9" t="n"/>
      <c r="Q32" s="9" t="n"/>
    </row>
    <row r="33">
      <c r="A33" s="16" t="n"/>
      <c r="B33" s="16" t="n"/>
      <c r="C33" s="16" t="n"/>
      <c r="D33" s="16" t="n"/>
      <c r="E33" s="16" t="n"/>
      <c r="F33" s="9" t="n"/>
      <c r="G33" s="18" t="n"/>
      <c r="H33" s="16" t="n"/>
      <c r="I33" s="25" t="n"/>
      <c r="J33" s="20">
        <f>IF(OR(G33="",I33=""),"",ROUND(G33*I33,2))</f>
        <v/>
      </c>
      <c r="K33" s="19" t="n"/>
      <c r="L33" s="21">
        <f>IF(OR(J33="",K33=""),"",IF(ABS(J33-K33)&gt;0.01,"MISMATCH","OK"))</f>
        <v/>
      </c>
      <c r="M33" s="16" t="n"/>
      <c r="N33" s="16" t="n"/>
      <c r="O33" s="16" t="n"/>
      <c r="P33" s="9" t="n"/>
      <c r="Q33" s="9" t="n"/>
    </row>
    <row r="34">
      <c r="A34" s="16" t="n"/>
      <c r="B34" s="16" t="n"/>
      <c r="C34" s="16" t="n"/>
      <c r="D34" s="16" t="n"/>
      <c r="E34" s="16" t="n"/>
      <c r="F34" s="9" t="n"/>
      <c r="G34" s="18" t="n"/>
      <c r="H34" s="16" t="n"/>
      <c r="I34" s="25" t="n"/>
      <c r="J34" s="20">
        <f>IF(OR(G34="",I34=""),"",ROUND(G34*I34,2))</f>
        <v/>
      </c>
      <c r="K34" s="19" t="n"/>
      <c r="L34" s="21">
        <f>IF(OR(J34="",K34=""),"",IF(ABS(J34-K34)&gt;0.01,"MISMATCH","OK"))</f>
        <v/>
      </c>
      <c r="M34" s="16" t="n"/>
      <c r="N34" s="16" t="n"/>
      <c r="O34" s="16" t="n"/>
      <c r="P34" s="9" t="n"/>
      <c r="Q34" s="9" t="n"/>
    </row>
    <row r="35">
      <c r="A35" s="16" t="n"/>
      <c r="B35" s="16" t="n"/>
      <c r="C35" s="16" t="n"/>
      <c r="D35" s="16" t="n"/>
      <c r="E35" s="16" t="n"/>
      <c r="F35" s="9" t="n"/>
      <c r="G35" s="18" t="n"/>
      <c r="H35" s="16" t="n"/>
      <c r="I35" s="25" t="n"/>
      <c r="J35" s="20">
        <f>IF(OR(G35="",I35=""),"",ROUND(G35*I35,2))</f>
        <v/>
      </c>
      <c r="K35" s="19" t="n"/>
      <c r="L35" s="21">
        <f>IF(OR(J35="",K35=""),"",IF(ABS(J35-K35)&gt;0.01,"MISMATCH","OK"))</f>
        <v/>
      </c>
      <c r="M35" s="16" t="n"/>
      <c r="N35" s="16" t="n"/>
      <c r="O35" s="16" t="n"/>
      <c r="P35" s="9" t="n"/>
      <c r="Q35" s="9" t="n"/>
    </row>
    <row r="36">
      <c r="A36" s="16" t="n"/>
      <c r="B36" s="16" t="n"/>
      <c r="C36" s="16" t="n"/>
      <c r="D36" s="16" t="n"/>
      <c r="E36" s="16" t="n"/>
      <c r="F36" s="9" t="n"/>
      <c r="G36" s="18" t="n"/>
      <c r="H36" s="16" t="n"/>
      <c r="I36" s="25" t="n"/>
      <c r="J36" s="20">
        <f>IF(OR(G36="",I36=""),"",ROUND(G36*I36,2))</f>
        <v/>
      </c>
      <c r="K36" s="19" t="n"/>
      <c r="L36" s="21">
        <f>IF(OR(J36="",K36=""),"",IF(ABS(J36-K36)&gt;0.01,"MISMATCH","OK"))</f>
        <v/>
      </c>
      <c r="M36" s="16" t="n"/>
      <c r="N36" s="16" t="n"/>
      <c r="O36" s="16" t="n"/>
      <c r="P36" s="9" t="n"/>
      <c r="Q36" s="9" t="n"/>
    </row>
    <row r="37">
      <c r="A37" s="16" t="n"/>
      <c r="B37" s="16" t="n"/>
      <c r="C37" s="16" t="n"/>
      <c r="D37" s="16" t="n"/>
      <c r="E37" s="16" t="n"/>
      <c r="F37" s="9" t="n"/>
      <c r="G37" s="18" t="n"/>
      <c r="H37" s="16" t="n"/>
      <c r="I37" s="25" t="n"/>
      <c r="J37" s="20">
        <f>IF(OR(G37="",I37=""),"",ROUND(G37*I37,2))</f>
        <v/>
      </c>
      <c r="K37" s="19" t="n"/>
      <c r="L37" s="21">
        <f>IF(OR(J37="",K37=""),"",IF(ABS(J37-K37)&gt;0.01,"MISMATCH","OK"))</f>
        <v/>
      </c>
      <c r="M37" s="16" t="n"/>
      <c r="N37" s="16" t="n"/>
      <c r="O37" s="16" t="n"/>
      <c r="P37" s="9" t="n"/>
      <c r="Q37" s="9" t="n"/>
    </row>
    <row r="38">
      <c r="A38" s="16" t="n"/>
      <c r="B38" s="16" t="n"/>
      <c r="C38" s="16" t="n"/>
      <c r="D38" s="16" t="n"/>
      <c r="E38" s="16" t="n"/>
      <c r="F38" s="9" t="n"/>
      <c r="G38" s="18" t="n"/>
      <c r="H38" s="16" t="n"/>
      <c r="I38" s="25" t="n"/>
      <c r="J38" s="20">
        <f>IF(OR(G38="",I38=""),"",ROUND(G38*I38,2))</f>
        <v/>
      </c>
      <c r="K38" s="19" t="n"/>
      <c r="L38" s="21">
        <f>IF(OR(J38="",K38=""),"",IF(ABS(J38-K38)&gt;0.01,"MISMATCH","OK"))</f>
        <v/>
      </c>
      <c r="M38" s="16" t="n"/>
      <c r="N38" s="16" t="n"/>
      <c r="O38" s="16" t="n"/>
      <c r="P38" s="9" t="n"/>
      <c r="Q38" s="9" t="n"/>
    </row>
    <row r="39">
      <c r="A39" s="16" t="n"/>
      <c r="B39" s="16" t="n"/>
      <c r="C39" s="16" t="n"/>
      <c r="D39" s="16" t="n"/>
      <c r="E39" s="16" t="n"/>
      <c r="F39" s="9" t="n"/>
      <c r="G39" s="18" t="n"/>
      <c r="H39" s="16" t="n"/>
      <c r="I39" s="25" t="n"/>
      <c r="J39" s="20">
        <f>IF(OR(G39="",I39=""),"",ROUND(G39*I39,2))</f>
        <v/>
      </c>
      <c r="K39" s="19" t="n"/>
      <c r="L39" s="21">
        <f>IF(OR(J39="",K39=""),"",IF(ABS(J39-K39)&gt;0.01,"MISMATCH","OK"))</f>
        <v/>
      </c>
      <c r="M39" s="16" t="n"/>
      <c r="N39" s="16" t="n"/>
      <c r="O39" s="16" t="n"/>
      <c r="P39" s="9" t="n"/>
      <c r="Q39" s="9" t="n"/>
    </row>
    <row r="40">
      <c r="A40" s="16" t="n"/>
      <c r="B40" s="16" t="n"/>
      <c r="C40" s="16" t="n"/>
      <c r="D40" s="16" t="n"/>
      <c r="E40" s="16" t="n"/>
      <c r="F40" s="9" t="n"/>
      <c r="G40" s="18" t="n"/>
      <c r="H40" s="16" t="n"/>
      <c r="I40" s="25" t="n"/>
      <c r="J40" s="20">
        <f>IF(OR(G40="",I40=""),"",ROUND(G40*I40,2))</f>
        <v/>
      </c>
      <c r="K40" s="19" t="n"/>
      <c r="L40" s="21">
        <f>IF(OR(J40="",K40=""),"",IF(ABS(J40-K40)&gt;0.01,"MISMATCH","OK"))</f>
        <v/>
      </c>
      <c r="M40" s="16" t="n"/>
      <c r="N40" s="16" t="n"/>
      <c r="O40" s="16" t="n"/>
      <c r="P40" s="9" t="n"/>
      <c r="Q40" s="9" t="n"/>
    </row>
    <row r="41">
      <c r="A41" s="16" t="n"/>
      <c r="B41" s="16" t="n"/>
      <c r="C41" s="16" t="n"/>
      <c r="D41" s="16" t="n"/>
      <c r="E41" s="16" t="n"/>
      <c r="F41" s="9" t="n"/>
      <c r="G41" s="18" t="n"/>
      <c r="H41" s="16" t="n"/>
      <c r="I41" s="25" t="n"/>
      <c r="J41" s="20">
        <f>IF(OR(G41="",I41=""),"",ROUND(G41*I41,2))</f>
        <v/>
      </c>
      <c r="K41" s="19" t="n"/>
      <c r="L41" s="21">
        <f>IF(OR(J41="",K41=""),"",IF(ABS(J41-K41)&gt;0.01,"MISMATCH","OK"))</f>
        <v/>
      </c>
      <c r="M41" s="16" t="n"/>
      <c r="N41" s="16" t="n"/>
      <c r="O41" s="16" t="n"/>
      <c r="P41" s="9" t="n"/>
      <c r="Q41" s="9" t="n"/>
    </row>
    <row r="42">
      <c r="A42" s="16" t="n"/>
      <c r="B42" s="16" t="n"/>
      <c r="C42" s="16" t="n"/>
      <c r="D42" s="16" t="n"/>
      <c r="E42" s="16" t="n"/>
      <c r="F42" s="9" t="n"/>
      <c r="G42" s="18" t="n"/>
      <c r="H42" s="16" t="n"/>
      <c r="I42" s="25" t="n"/>
      <c r="J42" s="20">
        <f>IF(OR(G42="",I42=""),"",ROUND(G42*I42,2))</f>
        <v/>
      </c>
      <c r="K42" s="19" t="n"/>
      <c r="L42" s="21">
        <f>IF(OR(J42="",K42=""),"",IF(ABS(J42-K42)&gt;0.01,"MISMATCH","OK"))</f>
        <v/>
      </c>
      <c r="M42" s="16" t="n"/>
      <c r="N42" s="16" t="n"/>
      <c r="O42" s="16" t="n"/>
      <c r="P42" s="9" t="n"/>
      <c r="Q42" s="9" t="n"/>
    </row>
    <row r="43">
      <c r="A43" s="16" t="n"/>
      <c r="B43" s="16" t="n"/>
      <c r="C43" s="16" t="n"/>
      <c r="D43" s="16" t="n"/>
      <c r="E43" s="16" t="n"/>
      <c r="F43" s="9" t="n"/>
      <c r="G43" s="18" t="n"/>
      <c r="H43" s="16" t="n"/>
      <c r="I43" s="25" t="n"/>
      <c r="J43" s="20">
        <f>IF(OR(G43="",I43=""),"",ROUND(G43*I43,2))</f>
        <v/>
      </c>
      <c r="K43" s="19" t="n"/>
      <c r="L43" s="21">
        <f>IF(OR(J43="",K43=""),"",IF(ABS(J43-K43)&gt;0.01,"MISMATCH","OK"))</f>
        <v/>
      </c>
      <c r="M43" s="16" t="n"/>
      <c r="N43" s="16" t="n"/>
      <c r="O43" s="16" t="n"/>
      <c r="P43" s="9" t="n"/>
      <c r="Q43" s="9" t="n"/>
    </row>
    <row r="44">
      <c r="A44" s="16" t="n"/>
      <c r="B44" s="16" t="n"/>
      <c r="C44" s="16" t="n"/>
      <c r="D44" s="16" t="n"/>
      <c r="E44" s="16" t="n"/>
      <c r="F44" s="9" t="n"/>
      <c r="G44" s="18" t="n"/>
      <c r="H44" s="16" t="n"/>
      <c r="I44" s="25" t="n"/>
      <c r="J44" s="20">
        <f>IF(OR(G44="",I44=""),"",ROUND(G44*I44,2))</f>
        <v/>
      </c>
      <c r="K44" s="19" t="n"/>
      <c r="L44" s="21">
        <f>IF(OR(J44="",K44=""),"",IF(ABS(J44-K44)&gt;0.01,"MISMATCH","OK"))</f>
        <v/>
      </c>
      <c r="M44" s="16" t="n"/>
      <c r="N44" s="16" t="n"/>
      <c r="O44" s="16" t="n"/>
      <c r="P44" s="9" t="n"/>
      <c r="Q44" s="9" t="n"/>
    </row>
    <row r="45">
      <c r="A45" s="16" t="n"/>
      <c r="B45" s="16" t="n"/>
      <c r="C45" s="16" t="n"/>
      <c r="D45" s="16" t="n"/>
      <c r="E45" s="16" t="n"/>
      <c r="F45" s="9" t="n"/>
      <c r="G45" s="18" t="n"/>
      <c r="H45" s="16" t="n"/>
      <c r="I45" s="25" t="n"/>
      <c r="J45" s="20">
        <f>IF(OR(G45="",I45=""),"",ROUND(G45*I45,2))</f>
        <v/>
      </c>
      <c r="K45" s="19" t="n"/>
      <c r="L45" s="21">
        <f>IF(OR(J45="",K45=""),"",IF(ABS(J45-K45)&gt;0.01,"MISMATCH","OK"))</f>
        <v/>
      </c>
      <c r="M45" s="16" t="n"/>
      <c r="N45" s="16" t="n"/>
      <c r="O45" s="16" t="n"/>
      <c r="P45" s="9" t="n"/>
      <c r="Q45" s="9" t="n"/>
    </row>
    <row r="46">
      <c r="A46" s="16" t="n"/>
      <c r="B46" s="16" t="n"/>
      <c r="C46" s="16" t="n"/>
      <c r="D46" s="16" t="n"/>
      <c r="E46" s="16" t="n"/>
      <c r="F46" s="9" t="n"/>
      <c r="G46" s="18" t="n"/>
      <c r="H46" s="16" t="n"/>
      <c r="I46" s="25" t="n"/>
      <c r="J46" s="20">
        <f>IF(OR(G46="",I46=""),"",ROUND(G46*I46,2))</f>
        <v/>
      </c>
      <c r="K46" s="19" t="n"/>
      <c r="L46" s="21">
        <f>IF(OR(J46="",K46=""),"",IF(ABS(J46-K46)&gt;0.01,"MISMATCH","OK"))</f>
        <v/>
      </c>
      <c r="M46" s="16" t="n"/>
      <c r="N46" s="16" t="n"/>
      <c r="O46" s="16" t="n"/>
      <c r="P46" s="9" t="n"/>
      <c r="Q46" s="9" t="n"/>
    </row>
    <row r="47">
      <c r="A47" s="16" t="n"/>
      <c r="B47" s="16" t="n"/>
      <c r="C47" s="16" t="n"/>
      <c r="D47" s="16" t="n"/>
      <c r="E47" s="16" t="n"/>
      <c r="F47" s="9" t="n"/>
      <c r="G47" s="18" t="n"/>
      <c r="H47" s="16" t="n"/>
      <c r="I47" s="25" t="n"/>
      <c r="J47" s="20">
        <f>IF(OR(G47="",I47=""),"",ROUND(G47*I47,2))</f>
        <v/>
      </c>
      <c r="K47" s="19" t="n"/>
      <c r="L47" s="21">
        <f>IF(OR(J47="",K47=""),"",IF(ABS(J47-K47)&gt;0.01,"MISMATCH","OK"))</f>
        <v/>
      </c>
      <c r="M47" s="16" t="n"/>
      <c r="N47" s="16" t="n"/>
      <c r="O47" s="16" t="n"/>
      <c r="P47" s="9" t="n"/>
      <c r="Q47" s="9" t="n"/>
    </row>
    <row r="48">
      <c r="A48" s="16" t="n"/>
      <c r="B48" s="16" t="n"/>
      <c r="C48" s="16" t="n"/>
      <c r="D48" s="16" t="n"/>
      <c r="E48" s="16" t="n"/>
      <c r="F48" s="9" t="n"/>
      <c r="G48" s="18" t="n"/>
      <c r="H48" s="16" t="n"/>
      <c r="I48" s="25" t="n"/>
      <c r="J48" s="20">
        <f>IF(OR(G48="",I48=""),"",ROUND(G48*I48,2))</f>
        <v/>
      </c>
      <c r="K48" s="19" t="n"/>
      <c r="L48" s="21">
        <f>IF(OR(J48="",K48=""),"",IF(ABS(J48-K48)&gt;0.01,"MISMATCH","OK"))</f>
        <v/>
      </c>
      <c r="M48" s="16" t="n"/>
      <c r="N48" s="16" t="n"/>
      <c r="O48" s="16" t="n"/>
      <c r="P48" s="9" t="n"/>
      <c r="Q48" s="9" t="n"/>
    </row>
    <row r="49">
      <c r="A49" s="16" t="n"/>
      <c r="B49" s="16" t="n"/>
      <c r="C49" s="16" t="n"/>
      <c r="D49" s="16" t="n"/>
      <c r="E49" s="16" t="n"/>
      <c r="F49" s="9" t="n"/>
      <c r="G49" s="18" t="n"/>
      <c r="H49" s="16" t="n"/>
      <c r="I49" s="25" t="n"/>
      <c r="J49" s="20">
        <f>IF(OR(G49="",I49=""),"",ROUND(G49*I49,2))</f>
        <v/>
      </c>
      <c r="K49" s="19" t="n"/>
      <c r="L49" s="21">
        <f>IF(OR(J49="",K49=""),"",IF(ABS(J49-K49)&gt;0.01,"MISMATCH","OK"))</f>
        <v/>
      </c>
      <c r="M49" s="16" t="n"/>
      <c r="N49" s="16" t="n"/>
      <c r="O49" s="16" t="n"/>
      <c r="P49" s="9" t="n"/>
      <c r="Q49" s="9" t="n"/>
    </row>
    <row r="50">
      <c r="A50" s="16" t="n"/>
      <c r="B50" s="16" t="n"/>
      <c r="C50" s="16" t="n"/>
      <c r="D50" s="16" t="n"/>
      <c r="E50" s="16" t="n"/>
      <c r="F50" s="9" t="n"/>
      <c r="G50" s="18" t="n"/>
      <c r="H50" s="16" t="n"/>
      <c r="I50" s="25" t="n"/>
      <c r="J50" s="20">
        <f>IF(OR(G50="",I50=""),"",ROUND(G50*I50,2))</f>
        <v/>
      </c>
      <c r="K50" s="19" t="n"/>
      <c r="L50" s="21">
        <f>IF(OR(J50="",K50=""),"",IF(ABS(J50-K50)&gt;0.01,"MISMATCH","OK"))</f>
        <v/>
      </c>
      <c r="M50" s="16" t="n"/>
      <c r="N50" s="16" t="n"/>
      <c r="O50" s="16" t="n"/>
      <c r="P50" s="9" t="n"/>
      <c r="Q50" s="9" t="n"/>
    </row>
    <row r="51">
      <c r="A51" s="16" t="n"/>
      <c r="B51" s="16" t="n"/>
      <c r="C51" s="16" t="n"/>
      <c r="D51" s="16" t="n"/>
      <c r="E51" s="16" t="n"/>
      <c r="F51" s="9" t="n"/>
      <c r="G51" s="18" t="n"/>
      <c r="H51" s="16" t="n"/>
      <c r="I51" s="25" t="n"/>
      <c r="J51" s="20">
        <f>IF(OR(G51="",I51=""),"",ROUND(G51*I51,2))</f>
        <v/>
      </c>
      <c r="K51" s="19" t="n"/>
      <c r="L51" s="21">
        <f>IF(OR(J51="",K51=""),"",IF(ABS(J51-K51)&gt;0.01,"MISMATCH","OK"))</f>
        <v/>
      </c>
      <c r="M51" s="16" t="n"/>
      <c r="N51" s="16" t="n"/>
      <c r="O51" s="16" t="n"/>
      <c r="P51" s="9" t="n"/>
      <c r="Q51" s="9" t="n"/>
    </row>
    <row r="52">
      <c r="A52" s="16" t="n"/>
      <c r="B52" s="16" t="n"/>
      <c r="C52" s="16" t="n"/>
      <c r="D52" s="16" t="n"/>
      <c r="E52" s="16" t="n"/>
      <c r="F52" s="9" t="n"/>
      <c r="G52" s="18" t="n"/>
      <c r="H52" s="16" t="n"/>
      <c r="I52" s="25" t="n"/>
      <c r="J52" s="20">
        <f>IF(OR(G52="",I52=""),"",ROUND(G52*I52,2))</f>
        <v/>
      </c>
      <c r="K52" s="19" t="n"/>
      <c r="L52" s="21">
        <f>IF(OR(J52="",K52=""),"",IF(ABS(J52-K52)&gt;0.01,"MISMATCH","OK"))</f>
        <v/>
      </c>
      <c r="M52" s="16" t="n"/>
      <c r="N52" s="16" t="n"/>
      <c r="O52" s="16" t="n"/>
      <c r="P52" s="9" t="n"/>
      <c r="Q52" s="9" t="n"/>
    </row>
    <row r="53">
      <c r="A53" s="16" t="n"/>
      <c r="B53" s="16" t="n"/>
      <c r="C53" s="16" t="n"/>
      <c r="D53" s="16" t="n"/>
      <c r="E53" s="16" t="n"/>
      <c r="F53" s="9" t="n"/>
      <c r="G53" s="18" t="n"/>
      <c r="H53" s="16" t="n"/>
      <c r="I53" s="25" t="n"/>
      <c r="J53" s="20">
        <f>IF(OR(G53="",I53=""),"",ROUND(G53*I53,2))</f>
        <v/>
      </c>
      <c r="K53" s="19" t="n"/>
      <c r="L53" s="21">
        <f>IF(OR(J53="",K53=""),"",IF(ABS(J53-K53)&gt;0.01,"MISMATCH","OK"))</f>
        <v/>
      </c>
      <c r="M53" s="16" t="n"/>
      <c r="N53" s="16" t="n"/>
      <c r="O53" s="16" t="n"/>
      <c r="P53" s="9" t="n"/>
      <c r="Q53" s="9" t="n"/>
    </row>
    <row r="54">
      <c r="A54" s="16" t="n"/>
      <c r="B54" s="16" t="n"/>
      <c r="C54" s="16" t="n"/>
      <c r="D54" s="16" t="n"/>
      <c r="E54" s="16" t="n"/>
      <c r="F54" s="9" t="n"/>
      <c r="G54" s="18" t="n"/>
      <c r="H54" s="16" t="n"/>
      <c r="I54" s="25" t="n"/>
      <c r="J54" s="20">
        <f>IF(OR(G54="",I54=""),"",ROUND(G54*I54,2))</f>
        <v/>
      </c>
      <c r="K54" s="19" t="n"/>
      <c r="L54" s="21">
        <f>IF(OR(J54="",K54=""),"",IF(ABS(J54-K54)&gt;0.01,"MISMATCH","OK"))</f>
        <v/>
      </c>
      <c r="M54" s="16" t="n"/>
      <c r="N54" s="16" t="n"/>
      <c r="O54" s="16" t="n"/>
      <c r="P54" s="9" t="n"/>
      <c r="Q54" s="9" t="n"/>
    </row>
    <row r="55">
      <c r="A55" s="16" t="n"/>
      <c r="B55" s="16" t="n"/>
      <c r="C55" s="16" t="n"/>
      <c r="D55" s="16" t="n"/>
      <c r="E55" s="16" t="n"/>
      <c r="F55" s="9" t="n"/>
      <c r="G55" s="18" t="n"/>
      <c r="H55" s="16" t="n"/>
      <c r="I55" s="25" t="n"/>
      <c r="J55" s="20">
        <f>IF(OR(G55="",I55=""),"",ROUND(G55*I55,2))</f>
        <v/>
      </c>
      <c r="K55" s="19" t="n"/>
      <c r="L55" s="21">
        <f>IF(OR(J55="",K55=""),"",IF(ABS(J55-K55)&gt;0.01,"MISMATCH","OK"))</f>
        <v/>
      </c>
      <c r="M55" s="16" t="n"/>
      <c r="N55" s="16" t="n"/>
      <c r="O55" s="16" t="n"/>
      <c r="P55" s="9" t="n"/>
      <c r="Q55" s="9" t="n"/>
    </row>
    <row r="56">
      <c r="A56" s="16" t="n"/>
      <c r="B56" s="16" t="n"/>
      <c r="C56" s="16" t="n"/>
      <c r="D56" s="16" t="n"/>
      <c r="E56" s="16" t="n"/>
      <c r="F56" s="9" t="n"/>
      <c r="G56" s="18" t="n"/>
      <c r="H56" s="16" t="n"/>
      <c r="I56" s="25" t="n"/>
      <c r="J56" s="20">
        <f>IF(OR(G56="",I56=""),"",ROUND(G56*I56,2))</f>
        <v/>
      </c>
      <c r="K56" s="19" t="n"/>
      <c r="L56" s="21">
        <f>IF(OR(J56="",K56=""),"",IF(ABS(J56-K56)&gt;0.01,"MISMATCH","OK"))</f>
        <v/>
      </c>
      <c r="M56" s="16" t="n"/>
      <c r="N56" s="16" t="n"/>
      <c r="O56" s="16" t="n"/>
      <c r="P56" s="9" t="n"/>
      <c r="Q56" s="9" t="n"/>
    </row>
    <row r="57">
      <c r="A57" s="16" t="n"/>
      <c r="B57" s="16" t="n"/>
      <c r="C57" s="16" t="n"/>
      <c r="D57" s="16" t="n"/>
      <c r="E57" s="16" t="n"/>
      <c r="F57" s="9" t="n"/>
      <c r="G57" s="18" t="n"/>
      <c r="H57" s="16" t="n"/>
      <c r="I57" s="25" t="n"/>
      <c r="J57" s="20">
        <f>IF(OR(G57="",I57=""),"",ROUND(G57*I57,2))</f>
        <v/>
      </c>
      <c r="K57" s="19" t="n"/>
      <c r="L57" s="21">
        <f>IF(OR(J57="",K57=""),"",IF(ABS(J57-K57)&gt;0.01,"MISMATCH","OK"))</f>
        <v/>
      </c>
      <c r="M57" s="16" t="n"/>
      <c r="N57" s="16" t="n"/>
      <c r="O57" s="16" t="n"/>
      <c r="P57" s="9" t="n"/>
      <c r="Q57" s="9" t="n"/>
    </row>
    <row r="58">
      <c r="A58" s="16" t="n"/>
      <c r="B58" s="16" t="n"/>
      <c r="C58" s="16" t="n"/>
      <c r="D58" s="16" t="n"/>
      <c r="E58" s="16" t="n"/>
      <c r="F58" s="9" t="n"/>
      <c r="G58" s="18" t="n"/>
      <c r="H58" s="16" t="n"/>
      <c r="I58" s="25" t="n"/>
      <c r="J58" s="20">
        <f>IF(OR(G58="",I58=""),"",ROUND(G58*I58,2))</f>
        <v/>
      </c>
      <c r="K58" s="19" t="n"/>
      <c r="L58" s="21">
        <f>IF(OR(J58="",K58=""),"",IF(ABS(J58-K58)&gt;0.01,"MISMATCH","OK"))</f>
        <v/>
      </c>
      <c r="M58" s="16" t="n"/>
      <c r="N58" s="16" t="n"/>
      <c r="O58" s="16" t="n"/>
      <c r="P58" s="9" t="n"/>
      <c r="Q58" s="9" t="n"/>
    </row>
    <row r="59">
      <c r="A59" s="16" t="n"/>
      <c r="B59" s="16" t="n"/>
      <c r="C59" s="16" t="n"/>
      <c r="D59" s="16" t="n"/>
      <c r="E59" s="16" t="n"/>
      <c r="F59" s="9" t="n"/>
      <c r="G59" s="18" t="n"/>
      <c r="H59" s="16" t="n"/>
      <c r="I59" s="25" t="n"/>
      <c r="J59" s="20">
        <f>IF(OR(G59="",I59=""),"",ROUND(G59*I59,2))</f>
        <v/>
      </c>
      <c r="K59" s="19" t="n"/>
      <c r="L59" s="21">
        <f>IF(OR(J59="",K59=""),"",IF(ABS(J59-K59)&gt;0.01,"MISMATCH","OK"))</f>
        <v/>
      </c>
      <c r="M59" s="16" t="n"/>
      <c r="N59" s="16" t="n"/>
      <c r="O59" s="16" t="n"/>
      <c r="P59" s="9" t="n"/>
      <c r="Q59" s="9" t="n"/>
    </row>
    <row r="60">
      <c r="A60" s="16" t="n"/>
      <c r="B60" s="16" t="n"/>
      <c r="C60" s="16" t="n"/>
      <c r="D60" s="16" t="n"/>
      <c r="E60" s="16" t="n"/>
      <c r="F60" s="9" t="n"/>
      <c r="G60" s="18" t="n"/>
      <c r="H60" s="16" t="n"/>
      <c r="I60" s="25" t="n"/>
      <c r="J60" s="20">
        <f>IF(OR(G60="",I60=""),"",ROUND(G60*I60,2))</f>
        <v/>
      </c>
      <c r="K60" s="19" t="n"/>
      <c r="L60" s="21">
        <f>IF(OR(J60="",K60=""),"",IF(ABS(J60-K60)&gt;0.01,"MISMATCH","OK"))</f>
        <v/>
      </c>
      <c r="M60" s="16" t="n"/>
      <c r="N60" s="16" t="n"/>
      <c r="O60" s="16" t="n"/>
      <c r="P60" s="9" t="n"/>
      <c r="Q60" s="9" t="n"/>
    </row>
    <row r="61">
      <c r="A61" s="16" t="n"/>
      <c r="B61" s="16" t="n"/>
      <c r="C61" s="16" t="n"/>
      <c r="D61" s="16" t="n"/>
      <c r="E61" s="16" t="n"/>
      <c r="F61" s="9" t="n"/>
      <c r="G61" s="18" t="n"/>
      <c r="H61" s="16" t="n"/>
      <c r="I61" s="25" t="n"/>
      <c r="J61" s="20">
        <f>IF(OR(G61="",I61=""),"",ROUND(G61*I61,2))</f>
        <v/>
      </c>
      <c r="K61" s="19" t="n"/>
      <c r="L61" s="21">
        <f>IF(OR(J61="",K61=""),"",IF(ABS(J61-K61)&gt;0.01,"MISMATCH","OK"))</f>
        <v/>
      </c>
      <c r="M61" s="16" t="n"/>
      <c r="N61" s="16" t="n"/>
      <c r="O61" s="16" t="n"/>
      <c r="P61" s="9" t="n"/>
      <c r="Q61" s="9" t="n"/>
    </row>
    <row r="62">
      <c r="A62" s="16" t="n"/>
      <c r="B62" s="16" t="n"/>
      <c r="C62" s="16" t="n"/>
      <c r="D62" s="16" t="n"/>
      <c r="E62" s="16" t="n"/>
      <c r="F62" s="9" t="n"/>
      <c r="G62" s="18" t="n"/>
      <c r="H62" s="16" t="n"/>
      <c r="I62" s="25" t="n"/>
      <c r="J62" s="20">
        <f>IF(OR(G62="",I62=""),"",ROUND(G62*I62,2))</f>
        <v/>
      </c>
      <c r="K62" s="19" t="n"/>
      <c r="L62" s="21">
        <f>IF(OR(J62="",K62=""),"",IF(ABS(J62-K62)&gt;0.01,"MISMATCH","OK"))</f>
        <v/>
      </c>
      <c r="M62" s="16" t="n"/>
      <c r="N62" s="16" t="n"/>
      <c r="O62" s="16" t="n"/>
      <c r="P62" s="9" t="n"/>
      <c r="Q62" s="9" t="n"/>
    </row>
    <row r="63">
      <c r="A63" s="16" t="n"/>
      <c r="B63" s="16" t="n"/>
      <c r="C63" s="16" t="n"/>
      <c r="D63" s="16" t="n"/>
      <c r="E63" s="16" t="n"/>
      <c r="F63" s="9" t="n"/>
      <c r="G63" s="18" t="n"/>
      <c r="H63" s="16" t="n"/>
      <c r="I63" s="25" t="n"/>
      <c r="J63" s="20">
        <f>IF(OR(G63="",I63=""),"",ROUND(G63*I63,2))</f>
        <v/>
      </c>
      <c r="K63" s="19" t="n"/>
      <c r="L63" s="21">
        <f>IF(OR(J63="",K63=""),"",IF(ABS(J63-K63)&gt;0.01,"MISMATCH","OK"))</f>
        <v/>
      </c>
      <c r="M63" s="16" t="n"/>
      <c r="N63" s="16" t="n"/>
      <c r="O63" s="16" t="n"/>
      <c r="P63" s="9" t="n"/>
      <c r="Q63" s="9" t="n"/>
    </row>
    <row r="64">
      <c r="A64" s="16" t="n"/>
      <c r="B64" s="16" t="n"/>
      <c r="C64" s="16" t="n"/>
      <c r="D64" s="16" t="n"/>
      <c r="E64" s="16" t="n"/>
      <c r="F64" s="9" t="n"/>
      <c r="G64" s="18" t="n"/>
      <c r="H64" s="16" t="n"/>
      <c r="I64" s="25" t="n"/>
      <c r="J64" s="20">
        <f>IF(OR(G64="",I64=""),"",ROUND(G64*I64,2))</f>
        <v/>
      </c>
      <c r="K64" s="19" t="n"/>
      <c r="L64" s="21">
        <f>IF(OR(J64="",K64=""),"",IF(ABS(J64-K64)&gt;0.01,"MISMATCH","OK"))</f>
        <v/>
      </c>
      <c r="M64" s="16" t="n"/>
      <c r="N64" s="16" t="n"/>
      <c r="O64" s="16" t="n"/>
      <c r="P64" s="9" t="n"/>
      <c r="Q64" s="9" t="n"/>
    </row>
    <row r="65">
      <c r="A65" s="16" t="n"/>
      <c r="B65" s="16" t="n"/>
      <c r="C65" s="16" t="n"/>
      <c r="D65" s="16" t="n"/>
      <c r="E65" s="16" t="n"/>
      <c r="F65" s="9" t="n"/>
      <c r="G65" s="18" t="n"/>
      <c r="H65" s="16" t="n"/>
      <c r="I65" s="25" t="n"/>
      <c r="J65" s="20">
        <f>IF(OR(G65="",I65=""),"",ROUND(G65*I65,2))</f>
        <v/>
      </c>
      <c r="K65" s="19" t="n"/>
      <c r="L65" s="21">
        <f>IF(OR(J65="",K65=""),"",IF(ABS(J65-K65)&gt;0.01,"MISMATCH","OK"))</f>
        <v/>
      </c>
      <c r="M65" s="16" t="n"/>
      <c r="N65" s="16" t="n"/>
      <c r="O65" s="16" t="n"/>
      <c r="P65" s="9" t="n"/>
      <c r="Q65" s="9" t="n"/>
    </row>
    <row r="66">
      <c r="A66" s="16" t="n"/>
      <c r="B66" s="16" t="n"/>
      <c r="C66" s="16" t="n"/>
      <c r="D66" s="16" t="n"/>
      <c r="E66" s="16" t="n"/>
      <c r="F66" s="9" t="n"/>
      <c r="G66" s="18" t="n"/>
      <c r="H66" s="16" t="n"/>
      <c r="I66" s="25" t="n"/>
      <c r="J66" s="20">
        <f>IF(OR(G66="",I66=""),"",ROUND(G66*I66,2))</f>
        <v/>
      </c>
      <c r="K66" s="19" t="n"/>
      <c r="L66" s="21">
        <f>IF(OR(J66="",K66=""),"",IF(ABS(J66-K66)&gt;0.01,"MISMATCH","OK"))</f>
        <v/>
      </c>
      <c r="M66" s="16" t="n"/>
      <c r="N66" s="16" t="n"/>
      <c r="O66" s="16" t="n"/>
      <c r="P66" s="9" t="n"/>
      <c r="Q66" s="9" t="n"/>
    </row>
    <row r="67">
      <c r="A67" s="16" t="n"/>
      <c r="B67" s="16" t="n"/>
      <c r="C67" s="16" t="n"/>
      <c r="D67" s="16" t="n"/>
      <c r="E67" s="16" t="n"/>
      <c r="F67" s="9" t="n"/>
      <c r="G67" s="18" t="n"/>
      <c r="H67" s="16" t="n"/>
      <c r="I67" s="25" t="n"/>
      <c r="J67" s="20">
        <f>IF(OR(G67="",I67=""),"",ROUND(G67*I67,2))</f>
        <v/>
      </c>
      <c r="K67" s="19" t="n"/>
      <c r="L67" s="21">
        <f>IF(OR(J67="",K67=""),"",IF(ABS(J67-K67)&gt;0.01,"MISMATCH","OK"))</f>
        <v/>
      </c>
      <c r="M67" s="16" t="n"/>
      <c r="N67" s="16" t="n"/>
      <c r="O67" s="16" t="n"/>
      <c r="P67" s="9" t="n"/>
      <c r="Q67" s="9" t="n"/>
    </row>
    <row r="68">
      <c r="A68" s="16" t="n"/>
      <c r="B68" s="16" t="n"/>
      <c r="C68" s="16" t="n"/>
      <c r="D68" s="16" t="n"/>
      <c r="E68" s="16" t="n"/>
      <c r="F68" s="9" t="n"/>
      <c r="G68" s="18" t="n"/>
      <c r="H68" s="16" t="n"/>
      <c r="I68" s="25" t="n"/>
      <c r="J68" s="20">
        <f>IF(OR(G68="",I68=""),"",ROUND(G68*I68,2))</f>
        <v/>
      </c>
      <c r="K68" s="19" t="n"/>
      <c r="L68" s="21">
        <f>IF(OR(J68="",K68=""),"",IF(ABS(J68-K68)&gt;0.01,"MISMATCH","OK"))</f>
        <v/>
      </c>
      <c r="M68" s="16" t="n"/>
      <c r="N68" s="16" t="n"/>
      <c r="O68" s="16" t="n"/>
      <c r="P68" s="9" t="n"/>
      <c r="Q68" s="9" t="n"/>
    </row>
    <row r="69">
      <c r="A69" s="16" t="n"/>
      <c r="B69" s="16" t="n"/>
      <c r="C69" s="16" t="n"/>
      <c r="D69" s="16" t="n"/>
      <c r="E69" s="16" t="n"/>
      <c r="F69" s="9" t="n"/>
      <c r="G69" s="18" t="n"/>
      <c r="H69" s="16" t="n"/>
      <c r="I69" s="25" t="n"/>
      <c r="J69" s="20">
        <f>IF(OR(G69="",I69=""),"",ROUND(G69*I69,2))</f>
        <v/>
      </c>
      <c r="K69" s="19" t="n"/>
      <c r="L69" s="21">
        <f>IF(OR(J69="",K69=""),"",IF(ABS(J69-K69)&gt;0.01,"MISMATCH","OK"))</f>
        <v/>
      </c>
      <c r="M69" s="16" t="n"/>
      <c r="N69" s="16" t="n"/>
      <c r="O69" s="16" t="n"/>
      <c r="P69" s="9" t="n"/>
      <c r="Q69" s="9" t="n"/>
    </row>
    <row r="70">
      <c r="A70" s="16" t="n"/>
      <c r="B70" s="16" t="n"/>
      <c r="C70" s="16" t="n"/>
      <c r="D70" s="16" t="n"/>
      <c r="E70" s="16" t="n"/>
      <c r="F70" s="9" t="n"/>
      <c r="G70" s="18" t="n"/>
      <c r="H70" s="16" t="n"/>
      <c r="I70" s="25" t="n"/>
      <c r="J70" s="20">
        <f>IF(OR(G70="",I70=""),"",ROUND(G70*I70,2))</f>
        <v/>
      </c>
      <c r="K70" s="19" t="n"/>
      <c r="L70" s="21">
        <f>IF(OR(J70="",K70=""),"",IF(ABS(J70-K70)&gt;0.01,"MISMATCH","OK"))</f>
        <v/>
      </c>
      <c r="M70" s="16" t="n"/>
      <c r="N70" s="16" t="n"/>
      <c r="O70" s="16" t="n"/>
      <c r="P70" s="9" t="n"/>
      <c r="Q70" s="9" t="n"/>
    </row>
    <row r="71">
      <c r="A71" s="16" t="n"/>
      <c r="B71" s="16" t="n"/>
      <c r="C71" s="16" t="n"/>
      <c r="D71" s="16" t="n"/>
      <c r="E71" s="16" t="n"/>
      <c r="F71" s="9" t="n"/>
      <c r="G71" s="18" t="n"/>
      <c r="H71" s="16" t="n"/>
      <c r="I71" s="25" t="n"/>
      <c r="J71" s="20">
        <f>IF(OR(G71="",I71=""),"",ROUND(G71*I71,2))</f>
        <v/>
      </c>
      <c r="K71" s="19" t="n"/>
      <c r="L71" s="21">
        <f>IF(OR(J71="",K71=""),"",IF(ABS(J71-K71)&gt;0.01,"MISMATCH","OK"))</f>
        <v/>
      </c>
      <c r="M71" s="16" t="n"/>
      <c r="N71" s="16" t="n"/>
      <c r="O71" s="16" t="n"/>
      <c r="P71" s="9" t="n"/>
      <c r="Q71" s="9" t="n"/>
    </row>
    <row r="72">
      <c r="A72" s="16" t="n"/>
      <c r="B72" s="16" t="n"/>
      <c r="C72" s="16" t="n"/>
      <c r="D72" s="16" t="n"/>
      <c r="E72" s="16" t="n"/>
      <c r="F72" s="9" t="n"/>
      <c r="G72" s="18" t="n"/>
      <c r="H72" s="16" t="n"/>
      <c r="I72" s="25" t="n"/>
      <c r="J72" s="20">
        <f>IF(OR(G72="",I72=""),"",ROUND(G72*I72,2))</f>
        <v/>
      </c>
      <c r="K72" s="19" t="n"/>
      <c r="L72" s="21">
        <f>IF(OR(J72="",K72=""),"",IF(ABS(J72-K72)&gt;0.01,"MISMATCH","OK"))</f>
        <v/>
      </c>
      <c r="M72" s="16" t="n"/>
      <c r="N72" s="16" t="n"/>
      <c r="O72" s="16" t="n"/>
      <c r="P72" s="9" t="n"/>
      <c r="Q72" s="9" t="n"/>
    </row>
    <row r="73">
      <c r="A73" s="16" t="n"/>
      <c r="B73" s="16" t="n"/>
      <c r="C73" s="16" t="n"/>
      <c r="D73" s="16" t="n"/>
      <c r="E73" s="16" t="n"/>
      <c r="F73" s="9" t="n"/>
      <c r="G73" s="18" t="n"/>
      <c r="H73" s="16" t="n"/>
      <c r="I73" s="25" t="n"/>
      <c r="J73" s="20">
        <f>IF(OR(G73="",I73=""),"",ROUND(G73*I73,2))</f>
        <v/>
      </c>
      <c r="K73" s="19" t="n"/>
      <c r="L73" s="21">
        <f>IF(OR(J73="",K73=""),"",IF(ABS(J73-K73)&gt;0.01,"MISMATCH","OK"))</f>
        <v/>
      </c>
      <c r="M73" s="16" t="n"/>
      <c r="N73" s="16" t="n"/>
      <c r="O73" s="16" t="n"/>
      <c r="P73" s="9" t="n"/>
      <c r="Q73" s="9" t="n"/>
    </row>
    <row r="74">
      <c r="A74" s="16" t="n"/>
      <c r="B74" s="16" t="n"/>
      <c r="C74" s="16" t="n"/>
      <c r="D74" s="16" t="n"/>
      <c r="E74" s="16" t="n"/>
      <c r="F74" s="9" t="n"/>
      <c r="G74" s="18" t="n"/>
      <c r="H74" s="16" t="n"/>
      <c r="I74" s="25" t="n"/>
      <c r="J74" s="20">
        <f>IF(OR(G74="",I74=""),"",ROUND(G74*I74,2))</f>
        <v/>
      </c>
      <c r="K74" s="19" t="n"/>
      <c r="L74" s="21">
        <f>IF(OR(J74="",K74=""),"",IF(ABS(J74-K74)&gt;0.01,"MISMATCH","OK"))</f>
        <v/>
      </c>
      <c r="M74" s="16" t="n"/>
      <c r="N74" s="16" t="n"/>
      <c r="O74" s="16" t="n"/>
      <c r="P74" s="9" t="n"/>
      <c r="Q74" s="9" t="n"/>
    </row>
    <row r="75">
      <c r="A75" s="16" t="n"/>
      <c r="B75" s="16" t="n"/>
      <c r="C75" s="16" t="n"/>
      <c r="D75" s="16" t="n"/>
      <c r="E75" s="16" t="n"/>
      <c r="F75" s="9" t="n"/>
      <c r="G75" s="18" t="n"/>
      <c r="H75" s="16" t="n"/>
      <c r="I75" s="25" t="n"/>
      <c r="J75" s="20">
        <f>IF(OR(G75="",I75=""),"",ROUND(G75*I75,2))</f>
        <v/>
      </c>
      <c r="K75" s="19" t="n"/>
      <c r="L75" s="21">
        <f>IF(OR(J75="",K75=""),"",IF(ABS(J75-K75)&gt;0.01,"MISMATCH","OK"))</f>
        <v/>
      </c>
      <c r="M75" s="16" t="n"/>
      <c r="N75" s="16" t="n"/>
      <c r="O75" s="16" t="n"/>
      <c r="P75" s="9" t="n"/>
      <c r="Q75" s="9" t="n"/>
    </row>
    <row r="76">
      <c r="A76" s="16" t="n"/>
      <c r="B76" s="16" t="n"/>
      <c r="C76" s="16" t="n"/>
      <c r="D76" s="16" t="n"/>
      <c r="E76" s="16" t="n"/>
      <c r="F76" s="9" t="n"/>
      <c r="G76" s="18" t="n"/>
      <c r="H76" s="16" t="n"/>
      <c r="I76" s="25" t="n"/>
      <c r="J76" s="20">
        <f>IF(OR(G76="",I76=""),"",ROUND(G76*I76,2))</f>
        <v/>
      </c>
      <c r="K76" s="19" t="n"/>
      <c r="L76" s="21">
        <f>IF(OR(J76="",K76=""),"",IF(ABS(J76-K76)&gt;0.01,"MISMATCH","OK"))</f>
        <v/>
      </c>
      <c r="M76" s="16" t="n"/>
      <c r="N76" s="16" t="n"/>
      <c r="O76" s="16" t="n"/>
      <c r="P76" s="9" t="n"/>
      <c r="Q76" s="9" t="n"/>
    </row>
    <row r="77">
      <c r="A77" s="16" t="n"/>
      <c r="B77" s="16" t="n"/>
      <c r="C77" s="16" t="n"/>
      <c r="D77" s="16" t="n"/>
      <c r="E77" s="16" t="n"/>
      <c r="F77" s="9" t="n"/>
      <c r="G77" s="18" t="n"/>
      <c r="H77" s="16" t="n"/>
      <c r="I77" s="25" t="n"/>
      <c r="J77" s="20">
        <f>IF(OR(G77="",I77=""),"",ROUND(G77*I77,2))</f>
        <v/>
      </c>
      <c r="K77" s="19" t="n"/>
      <c r="L77" s="21">
        <f>IF(OR(J77="",K77=""),"",IF(ABS(J77-K77)&gt;0.01,"MISMATCH","OK"))</f>
        <v/>
      </c>
      <c r="M77" s="16" t="n"/>
      <c r="N77" s="16" t="n"/>
      <c r="O77" s="16" t="n"/>
      <c r="P77" s="9" t="n"/>
      <c r="Q77" s="9" t="n"/>
    </row>
    <row r="78">
      <c r="A78" s="16" t="n"/>
      <c r="B78" s="16" t="n"/>
      <c r="C78" s="16" t="n"/>
      <c r="D78" s="16" t="n"/>
      <c r="E78" s="16" t="n"/>
      <c r="F78" s="9" t="n"/>
      <c r="G78" s="18" t="n"/>
      <c r="H78" s="16" t="n"/>
      <c r="I78" s="25" t="n"/>
      <c r="J78" s="20">
        <f>IF(OR(G78="",I78=""),"",ROUND(G78*I78,2))</f>
        <v/>
      </c>
      <c r="K78" s="19" t="n"/>
      <c r="L78" s="21">
        <f>IF(OR(J78="",K78=""),"",IF(ABS(J78-K78)&gt;0.01,"MISMATCH","OK"))</f>
        <v/>
      </c>
      <c r="M78" s="16" t="n"/>
      <c r="N78" s="16" t="n"/>
      <c r="O78" s="16" t="n"/>
      <c r="P78" s="9" t="n"/>
      <c r="Q78" s="9" t="n"/>
    </row>
    <row r="79">
      <c r="A79" s="16" t="n"/>
      <c r="B79" s="16" t="n"/>
      <c r="C79" s="16" t="n"/>
      <c r="D79" s="16" t="n"/>
      <c r="E79" s="16" t="n"/>
      <c r="F79" s="9" t="n"/>
      <c r="G79" s="18" t="n"/>
      <c r="H79" s="16" t="n"/>
      <c r="I79" s="25" t="n"/>
      <c r="J79" s="20">
        <f>IF(OR(G79="",I79=""),"",ROUND(G79*I79,2))</f>
        <v/>
      </c>
      <c r="K79" s="19" t="n"/>
      <c r="L79" s="21">
        <f>IF(OR(J79="",K79=""),"",IF(ABS(J79-K79)&gt;0.01,"MISMATCH","OK"))</f>
        <v/>
      </c>
      <c r="M79" s="16" t="n"/>
      <c r="N79" s="16" t="n"/>
      <c r="O79" s="16" t="n"/>
      <c r="P79" s="9" t="n"/>
      <c r="Q79" s="9" t="n"/>
    </row>
    <row r="80">
      <c r="A80" s="16" t="n"/>
      <c r="B80" s="16" t="n"/>
      <c r="C80" s="16" t="n"/>
      <c r="D80" s="16" t="n"/>
      <c r="E80" s="16" t="n"/>
      <c r="F80" s="9" t="n"/>
      <c r="G80" s="18" t="n"/>
      <c r="H80" s="16" t="n"/>
      <c r="I80" s="25" t="n"/>
      <c r="J80" s="20">
        <f>IF(OR(G80="",I80=""),"",ROUND(G80*I80,2))</f>
        <v/>
      </c>
      <c r="K80" s="19" t="n"/>
      <c r="L80" s="21">
        <f>IF(OR(J80="",K80=""),"",IF(ABS(J80-K80)&gt;0.01,"MISMATCH","OK"))</f>
        <v/>
      </c>
      <c r="M80" s="16" t="n"/>
      <c r="N80" s="16" t="n"/>
      <c r="O80" s="16" t="n"/>
      <c r="P80" s="9" t="n"/>
      <c r="Q80" s="9" t="n"/>
    </row>
    <row r="81">
      <c r="A81" s="16" t="n"/>
      <c r="B81" s="16" t="n"/>
      <c r="C81" s="16" t="n"/>
      <c r="D81" s="16" t="n"/>
      <c r="E81" s="16" t="n"/>
      <c r="F81" s="9" t="n"/>
      <c r="G81" s="18" t="n"/>
      <c r="H81" s="16" t="n"/>
      <c r="I81" s="25" t="n"/>
      <c r="J81" s="20">
        <f>IF(OR(G81="",I81=""),"",ROUND(G81*I81,2))</f>
        <v/>
      </c>
      <c r="K81" s="19" t="n"/>
      <c r="L81" s="21">
        <f>IF(OR(J81="",K81=""),"",IF(ABS(J81-K81)&gt;0.01,"MISMATCH","OK"))</f>
        <v/>
      </c>
      <c r="M81" s="16" t="n"/>
      <c r="N81" s="16" t="n"/>
      <c r="O81" s="16" t="n"/>
      <c r="P81" s="9" t="n"/>
      <c r="Q81" s="9" t="n"/>
    </row>
    <row r="82">
      <c r="A82" s="16" t="n"/>
      <c r="B82" s="16" t="n"/>
      <c r="C82" s="16" t="n"/>
      <c r="D82" s="16" t="n"/>
      <c r="E82" s="16" t="n"/>
      <c r="F82" s="9" t="n"/>
      <c r="G82" s="18" t="n"/>
      <c r="H82" s="16" t="n"/>
      <c r="I82" s="25" t="n"/>
      <c r="J82" s="20">
        <f>IF(OR(G82="",I82=""),"",ROUND(G82*I82,2))</f>
        <v/>
      </c>
      <c r="K82" s="19" t="n"/>
      <c r="L82" s="21">
        <f>IF(OR(J82="",K82=""),"",IF(ABS(J82-K82)&gt;0.01,"MISMATCH","OK"))</f>
        <v/>
      </c>
      <c r="M82" s="16" t="n"/>
      <c r="N82" s="16" t="n"/>
      <c r="O82" s="16" t="n"/>
      <c r="P82" s="9" t="n"/>
      <c r="Q82" s="9" t="n"/>
    </row>
    <row r="83">
      <c r="A83" s="16" t="n"/>
      <c r="B83" s="16" t="n"/>
      <c r="C83" s="16" t="n"/>
      <c r="D83" s="16" t="n"/>
      <c r="E83" s="16" t="n"/>
      <c r="F83" s="9" t="n"/>
      <c r="G83" s="18" t="n"/>
      <c r="H83" s="16" t="n"/>
      <c r="I83" s="25" t="n"/>
      <c r="J83" s="20">
        <f>IF(OR(G83="",I83=""),"",ROUND(G83*I83,2))</f>
        <v/>
      </c>
      <c r="K83" s="19" t="n"/>
      <c r="L83" s="21">
        <f>IF(OR(J83="",K83=""),"",IF(ABS(J83-K83)&gt;0.01,"MISMATCH","OK"))</f>
        <v/>
      </c>
      <c r="M83" s="16" t="n"/>
      <c r="N83" s="16" t="n"/>
      <c r="O83" s="16" t="n"/>
      <c r="P83" s="9" t="n"/>
      <c r="Q83" s="9" t="n"/>
    </row>
    <row r="84">
      <c r="A84" s="16" t="n"/>
      <c r="B84" s="16" t="n"/>
      <c r="C84" s="16" t="n"/>
      <c r="D84" s="16" t="n"/>
      <c r="E84" s="16" t="n"/>
      <c r="F84" s="9" t="n"/>
      <c r="G84" s="18" t="n"/>
      <c r="H84" s="16" t="n"/>
      <c r="I84" s="25" t="n"/>
      <c r="J84" s="20">
        <f>IF(OR(G84="",I84=""),"",ROUND(G84*I84,2))</f>
        <v/>
      </c>
      <c r="K84" s="19" t="n"/>
      <c r="L84" s="21">
        <f>IF(OR(J84="",K84=""),"",IF(ABS(J84-K84)&gt;0.01,"MISMATCH","OK"))</f>
        <v/>
      </c>
      <c r="M84" s="16" t="n"/>
      <c r="N84" s="16" t="n"/>
      <c r="O84" s="16" t="n"/>
      <c r="P84" s="9" t="n"/>
      <c r="Q84" s="9" t="n"/>
    </row>
    <row r="85">
      <c r="A85" s="16" t="n"/>
      <c r="B85" s="16" t="n"/>
      <c r="C85" s="16" t="n"/>
      <c r="D85" s="16" t="n"/>
      <c r="E85" s="16" t="n"/>
      <c r="F85" s="9" t="n"/>
      <c r="G85" s="18" t="n"/>
      <c r="H85" s="16" t="n"/>
      <c r="I85" s="25" t="n"/>
      <c r="J85" s="20">
        <f>IF(OR(G85="",I85=""),"",ROUND(G85*I85,2))</f>
        <v/>
      </c>
      <c r="K85" s="19" t="n"/>
      <c r="L85" s="21">
        <f>IF(OR(J85="",K85=""),"",IF(ABS(J85-K85)&gt;0.01,"MISMATCH","OK"))</f>
        <v/>
      </c>
      <c r="M85" s="16" t="n"/>
      <c r="N85" s="16" t="n"/>
      <c r="O85" s="16" t="n"/>
      <c r="P85" s="9" t="n"/>
      <c r="Q85" s="9" t="n"/>
    </row>
    <row r="86">
      <c r="A86" s="16" t="n"/>
      <c r="B86" s="16" t="n"/>
      <c r="C86" s="16" t="n"/>
      <c r="D86" s="16" t="n"/>
      <c r="E86" s="16" t="n"/>
      <c r="F86" s="9" t="n"/>
      <c r="G86" s="18" t="n"/>
      <c r="H86" s="16" t="n"/>
      <c r="I86" s="25" t="n"/>
      <c r="J86" s="20">
        <f>IF(OR(G86="",I86=""),"",ROUND(G86*I86,2))</f>
        <v/>
      </c>
      <c r="K86" s="19" t="n"/>
      <c r="L86" s="21">
        <f>IF(OR(J86="",K86=""),"",IF(ABS(J86-K86)&gt;0.01,"MISMATCH","OK"))</f>
        <v/>
      </c>
      <c r="M86" s="16" t="n"/>
      <c r="N86" s="16" t="n"/>
      <c r="O86" s="16" t="n"/>
      <c r="P86" s="9" t="n"/>
      <c r="Q86" s="9" t="n"/>
    </row>
    <row r="87">
      <c r="A87" s="16" t="n"/>
      <c r="B87" s="16" t="n"/>
      <c r="C87" s="16" t="n"/>
      <c r="D87" s="16" t="n"/>
      <c r="E87" s="16" t="n"/>
      <c r="F87" s="9" t="n"/>
      <c r="G87" s="18" t="n"/>
      <c r="H87" s="16" t="n"/>
      <c r="I87" s="25" t="n"/>
      <c r="J87" s="20">
        <f>IF(OR(G87="",I87=""),"",ROUND(G87*I87,2))</f>
        <v/>
      </c>
      <c r="K87" s="19" t="n"/>
      <c r="L87" s="21">
        <f>IF(OR(J87="",K87=""),"",IF(ABS(J87-K87)&gt;0.01,"MISMATCH","OK"))</f>
        <v/>
      </c>
      <c r="M87" s="16" t="n"/>
      <c r="N87" s="16" t="n"/>
      <c r="O87" s="16" t="n"/>
      <c r="P87" s="9" t="n"/>
      <c r="Q87" s="9" t="n"/>
    </row>
    <row r="88">
      <c r="A88" s="16" t="n"/>
      <c r="B88" s="16" t="n"/>
      <c r="C88" s="16" t="n"/>
      <c r="D88" s="16" t="n"/>
      <c r="E88" s="16" t="n"/>
      <c r="F88" s="9" t="n"/>
      <c r="G88" s="18" t="n"/>
      <c r="H88" s="16" t="n"/>
      <c r="I88" s="25" t="n"/>
      <c r="J88" s="20">
        <f>IF(OR(G88="",I88=""),"",ROUND(G88*I88,2))</f>
        <v/>
      </c>
      <c r="K88" s="19" t="n"/>
      <c r="L88" s="21">
        <f>IF(OR(J88="",K88=""),"",IF(ABS(J88-K88)&gt;0.01,"MISMATCH","OK"))</f>
        <v/>
      </c>
      <c r="M88" s="16" t="n"/>
      <c r="N88" s="16" t="n"/>
      <c r="O88" s="16" t="n"/>
      <c r="P88" s="9" t="n"/>
      <c r="Q88" s="9" t="n"/>
    </row>
    <row r="89">
      <c r="A89" s="16" t="n"/>
      <c r="B89" s="16" t="n"/>
      <c r="C89" s="16" t="n"/>
      <c r="D89" s="16" t="n"/>
      <c r="E89" s="16" t="n"/>
      <c r="F89" s="9" t="n"/>
      <c r="G89" s="18" t="n"/>
      <c r="H89" s="16" t="n"/>
      <c r="I89" s="25" t="n"/>
      <c r="J89" s="20">
        <f>IF(OR(G89="",I89=""),"",ROUND(G89*I89,2))</f>
        <v/>
      </c>
      <c r="K89" s="19" t="n"/>
      <c r="L89" s="21">
        <f>IF(OR(J89="",K89=""),"",IF(ABS(J89-K89)&gt;0.01,"MISMATCH","OK"))</f>
        <v/>
      </c>
      <c r="M89" s="16" t="n"/>
      <c r="N89" s="16" t="n"/>
      <c r="O89" s="16" t="n"/>
      <c r="P89" s="9" t="n"/>
      <c r="Q89" s="9" t="n"/>
    </row>
    <row r="90">
      <c r="A90" s="16" t="n"/>
      <c r="B90" s="16" t="n"/>
      <c r="C90" s="16" t="n"/>
      <c r="D90" s="16" t="n"/>
      <c r="E90" s="16" t="n"/>
      <c r="F90" s="9" t="n"/>
      <c r="G90" s="18" t="n"/>
      <c r="H90" s="16" t="n"/>
      <c r="I90" s="25" t="n"/>
      <c r="J90" s="20">
        <f>IF(OR(G90="",I90=""),"",ROUND(G90*I90,2))</f>
        <v/>
      </c>
      <c r="K90" s="19" t="n"/>
      <c r="L90" s="21">
        <f>IF(OR(J90="",K90=""),"",IF(ABS(J90-K90)&gt;0.01,"MISMATCH","OK"))</f>
        <v/>
      </c>
      <c r="M90" s="16" t="n"/>
      <c r="N90" s="16" t="n"/>
      <c r="O90" s="16" t="n"/>
      <c r="P90" s="9" t="n"/>
      <c r="Q90" s="9" t="n"/>
    </row>
    <row r="91">
      <c r="A91" s="16" t="n"/>
      <c r="B91" s="16" t="n"/>
      <c r="C91" s="16" t="n"/>
      <c r="D91" s="16" t="n"/>
      <c r="E91" s="16" t="n"/>
      <c r="F91" s="9" t="n"/>
      <c r="G91" s="18" t="n"/>
      <c r="H91" s="16" t="n"/>
      <c r="I91" s="25" t="n"/>
      <c r="J91" s="20">
        <f>IF(OR(G91="",I91=""),"",ROUND(G91*I91,2))</f>
        <v/>
      </c>
      <c r="K91" s="19" t="n"/>
      <c r="L91" s="21">
        <f>IF(OR(J91="",K91=""),"",IF(ABS(J91-K91)&gt;0.01,"MISMATCH","OK"))</f>
        <v/>
      </c>
      <c r="M91" s="16" t="n"/>
      <c r="N91" s="16" t="n"/>
      <c r="O91" s="16" t="n"/>
      <c r="P91" s="9" t="n"/>
      <c r="Q91" s="9" t="n"/>
    </row>
    <row r="92">
      <c r="A92" s="16" t="n"/>
      <c r="B92" s="16" t="n"/>
      <c r="C92" s="16" t="n"/>
      <c r="D92" s="16" t="n"/>
      <c r="E92" s="16" t="n"/>
      <c r="F92" s="9" t="n"/>
      <c r="G92" s="18" t="n"/>
      <c r="H92" s="16" t="n"/>
      <c r="I92" s="25" t="n"/>
      <c r="J92" s="20">
        <f>IF(OR(G92="",I92=""),"",ROUND(G92*I92,2))</f>
        <v/>
      </c>
      <c r="K92" s="19" t="n"/>
      <c r="L92" s="21">
        <f>IF(OR(J92="",K92=""),"",IF(ABS(J92-K92)&gt;0.01,"MISMATCH","OK"))</f>
        <v/>
      </c>
      <c r="M92" s="16" t="n"/>
      <c r="N92" s="16" t="n"/>
      <c r="O92" s="16" t="n"/>
      <c r="P92" s="9" t="n"/>
      <c r="Q92" s="9" t="n"/>
    </row>
    <row r="93">
      <c r="A93" s="16" t="n"/>
      <c r="B93" s="16" t="n"/>
      <c r="C93" s="16" t="n"/>
      <c r="D93" s="16" t="n"/>
      <c r="E93" s="16" t="n"/>
      <c r="F93" s="9" t="n"/>
      <c r="G93" s="18" t="n"/>
      <c r="H93" s="16" t="n"/>
      <c r="I93" s="25" t="n"/>
      <c r="J93" s="20">
        <f>IF(OR(G93="",I93=""),"",ROUND(G93*I93,2))</f>
        <v/>
      </c>
      <c r="K93" s="19" t="n"/>
      <c r="L93" s="21">
        <f>IF(OR(J93="",K93=""),"",IF(ABS(J93-K93)&gt;0.01,"MISMATCH","OK"))</f>
        <v/>
      </c>
      <c r="M93" s="16" t="n"/>
      <c r="N93" s="16" t="n"/>
      <c r="O93" s="16" t="n"/>
      <c r="P93" s="9" t="n"/>
      <c r="Q93" s="9" t="n"/>
    </row>
    <row r="94">
      <c r="A94" s="16" t="n"/>
      <c r="B94" s="16" t="n"/>
      <c r="C94" s="16" t="n"/>
      <c r="D94" s="16" t="n"/>
      <c r="E94" s="16" t="n"/>
      <c r="F94" s="9" t="n"/>
      <c r="G94" s="18" t="n"/>
      <c r="H94" s="16" t="n"/>
      <c r="I94" s="25" t="n"/>
      <c r="J94" s="20">
        <f>IF(OR(G94="",I94=""),"",ROUND(G94*I94,2))</f>
        <v/>
      </c>
      <c r="K94" s="19" t="n"/>
      <c r="L94" s="21">
        <f>IF(OR(J94="",K94=""),"",IF(ABS(J94-K94)&gt;0.01,"MISMATCH","OK"))</f>
        <v/>
      </c>
      <c r="M94" s="16" t="n"/>
      <c r="N94" s="16" t="n"/>
      <c r="O94" s="16" t="n"/>
      <c r="P94" s="9" t="n"/>
      <c r="Q94" s="9" t="n"/>
    </row>
    <row r="95">
      <c r="A95" s="16" t="n"/>
      <c r="B95" s="16" t="n"/>
      <c r="C95" s="16" t="n"/>
      <c r="D95" s="16" t="n"/>
      <c r="E95" s="16" t="n"/>
      <c r="F95" s="9" t="n"/>
      <c r="G95" s="18" t="n"/>
      <c r="H95" s="16" t="n"/>
      <c r="I95" s="25" t="n"/>
      <c r="J95" s="20">
        <f>IF(OR(G95="",I95=""),"",ROUND(G95*I95,2))</f>
        <v/>
      </c>
      <c r="K95" s="19" t="n"/>
      <c r="L95" s="21">
        <f>IF(OR(J95="",K95=""),"",IF(ABS(J95-K95)&gt;0.01,"MISMATCH","OK"))</f>
        <v/>
      </c>
      <c r="M95" s="16" t="n"/>
      <c r="N95" s="16" t="n"/>
      <c r="O95" s="16" t="n"/>
      <c r="P95" s="9" t="n"/>
      <c r="Q95" s="9" t="n"/>
    </row>
    <row r="96">
      <c r="A96" s="16" t="n"/>
      <c r="B96" s="16" t="n"/>
      <c r="C96" s="16" t="n"/>
      <c r="D96" s="16" t="n"/>
      <c r="E96" s="16" t="n"/>
      <c r="F96" s="9" t="n"/>
      <c r="G96" s="18" t="n"/>
      <c r="H96" s="16" t="n"/>
      <c r="I96" s="25" t="n"/>
      <c r="J96" s="20">
        <f>IF(OR(G96="",I96=""),"",ROUND(G96*I96,2))</f>
        <v/>
      </c>
      <c r="K96" s="19" t="n"/>
      <c r="L96" s="21">
        <f>IF(OR(J96="",K96=""),"",IF(ABS(J96-K96)&gt;0.01,"MISMATCH","OK"))</f>
        <v/>
      </c>
      <c r="M96" s="16" t="n"/>
      <c r="N96" s="16" t="n"/>
      <c r="O96" s="16" t="n"/>
      <c r="P96" s="9" t="n"/>
      <c r="Q96" s="9" t="n"/>
    </row>
    <row r="97">
      <c r="A97" s="16" t="n"/>
      <c r="B97" s="16" t="n"/>
      <c r="C97" s="16" t="n"/>
      <c r="D97" s="16" t="n"/>
      <c r="E97" s="16" t="n"/>
      <c r="F97" s="9" t="n"/>
      <c r="G97" s="18" t="n"/>
      <c r="H97" s="16" t="n"/>
      <c r="I97" s="25" t="n"/>
      <c r="J97" s="20">
        <f>IF(OR(G97="",I97=""),"",ROUND(G97*I97,2))</f>
        <v/>
      </c>
      <c r="K97" s="19" t="n"/>
      <c r="L97" s="21">
        <f>IF(OR(J97="",K97=""),"",IF(ABS(J97-K97)&gt;0.01,"MISMATCH","OK"))</f>
        <v/>
      </c>
      <c r="M97" s="16" t="n"/>
      <c r="N97" s="16" t="n"/>
      <c r="O97" s="16" t="n"/>
      <c r="P97" s="9" t="n"/>
      <c r="Q97" s="9" t="n"/>
    </row>
    <row r="98">
      <c r="A98" s="16" t="n"/>
      <c r="B98" s="16" t="n"/>
      <c r="C98" s="16" t="n"/>
      <c r="D98" s="16" t="n"/>
      <c r="E98" s="16" t="n"/>
      <c r="F98" s="9" t="n"/>
      <c r="G98" s="18" t="n"/>
      <c r="H98" s="16" t="n"/>
      <c r="I98" s="25" t="n"/>
      <c r="J98" s="20">
        <f>IF(OR(G98="",I98=""),"",ROUND(G98*I98,2))</f>
        <v/>
      </c>
      <c r="K98" s="19" t="n"/>
      <c r="L98" s="21">
        <f>IF(OR(J98="",K98=""),"",IF(ABS(J98-K98)&gt;0.01,"MISMATCH","OK"))</f>
        <v/>
      </c>
      <c r="M98" s="16" t="n"/>
      <c r="N98" s="16" t="n"/>
      <c r="O98" s="16" t="n"/>
      <c r="P98" s="9" t="n"/>
      <c r="Q98" s="9" t="n"/>
    </row>
    <row r="99">
      <c r="A99" s="16" t="n"/>
      <c r="B99" s="16" t="n"/>
      <c r="C99" s="16" t="n"/>
      <c r="D99" s="16" t="n"/>
      <c r="E99" s="16" t="n"/>
      <c r="F99" s="9" t="n"/>
      <c r="G99" s="18" t="n"/>
      <c r="H99" s="16" t="n"/>
      <c r="I99" s="25" t="n"/>
      <c r="J99" s="20">
        <f>IF(OR(G99="",I99=""),"",ROUND(G99*I99,2))</f>
        <v/>
      </c>
      <c r="K99" s="19" t="n"/>
      <c r="L99" s="21">
        <f>IF(OR(J99="",K99=""),"",IF(ABS(J99-K99)&gt;0.01,"MISMATCH","OK"))</f>
        <v/>
      </c>
      <c r="M99" s="16" t="n"/>
      <c r="N99" s="16" t="n"/>
      <c r="O99" s="16" t="n"/>
      <c r="P99" s="9" t="n"/>
      <c r="Q99" s="9" t="n"/>
    </row>
    <row r="100">
      <c r="A100" s="16" t="n"/>
      <c r="B100" s="16" t="n"/>
      <c r="C100" s="16" t="n"/>
      <c r="D100" s="16" t="n"/>
      <c r="E100" s="16" t="n"/>
      <c r="F100" s="9" t="n"/>
      <c r="G100" s="18" t="n"/>
      <c r="H100" s="16" t="n"/>
      <c r="I100" s="25" t="n"/>
      <c r="J100" s="20">
        <f>IF(OR(G100="",I100=""),"",ROUND(G100*I100,2))</f>
        <v/>
      </c>
      <c r="K100" s="19" t="n"/>
      <c r="L100" s="21">
        <f>IF(OR(J100="",K100=""),"",IF(ABS(J100-K100)&gt;0.01,"MISMATCH","OK"))</f>
        <v/>
      </c>
      <c r="M100" s="16" t="n"/>
      <c r="N100" s="16" t="n"/>
      <c r="O100" s="16" t="n"/>
      <c r="P100" s="9" t="n"/>
      <c r="Q100" s="9" t="n"/>
    </row>
    <row r="101">
      <c r="A101" s="16" t="n"/>
      <c r="B101" s="16" t="n"/>
      <c r="C101" s="16" t="n"/>
      <c r="D101" s="16" t="n"/>
      <c r="E101" s="16" t="n"/>
      <c r="F101" s="9" t="n"/>
      <c r="G101" s="18" t="n"/>
      <c r="H101" s="16" t="n"/>
      <c r="I101" s="25" t="n"/>
      <c r="J101" s="20">
        <f>IF(OR(G101="",I101=""),"",ROUND(G101*I101,2))</f>
        <v/>
      </c>
      <c r="K101" s="19" t="n"/>
      <c r="L101" s="21">
        <f>IF(OR(J101="",K101=""),"",IF(ABS(J101-K101)&gt;0.01,"MISMATCH","OK"))</f>
        <v/>
      </c>
      <c r="M101" s="16" t="n"/>
      <c r="N101" s="16" t="n"/>
      <c r="O101" s="16" t="n"/>
      <c r="P101" s="9" t="n"/>
      <c r="Q101" s="9" t="n"/>
    </row>
    <row r="102">
      <c r="A102" s="16" t="n"/>
      <c r="B102" s="16" t="n"/>
      <c r="C102" s="16" t="n"/>
      <c r="D102" s="16" t="n"/>
      <c r="E102" s="16" t="n"/>
      <c r="F102" s="9" t="n"/>
      <c r="G102" s="18" t="n"/>
      <c r="H102" s="16" t="n"/>
      <c r="I102" s="25" t="n"/>
      <c r="J102" s="20">
        <f>IF(OR(G102="",I102=""),"",ROUND(G102*I102,2))</f>
        <v/>
      </c>
      <c r="K102" s="19" t="n"/>
      <c r="L102" s="21">
        <f>IF(OR(J102="",K102=""),"",IF(ABS(J102-K102)&gt;0.01,"MISMATCH","OK"))</f>
        <v/>
      </c>
      <c r="M102" s="16" t="n"/>
      <c r="N102" s="16" t="n"/>
      <c r="O102" s="16" t="n"/>
      <c r="P102" s="9" t="n"/>
      <c r="Q102" s="9" t="n"/>
    </row>
    <row r="103">
      <c r="A103" s="16" t="n"/>
      <c r="B103" s="16" t="n"/>
      <c r="C103" s="16" t="n"/>
      <c r="D103" s="16" t="n"/>
      <c r="E103" s="16" t="n"/>
      <c r="F103" s="9" t="n"/>
      <c r="G103" s="18" t="n"/>
      <c r="H103" s="16" t="n"/>
      <c r="I103" s="25" t="n"/>
      <c r="J103" s="20">
        <f>IF(OR(G103="",I103=""),"",ROUND(G103*I103,2))</f>
        <v/>
      </c>
      <c r="K103" s="19" t="n"/>
      <c r="L103" s="21">
        <f>IF(OR(J103="",K103=""),"",IF(ABS(J103-K103)&gt;0.01,"MISMATCH","OK"))</f>
        <v/>
      </c>
      <c r="M103" s="16" t="n"/>
      <c r="N103" s="16" t="n"/>
      <c r="O103" s="16" t="n"/>
      <c r="P103" s="9" t="n"/>
      <c r="Q103" s="9" t="n"/>
    </row>
    <row r="104">
      <c r="A104" s="16" t="n"/>
      <c r="B104" s="16" t="n"/>
      <c r="C104" s="16" t="n"/>
      <c r="D104" s="16" t="n"/>
      <c r="E104" s="16" t="n"/>
      <c r="F104" s="9" t="n"/>
      <c r="G104" s="18" t="n"/>
      <c r="H104" s="16" t="n"/>
      <c r="I104" s="25" t="n"/>
      <c r="J104" s="20">
        <f>IF(OR(G104="",I104=""),"",ROUND(G104*I104,2))</f>
        <v/>
      </c>
      <c r="K104" s="19" t="n"/>
      <c r="L104" s="21">
        <f>IF(OR(J104="",K104=""),"",IF(ABS(J104-K104)&gt;0.01,"MISMATCH","OK"))</f>
        <v/>
      </c>
      <c r="M104" s="16" t="n"/>
      <c r="N104" s="16" t="n"/>
      <c r="O104" s="16" t="n"/>
      <c r="P104" s="9" t="n"/>
      <c r="Q104" s="9" t="n"/>
    </row>
    <row r="105">
      <c r="A105" s="16" t="n"/>
      <c r="B105" s="16" t="n"/>
      <c r="C105" s="16" t="n"/>
      <c r="D105" s="16" t="n"/>
      <c r="E105" s="16" t="n"/>
      <c r="F105" s="9" t="n"/>
      <c r="G105" s="18" t="n"/>
      <c r="H105" s="16" t="n"/>
      <c r="I105" s="25" t="n"/>
      <c r="J105" s="20">
        <f>IF(OR(G105="",I105=""),"",ROUND(G105*I105,2))</f>
        <v/>
      </c>
      <c r="K105" s="19" t="n"/>
      <c r="L105" s="21">
        <f>IF(OR(J105="",K105=""),"",IF(ABS(J105-K105)&gt;0.01,"MISMATCH","OK"))</f>
        <v/>
      </c>
      <c r="M105" s="16" t="n"/>
      <c r="N105" s="16" t="n"/>
      <c r="O105" s="16" t="n"/>
      <c r="P105" s="9" t="n"/>
      <c r="Q105" s="9" t="n"/>
    </row>
    <row r="106">
      <c r="A106" s="16" t="n"/>
      <c r="B106" s="16" t="n"/>
      <c r="C106" s="16" t="n"/>
      <c r="D106" s="16" t="n"/>
      <c r="E106" s="16" t="n"/>
      <c r="F106" s="9" t="n"/>
      <c r="G106" s="18" t="n"/>
      <c r="H106" s="16" t="n"/>
      <c r="I106" s="25" t="n"/>
      <c r="J106" s="20">
        <f>IF(OR(G106="",I106=""),"",ROUND(G106*I106,2))</f>
        <v/>
      </c>
      <c r="K106" s="19" t="n"/>
      <c r="L106" s="21">
        <f>IF(OR(J106="",K106=""),"",IF(ABS(J106-K106)&gt;0.01,"MISMATCH","OK"))</f>
        <v/>
      </c>
      <c r="M106" s="16" t="n"/>
      <c r="N106" s="16" t="n"/>
      <c r="O106" s="16" t="n"/>
      <c r="P106" s="9" t="n"/>
      <c r="Q106" s="9" t="n"/>
    </row>
    <row r="107">
      <c r="A107" s="16" t="n"/>
      <c r="B107" s="16" t="n"/>
      <c r="C107" s="16" t="n"/>
      <c r="D107" s="16" t="n"/>
      <c r="E107" s="16" t="n"/>
      <c r="F107" s="9" t="n"/>
      <c r="G107" s="18" t="n"/>
      <c r="H107" s="16" t="n"/>
      <c r="I107" s="25" t="n"/>
      <c r="J107" s="20">
        <f>IF(OR(G107="",I107=""),"",ROUND(G107*I107,2))</f>
        <v/>
      </c>
      <c r="K107" s="19" t="n"/>
      <c r="L107" s="21">
        <f>IF(OR(J107="",K107=""),"",IF(ABS(J107-K107)&gt;0.01,"MISMATCH","OK"))</f>
        <v/>
      </c>
      <c r="M107" s="16" t="n"/>
      <c r="N107" s="16" t="n"/>
      <c r="O107" s="16" t="n"/>
      <c r="P107" s="9" t="n"/>
      <c r="Q107" s="9" t="n"/>
    </row>
    <row r="108">
      <c r="A108" s="16" t="n"/>
      <c r="B108" s="16" t="n"/>
      <c r="C108" s="16" t="n"/>
      <c r="D108" s="16" t="n"/>
      <c r="E108" s="16" t="n"/>
      <c r="F108" s="9" t="n"/>
      <c r="G108" s="18" t="n"/>
      <c r="H108" s="16" t="n"/>
      <c r="I108" s="25" t="n"/>
      <c r="J108" s="20">
        <f>IF(OR(G108="",I108=""),"",ROUND(G108*I108,2))</f>
        <v/>
      </c>
      <c r="K108" s="19" t="n"/>
      <c r="L108" s="21">
        <f>IF(OR(J108="",K108=""),"",IF(ABS(J108-K108)&gt;0.01,"MISMATCH","OK"))</f>
        <v/>
      </c>
      <c r="M108" s="16" t="n"/>
      <c r="N108" s="16" t="n"/>
      <c r="O108" s="16" t="n"/>
      <c r="P108" s="9" t="n"/>
      <c r="Q108" s="9" t="n"/>
    </row>
    <row r="109">
      <c r="A109" s="16" t="n"/>
      <c r="B109" s="16" t="n"/>
      <c r="C109" s="16" t="n"/>
      <c r="D109" s="16" t="n"/>
      <c r="E109" s="16" t="n"/>
      <c r="F109" s="9" t="n"/>
      <c r="G109" s="18" t="n"/>
      <c r="H109" s="16" t="n"/>
      <c r="I109" s="25" t="n"/>
      <c r="J109" s="20">
        <f>IF(OR(G109="",I109=""),"",ROUND(G109*I109,2))</f>
        <v/>
      </c>
      <c r="K109" s="19" t="n"/>
      <c r="L109" s="21">
        <f>IF(OR(J109="",K109=""),"",IF(ABS(J109-K109)&gt;0.01,"MISMATCH","OK"))</f>
        <v/>
      </c>
      <c r="M109" s="16" t="n"/>
      <c r="N109" s="16" t="n"/>
      <c r="O109" s="16" t="n"/>
      <c r="P109" s="9" t="n"/>
      <c r="Q109" s="9" t="n"/>
    </row>
    <row r="110">
      <c r="A110" s="16" t="n"/>
      <c r="B110" s="16" t="n"/>
      <c r="C110" s="16" t="n"/>
      <c r="D110" s="16" t="n"/>
      <c r="E110" s="16" t="n"/>
      <c r="F110" s="9" t="n"/>
      <c r="G110" s="18" t="n"/>
      <c r="H110" s="16" t="n"/>
      <c r="I110" s="25" t="n"/>
      <c r="J110" s="20">
        <f>IF(OR(G110="",I110=""),"",ROUND(G110*I110,2))</f>
        <v/>
      </c>
      <c r="K110" s="19" t="n"/>
      <c r="L110" s="21">
        <f>IF(OR(J110="",K110=""),"",IF(ABS(J110-K110)&gt;0.01,"MISMATCH","OK"))</f>
        <v/>
      </c>
      <c r="M110" s="16" t="n"/>
      <c r="N110" s="16" t="n"/>
      <c r="O110" s="16" t="n"/>
      <c r="P110" s="9" t="n"/>
      <c r="Q110" s="9" t="n"/>
    </row>
    <row r="111">
      <c r="A111" s="16" t="n"/>
      <c r="B111" s="16" t="n"/>
      <c r="C111" s="16" t="n"/>
      <c r="D111" s="16" t="n"/>
      <c r="E111" s="16" t="n"/>
      <c r="F111" s="9" t="n"/>
      <c r="G111" s="18" t="n"/>
      <c r="H111" s="16" t="n"/>
      <c r="I111" s="25" t="n"/>
      <c r="J111" s="20">
        <f>IF(OR(G111="",I111=""),"",ROUND(G111*I111,2))</f>
        <v/>
      </c>
      <c r="K111" s="19" t="n"/>
      <c r="L111" s="21">
        <f>IF(OR(J111="",K111=""),"",IF(ABS(J111-K111)&gt;0.01,"MISMATCH","OK"))</f>
        <v/>
      </c>
      <c r="M111" s="16" t="n"/>
      <c r="N111" s="16" t="n"/>
      <c r="O111" s="16" t="n"/>
      <c r="P111" s="9" t="n"/>
      <c r="Q111" s="9" t="n"/>
    </row>
    <row r="112">
      <c r="A112" s="16" t="n"/>
      <c r="B112" s="16" t="n"/>
      <c r="C112" s="16" t="n"/>
      <c r="D112" s="16" t="n"/>
      <c r="E112" s="16" t="n"/>
      <c r="F112" s="9" t="n"/>
      <c r="G112" s="18" t="n"/>
      <c r="H112" s="16" t="n"/>
      <c r="I112" s="25" t="n"/>
      <c r="J112" s="20">
        <f>IF(OR(G112="",I112=""),"",ROUND(G112*I112,2))</f>
        <v/>
      </c>
      <c r="K112" s="19" t="n"/>
      <c r="L112" s="21">
        <f>IF(OR(J112="",K112=""),"",IF(ABS(J112-K112)&gt;0.01,"MISMATCH","OK"))</f>
        <v/>
      </c>
      <c r="M112" s="16" t="n"/>
      <c r="N112" s="16" t="n"/>
      <c r="O112" s="16" t="n"/>
      <c r="P112" s="9" t="n"/>
      <c r="Q112" s="9" t="n"/>
    </row>
    <row r="113">
      <c r="A113" s="16" t="n"/>
      <c r="B113" s="16" t="n"/>
      <c r="C113" s="16" t="n"/>
      <c r="D113" s="16" t="n"/>
      <c r="E113" s="16" t="n"/>
      <c r="F113" s="9" t="n"/>
      <c r="G113" s="18" t="n"/>
      <c r="H113" s="16" t="n"/>
      <c r="I113" s="25" t="n"/>
      <c r="J113" s="20">
        <f>IF(OR(G113="",I113=""),"",ROUND(G113*I113,2))</f>
        <v/>
      </c>
      <c r="K113" s="19" t="n"/>
      <c r="L113" s="21">
        <f>IF(OR(J113="",K113=""),"",IF(ABS(J113-K113)&gt;0.01,"MISMATCH","OK"))</f>
        <v/>
      </c>
      <c r="M113" s="16" t="n"/>
      <c r="N113" s="16" t="n"/>
      <c r="O113" s="16" t="n"/>
      <c r="P113" s="9" t="n"/>
      <c r="Q113" s="9" t="n"/>
    </row>
    <row r="114">
      <c r="A114" s="16" t="n"/>
      <c r="B114" s="16" t="n"/>
      <c r="C114" s="16" t="n"/>
      <c r="D114" s="16" t="n"/>
      <c r="E114" s="16" t="n"/>
      <c r="F114" s="9" t="n"/>
      <c r="G114" s="18" t="n"/>
      <c r="H114" s="16" t="n"/>
      <c r="I114" s="25" t="n"/>
      <c r="J114" s="20">
        <f>IF(OR(G114="",I114=""),"",ROUND(G114*I114,2))</f>
        <v/>
      </c>
      <c r="K114" s="19" t="n"/>
      <c r="L114" s="21">
        <f>IF(OR(J114="",K114=""),"",IF(ABS(J114-K114)&gt;0.01,"MISMATCH","OK"))</f>
        <v/>
      </c>
      <c r="M114" s="16" t="n"/>
      <c r="N114" s="16" t="n"/>
      <c r="O114" s="16" t="n"/>
      <c r="P114" s="9" t="n"/>
      <c r="Q114" s="9" t="n"/>
    </row>
    <row r="115">
      <c r="A115" s="16" t="n"/>
      <c r="B115" s="16" t="n"/>
      <c r="C115" s="16" t="n"/>
      <c r="D115" s="16" t="n"/>
      <c r="E115" s="16" t="n"/>
      <c r="F115" s="9" t="n"/>
      <c r="G115" s="18" t="n"/>
      <c r="H115" s="16" t="n"/>
      <c r="I115" s="25" t="n"/>
      <c r="J115" s="20">
        <f>IF(OR(G115="",I115=""),"",ROUND(G115*I115,2))</f>
        <v/>
      </c>
      <c r="K115" s="19" t="n"/>
      <c r="L115" s="21">
        <f>IF(OR(J115="",K115=""),"",IF(ABS(J115-K115)&gt;0.01,"MISMATCH","OK"))</f>
        <v/>
      </c>
      <c r="M115" s="16" t="n"/>
      <c r="N115" s="16" t="n"/>
      <c r="O115" s="16" t="n"/>
      <c r="P115" s="9" t="n"/>
      <c r="Q115" s="9" t="n"/>
    </row>
    <row r="116">
      <c r="A116" s="16" t="n"/>
      <c r="B116" s="16" t="n"/>
      <c r="C116" s="16" t="n"/>
      <c r="D116" s="16" t="n"/>
      <c r="E116" s="16" t="n"/>
      <c r="F116" s="9" t="n"/>
      <c r="G116" s="18" t="n"/>
      <c r="H116" s="16" t="n"/>
      <c r="I116" s="25" t="n"/>
      <c r="J116" s="20">
        <f>IF(OR(G116="",I116=""),"",ROUND(G116*I116,2))</f>
        <v/>
      </c>
      <c r="K116" s="19" t="n"/>
      <c r="L116" s="21">
        <f>IF(OR(J116="",K116=""),"",IF(ABS(J116-K116)&gt;0.01,"MISMATCH","OK"))</f>
        <v/>
      </c>
      <c r="M116" s="16" t="n"/>
      <c r="N116" s="16" t="n"/>
      <c r="O116" s="16" t="n"/>
      <c r="P116" s="9" t="n"/>
      <c r="Q116" s="9" t="n"/>
    </row>
    <row r="117">
      <c r="A117" s="16" t="n"/>
      <c r="B117" s="16" t="n"/>
      <c r="C117" s="16" t="n"/>
      <c r="D117" s="16" t="n"/>
      <c r="E117" s="16" t="n"/>
      <c r="F117" s="9" t="n"/>
      <c r="G117" s="18" t="n"/>
      <c r="H117" s="16" t="n"/>
      <c r="I117" s="25" t="n"/>
      <c r="J117" s="20">
        <f>IF(OR(G117="",I117=""),"",ROUND(G117*I117,2))</f>
        <v/>
      </c>
      <c r="K117" s="19" t="n"/>
      <c r="L117" s="21">
        <f>IF(OR(J117="",K117=""),"",IF(ABS(J117-K117)&gt;0.01,"MISMATCH","OK"))</f>
        <v/>
      </c>
      <c r="M117" s="16" t="n"/>
      <c r="N117" s="16" t="n"/>
      <c r="O117" s="16" t="n"/>
      <c r="P117" s="9" t="n"/>
      <c r="Q117" s="9" t="n"/>
    </row>
    <row r="118">
      <c r="A118" s="16" t="n"/>
      <c r="B118" s="16" t="n"/>
      <c r="C118" s="16" t="n"/>
      <c r="D118" s="16" t="n"/>
      <c r="E118" s="16" t="n"/>
      <c r="F118" s="9" t="n"/>
      <c r="G118" s="18" t="n"/>
      <c r="H118" s="16" t="n"/>
      <c r="I118" s="25" t="n"/>
      <c r="J118" s="20">
        <f>IF(OR(G118="",I118=""),"",ROUND(G118*I118,2))</f>
        <v/>
      </c>
      <c r="K118" s="19" t="n"/>
      <c r="L118" s="21">
        <f>IF(OR(J118="",K118=""),"",IF(ABS(J118-K118)&gt;0.01,"MISMATCH","OK"))</f>
        <v/>
      </c>
      <c r="M118" s="16" t="n"/>
      <c r="N118" s="16" t="n"/>
      <c r="O118" s="16" t="n"/>
      <c r="P118" s="9" t="n"/>
      <c r="Q118" s="9" t="n"/>
    </row>
    <row r="119">
      <c r="A119" s="16" t="n"/>
      <c r="B119" s="16" t="n"/>
      <c r="C119" s="16" t="n"/>
      <c r="D119" s="16" t="n"/>
      <c r="E119" s="16" t="n"/>
      <c r="F119" s="9" t="n"/>
      <c r="G119" s="18" t="n"/>
      <c r="H119" s="16" t="n"/>
      <c r="I119" s="25" t="n"/>
      <c r="J119" s="20">
        <f>IF(OR(G119="",I119=""),"",ROUND(G119*I119,2))</f>
        <v/>
      </c>
      <c r="K119" s="19" t="n"/>
      <c r="L119" s="21">
        <f>IF(OR(J119="",K119=""),"",IF(ABS(J119-K119)&gt;0.01,"MISMATCH","OK"))</f>
        <v/>
      </c>
      <c r="M119" s="16" t="n"/>
      <c r="N119" s="16" t="n"/>
      <c r="O119" s="16" t="n"/>
      <c r="P119" s="9" t="n"/>
      <c r="Q119" s="9" t="n"/>
    </row>
    <row r="120">
      <c r="A120" s="16" t="n"/>
      <c r="B120" s="16" t="n"/>
      <c r="C120" s="16" t="n"/>
      <c r="D120" s="16" t="n"/>
      <c r="E120" s="16" t="n"/>
      <c r="F120" s="9" t="n"/>
      <c r="G120" s="18" t="n"/>
      <c r="H120" s="16" t="n"/>
      <c r="I120" s="25" t="n"/>
      <c r="J120" s="20">
        <f>IF(OR(G120="",I120=""),"",ROUND(G120*I120,2))</f>
        <v/>
      </c>
      <c r="K120" s="19" t="n"/>
      <c r="L120" s="21">
        <f>IF(OR(J120="",K120=""),"",IF(ABS(J120-K120)&gt;0.01,"MISMATCH","OK"))</f>
        <v/>
      </c>
      <c r="M120" s="16" t="n"/>
      <c r="N120" s="16" t="n"/>
      <c r="O120" s="16" t="n"/>
      <c r="P120" s="9" t="n"/>
      <c r="Q120" s="9" t="n"/>
    </row>
    <row r="121">
      <c r="A121" s="16" t="n"/>
      <c r="B121" s="16" t="n"/>
      <c r="C121" s="16" t="n"/>
      <c r="D121" s="16" t="n"/>
      <c r="E121" s="16" t="n"/>
      <c r="F121" s="9" t="n"/>
      <c r="G121" s="18" t="n"/>
      <c r="H121" s="16" t="n"/>
      <c r="I121" s="25" t="n"/>
      <c r="J121" s="20">
        <f>IF(OR(G121="",I121=""),"",ROUND(G121*I121,2))</f>
        <v/>
      </c>
      <c r="K121" s="19" t="n"/>
      <c r="L121" s="21">
        <f>IF(OR(J121="",K121=""),"",IF(ABS(J121-K121)&gt;0.01,"MISMATCH","OK"))</f>
        <v/>
      </c>
      <c r="M121" s="16" t="n"/>
      <c r="N121" s="16" t="n"/>
      <c r="O121" s="16" t="n"/>
      <c r="P121" s="9" t="n"/>
      <c r="Q121" s="9" t="n"/>
    </row>
    <row r="122">
      <c r="A122" s="16" t="n"/>
      <c r="B122" s="16" t="n"/>
      <c r="C122" s="16" t="n"/>
      <c r="D122" s="16" t="n"/>
      <c r="E122" s="16" t="n"/>
      <c r="F122" s="9" t="n"/>
      <c r="G122" s="18" t="n"/>
      <c r="H122" s="16" t="n"/>
      <c r="I122" s="25" t="n"/>
      <c r="J122" s="20">
        <f>IF(OR(G122="",I122=""),"",ROUND(G122*I122,2))</f>
        <v/>
      </c>
      <c r="K122" s="19" t="n"/>
      <c r="L122" s="21">
        <f>IF(OR(J122="",K122=""),"",IF(ABS(J122-K122)&gt;0.01,"MISMATCH","OK"))</f>
        <v/>
      </c>
      <c r="M122" s="16" t="n"/>
      <c r="N122" s="16" t="n"/>
      <c r="O122" s="16" t="n"/>
      <c r="P122" s="9" t="n"/>
      <c r="Q122" s="9" t="n"/>
    </row>
    <row r="123">
      <c r="A123" s="16" t="n"/>
      <c r="B123" s="16" t="n"/>
      <c r="C123" s="16" t="n"/>
      <c r="D123" s="16" t="n"/>
      <c r="E123" s="16" t="n"/>
      <c r="F123" s="9" t="n"/>
      <c r="G123" s="18" t="n"/>
      <c r="H123" s="16" t="n"/>
      <c r="I123" s="25" t="n"/>
      <c r="J123" s="20">
        <f>IF(OR(G123="",I123=""),"",ROUND(G123*I123,2))</f>
        <v/>
      </c>
      <c r="K123" s="19" t="n"/>
      <c r="L123" s="21">
        <f>IF(OR(J123="",K123=""),"",IF(ABS(J123-K123)&gt;0.01,"MISMATCH","OK"))</f>
        <v/>
      </c>
      <c r="M123" s="16" t="n"/>
      <c r="N123" s="16" t="n"/>
      <c r="O123" s="16" t="n"/>
      <c r="P123" s="9" t="n"/>
      <c r="Q123" s="9" t="n"/>
    </row>
    <row r="124">
      <c r="A124" s="16" t="n"/>
      <c r="B124" s="16" t="n"/>
      <c r="C124" s="16" t="n"/>
      <c r="D124" s="16" t="n"/>
      <c r="E124" s="16" t="n"/>
      <c r="F124" s="9" t="n"/>
      <c r="G124" s="18" t="n"/>
      <c r="H124" s="16" t="n"/>
      <c r="I124" s="25" t="n"/>
      <c r="J124" s="20">
        <f>IF(OR(G124="",I124=""),"",ROUND(G124*I124,2))</f>
        <v/>
      </c>
      <c r="K124" s="19" t="n"/>
      <c r="L124" s="21">
        <f>IF(OR(J124="",K124=""),"",IF(ABS(J124-K124)&gt;0.01,"MISMATCH","OK"))</f>
        <v/>
      </c>
      <c r="M124" s="16" t="n"/>
      <c r="N124" s="16" t="n"/>
      <c r="O124" s="16" t="n"/>
      <c r="P124" s="9" t="n"/>
      <c r="Q124" s="9" t="n"/>
    </row>
    <row r="125">
      <c r="A125" s="16" t="n"/>
      <c r="B125" s="16" t="n"/>
      <c r="C125" s="16" t="n"/>
      <c r="D125" s="16" t="n"/>
      <c r="E125" s="16" t="n"/>
      <c r="F125" s="9" t="n"/>
      <c r="G125" s="18" t="n"/>
      <c r="H125" s="16" t="n"/>
      <c r="I125" s="25" t="n"/>
      <c r="J125" s="20">
        <f>IF(OR(G125="",I125=""),"",ROUND(G125*I125,2))</f>
        <v/>
      </c>
      <c r="K125" s="19" t="n"/>
      <c r="L125" s="21">
        <f>IF(OR(J125="",K125=""),"",IF(ABS(J125-K125)&gt;0.01,"MISMATCH","OK"))</f>
        <v/>
      </c>
      <c r="M125" s="16" t="n"/>
      <c r="N125" s="16" t="n"/>
      <c r="O125" s="16" t="n"/>
      <c r="P125" s="9" t="n"/>
      <c r="Q125" s="9" t="n"/>
    </row>
    <row r="126">
      <c r="A126" s="16" t="n"/>
      <c r="B126" s="16" t="n"/>
      <c r="C126" s="16" t="n"/>
      <c r="D126" s="16" t="n"/>
      <c r="E126" s="16" t="n"/>
      <c r="F126" s="9" t="n"/>
      <c r="G126" s="18" t="n"/>
      <c r="H126" s="16" t="n"/>
      <c r="I126" s="25" t="n"/>
      <c r="J126" s="20">
        <f>IF(OR(G126="",I126=""),"",ROUND(G126*I126,2))</f>
        <v/>
      </c>
      <c r="K126" s="19" t="n"/>
      <c r="L126" s="21">
        <f>IF(OR(J126="",K126=""),"",IF(ABS(J126-K126)&gt;0.01,"MISMATCH","OK"))</f>
        <v/>
      </c>
      <c r="M126" s="16" t="n"/>
      <c r="N126" s="16" t="n"/>
      <c r="O126" s="16" t="n"/>
      <c r="P126" s="9" t="n"/>
      <c r="Q126" s="9" t="n"/>
    </row>
    <row r="127">
      <c r="A127" s="16" t="n"/>
      <c r="B127" s="16" t="n"/>
      <c r="C127" s="16" t="n"/>
      <c r="D127" s="16" t="n"/>
      <c r="E127" s="16" t="n"/>
      <c r="F127" s="9" t="n"/>
      <c r="G127" s="18" t="n"/>
      <c r="H127" s="16" t="n"/>
      <c r="I127" s="25" t="n"/>
      <c r="J127" s="20">
        <f>IF(OR(G127="",I127=""),"",ROUND(G127*I127,2))</f>
        <v/>
      </c>
      <c r="K127" s="19" t="n"/>
      <c r="L127" s="21">
        <f>IF(OR(J127="",K127=""),"",IF(ABS(J127-K127)&gt;0.01,"MISMATCH","OK"))</f>
        <v/>
      </c>
      <c r="M127" s="16" t="n"/>
      <c r="N127" s="16" t="n"/>
      <c r="O127" s="16" t="n"/>
      <c r="P127" s="9" t="n"/>
      <c r="Q127" s="9" t="n"/>
    </row>
    <row r="128">
      <c r="A128" s="16" t="n"/>
      <c r="B128" s="16" t="n"/>
      <c r="C128" s="16" t="n"/>
      <c r="D128" s="16" t="n"/>
      <c r="E128" s="16" t="n"/>
      <c r="F128" s="9" t="n"/>
      <c r="G128" s="18" t="n"/>
      <c r="H128" s="16" t="n"/>
      <c r="I128" s="25" t="n"/>
      <c r="J128" s="20">
        <f>IF(OR(G128="",I128=""),"",ROUND(G128*I128,2))</f>
        <v/>
      </c>
      <c r="K128" s="19" t="n"/>
      <c r="L128" s="21">
        <f>IF(OR(J128="",K128=""),"",IF(ABS(J128-K128)&gt;0.01,"MISMATCH","OK"))</f>
        <v/>
      </c>
      <c r="M128" s="16" t="n"/>
      <c r="N128" s="16" t="n"/>
      <c r="O128" s="16" t="n"/>
      <c r="P128" s="9" t="n"/>
      <c r="Q128" s="9" t="n"/>
    </row>
    <row r="129">
      <c r="A129" s="16" t="n"/>
      <c r="B129" s="16" t="n"/>
      <c r="C129" s="16" t="n"/>
      <c r="D129" s="16" t="n"/>
      <c r="E129" s="16" t="n"/>
      <c r="F129" s="9" t="n"/>
      <c r="G129" s="18" t="n"/>
      <c r="H129" s="16" t="n"/>
      <c r="I129" s="25" t="n"/>
      <c r="J129" s="20">
        <f>IF(OR(G129="",I129=""),"",ROUND(G129*I129,2))</f>
        <v/>
      </c>
      <c r="K129" s="19" t="n"/>
      <c r="L129" s="21">
        <f>IF(OR(J129="",K129=""),"",IF(ABS(J129-K129)&gt;0.01,"MISMATCH","OK"))</f>
        <v/>
      </c>
      <c r="M129" s="16" t="n"/>
      <c r="N129" s="16" t="n"/>
      <c r="O129" s="16" t="n"/>
      <c r="P129" s="9" t="n"/>
      <c r="Q129" s="9" t="n"/>
    </row>
    <row r="130">
      <c r="A130" s="16" t="n"/>
      <c r="B130" s="16" t="n"/>
      <c r="C130" s="16" t="n"/>
      <c r="D130" s="16" t="n"/>
      <c r="E130" s="16" t="n"/>
      <c r="F130" s="9" t="n"/>
      <c r="G130" s="18" t="n"/>
      <c r="H130" s="16" t="n"/>
      <c r="I130" s="25" t="n"/>
      <c r="J130" s="20">
        <f>IF(OR(G130="",I130=""),"",ROUND(G130*I130,2))</f>
        <v/>
      </c>
      <c r="K130" s="19" t="n"/>
      <c r="L130" s="21">
        <f>IF(OR(J130="",K130=""),"",IF(ABS(J130-K130)&gt;0.01,"MISMATCH","OK"))</f>
        <v/>
      </c>
      <c r="M130" s="16" t="n"/>
      <c r="N130" s="16" t="n"/>
      <c r="O130" s="16" t="n"/>
      <c r="P130" s="9" t="n"/>
      <c r="Q130" s="9" t="n"/>
    </row>
    <row r="131">
      <c r="A131" s="16" t="n"/>
      <c r="B131" s="16" t="n"/>
      <c r="C131" s="16" t="n"/>
      <c r="D131" s="16" t="n"/>
      <c r="E131" s="16" t="n"/>
      <c r="F131" s="9" t="n"/>
      <c r="G131" s="18" t="n"/>
      <c r="H131" s="16" t="n"/>
      <c r="I131" s="25" t="n"/>
      <c r="J131" s="20">
        <f>IF(OR(G131="",I131=""),"",ROUND(G131*I131,2))</f>
        <v/>
      </c>
      <c r="K131" s="19" t="n"/>
      <c r="L131" s="21">
        <f>IF(OR(J131="",K131=""),"",IF(ABS(J131-K131)&gt;0.01,"MISMATCH","OK"))</f>
        <v/>
      </c>
      <c r="M131" s="16" t="n"/>
      <c r="N131" s="16" t="n"/>
      <c r="O131" s="16" t="n"/>
      <c r="P131" s="9" t="n"/>
      <c r="Q131" s="9" t="n"/>
    </row>
    <row r="132">
      <c r="A132" s="16" t="n"/>
      <c r="B132" s="16" t="n"/>
      <c r="C132" s="16" t="n"/>
      <c r="D132" s="16" t="n"/>
      <c r="E132" s="16" t="n"/>
      <c r="F132" s="9" t="n"/>
      <c r="G132" s="18" t="n"/>
      <c r="H132" s="16" t="n"/>
      <c r="I132" s="25" t="n"/>
      <c r="J132" s="20">
        <f>IF(OR(G132="",I132=""),"",ROUND(G132*I132,2))</f>
        <v/>
      </c>
      <c r="K132" s="19" t="n"/>
      <c r="L132" s="21">
        <f>IF(OR(J132="",K132=""),"",IF(ABS(J132-K132)&gt;0.01,"MISMATCH","OK"))</f>
        <v/>
      </c>
      <c r="M132" s="16" t="n"/>
      <c r="N132" s="16" t="n"/>
      <c r="O132" s="16" t="n"/>
      <c r="P132" s="9" t="n"/>
      <c r="Q132" s="9" t="n"/>
    </row>
    <row r="133">
      <c r="A133" s="16" t="n"/>
      <c r="B133" s="16" t="n"/>
      <c r="C133" s="16" t="n"/>
      <c r="D133" s="16" t="n"/>
      <c r="E133" s="16" t="n"/>
      <c r="F133" s="9" t="n"/>
      <c r="G133" s="18" t="n"/>
      <c r="H133" s="16" t="n"/>
      <c r="I133" s="25" t="n"/>
      <c r="J133" s="20">
        <f>IF(OR(G133="",I133=""),"",ROUND(G133*I133,2))</f>
        <v/>
      </c>
      <c r="K133" s="19" t="n"/>
      <c r="L133" s="21">
        <f>IF(OR(J133="",K133=""),"",IF(ABS(J133-K133)&gt;0.01,"MISMATCH","OK"))</f>
        <v/>
      </c>
      <c r="M133" s="16" t="n"/>
      <c r="N133" s="16" t="n"/>
      <c r="O133" s="16" t="n"/>
      <c r="P133" s="9" t="n"/>
      <c r="Q133" s="9" t="n"/>
    </row>
    <row r="134">
      <c r="A134" s="16" t="n"/>
      <c r="B134" s="16" t="n"/>
      <c r="C134" s="16" t="n"/>
      <c r="D134" s="16" t="n"/>
      <c r="E134" s="16" t="n"/>
      <c r="F134" s="9" t="n"/>
      <c r="G134" s="18" t="n"/>
      <c r="H134" s="16" t="n"/>
      <c r="I134" s="25" t="n"/>
      <c r="J134" s="20">
        <f>IF(OR(G134="",I134=""),"",ROUND(G134*I134,2))</f>
        <v/>
      </c>
      <c r="K134" s="19" t="n"/>
      <c r="L134" s="21">
        <f>IF(OR(J134="",K134=""),"",IF(ABS(J134-K134)&gt;0.01,"MISMATCH","OK"))</f>
        <v/>
      </c>
      <c r="M134" s="16" t="n"/>
      <c r="N134" s="16" t="n"/>
      <c r="O134" s="16" t="n"/>
      <c r="P134" s="9" t="n"/>
      <c r="Q134" s="9" t="n"/>
    </row>
    <row r="135">
      <c r="A135" s="16" t="n"/>
      <c r="B135" s="16" t="n"/>
      <c r="C135" s="16" t="n"/>
      <c r="D135" s="16" t="n"/>
      <c r="E135" s="16" t="n"/>
      <c r="F135" s="9" t="n"/>
      <c r="G135" s="18" t="n"/>
      <c r="H135" s="16" t="n"/>
      <c r="I135" s="25" t="n"/>
      <c r="J135" s="20">
        <f>IF(OR(G135="",I135=""),"",ROUND(G135*I135,2))</f>
        <v/>
      </c>
      <c r="K135" s="19" t="n"/>
      <c r="L135" s="21">
        <f>IF(OR(J135="",K135=""),"",IF(ABS(J135-K135)&gt;0.01,"MISMATCH","OK"))</f>
        <v/>
      </c>
      <c r="M135" s="16" t="n"/>
      <c r="N135" s="16" t="n"/>
      <c r="O135" s="16" t="n"/>
      <c r="P135" s="9" t="n"/>
      <c r="Q135" s="9" t="n"/>
    </row>
    <row r="136">
      <c r="A136" s="16" t="n"/>
      <c r="B136" s="16" t="n"/>
      <c r="C136" s="16" t="n"/>
      <c r="D136" s="16" t="n"/>
      <c r="E136" s="16" t="n"/>
      <c r="F136" s="9" t="n"/>
      <c r="G136" s="18" t="n"/>
      <c r="H136" s="16" t="n"/>
      <c r="I136" s="25" t="n"/>
      <c r="J136" s="20">
        <f>IF(OR(G136="",I136=""),"",ROUND(G136*I136,2))</f>
        <v/>
      </c>
      <c r="K136" s="19" t="n"/>
      <c r="L136" s="21">
        <f>IF(OR(J136="",K136=""),"",IF(ABS(J136-K136)&gt;0.01,"MISMATCH","OK"))</f>
        <v/>
      </c>
      <c r="M136" s="16" t="n"/>
      <c r="N136" s="16" t="n"/>
      <c r="O136" s="16" t="n"/>
      <c r="P136" s="9" t="n"/>
      <c r="Q136" s="9" t="n"/>
    </row>
    <row r="137">
      <c r="A137" s="16" t="n"/>
      <c r="B137" s="16" t="n"/>
      <c r="C137" s="16" t="n"/>
      <c r="D137" s="16" t="n"/>
      <c r="E137" s="16" t="n"/>
      <c r="F137" s="9" t="n"/>
      <c r="G137" s="18" t="n"/>
      <c r="H137" s="16" t="n"/>
      <c r="I137" s="25" t="n"/>
      <c r="J137" s="20">
        <f>IF(OR(G137="",I137=""),"",ROUND(G137*I137,2))</f>
        <v/>
      </c>
      <c r="K137" s="19" t="n"/>
      <c r="L137" s="21">
        <f>IF(OR(J137="",K137=""),"",IF(ABS(J137-K137)&gt;0.01,"MISMATCH","OK"))</f>
        <v/>
      </c>
      <c r="M137" s="16" t="n"/>
      <c r="N137" s="16" t="n"/>
      <c r="O137" s="16" t="n"/>
      <c r="P137" s="9" t="n"/>
      <c r="Q137" s="9" t="n"/>
    </row>
    <row r="138">
      <c r="A138" s="16" t="n"/>
      <c r="B138" s="16" t="n"/>
      <c r="C138" s="16" t="n"/>
      <c r="D138" s="16" t="n"/>
      <c r="E138" s="16" t="n"/>
      <c r="F138" s="9" t="n"/>
      <c r="G138" s="18" t="n"/>
      <c r="H138" s="16" t="n"/>
      <c r="I138" s="25" t="n"/>
      <c r="J138" s="20">
        <f>IF(OR(G138="",I138=""),"",ROUND(G138*I138,2))</f>
        <v/>
      </c>
      <c r="K138" s="19" t="n"/>
      <c r="L138" s="21">
        <f>IF(OR(J138="",K138=""),"",IF(ABS(J138-K138)&gt;0.01,"MISMATCH","OK"))</f>
        <v/>
      </c>
      <c r="M138" s="16" t="n"/>
      <c r="N138" s="16" t="n"/>
      <c r="O138" s="16" t="n"/>
      <c r="P138" s="9" t="n"/>
      <c r="Q138" s="9" t="n"/>
    </row>
    <row r="139">
      <c r="A139" s="16" t="n"/>
      <c r="B139" s="16" t="n"/>
      <c r="C139" s="16" t="n"/>
      <c r="D139" s="16" t="n"/>
      <c r="E139" s="16" t="n"/>
      <c r="F139" s="9" t="n"/>
      <c r="G139" s="18" t="n"/>
      <c r="H139" s="16" t="n"/>
      <c r="I139" s="25" t="n"/>
      <c r="J139" s="20">
        <f>IF(OR(G139="",I139=""),"",ROUND(G139*I139,2))</f>
        <v/>
      </c>
      <c r="K139" s="19" t="n"/>
      <c r="L139" s="21">
        <f>IF(OR(J139="",K139=""),"",IF(ABS(J139-K139)&gt;0.01,"MISMATCH","OK"))</f>
        <v/>
      </c>
      <c r="M139" s="16" t="n"/>
      <c r="N139" s="16" t="n"/>
      <c r="O139" s="16" t="n"/>
      <c r="P139" s="9" t="n"/>
      <c r="Q139" s="9" t="n"/>
    </row>
    <row r="140">
      <c r="A140" s="16" t="n"/>
      <c r="B140" s="16" t="n"/>
      <c r="C140" s="16" t="n"/>
      <c r="D140" s="16" t="n"/>
      <c r="E140" s="16" t="n"/>
      <c r="F140" s="9" t="n"/>
      <c r="G140" s="18" t="n"/>
      <c r="H140" s="16" t="n"/>
      <c r="I140" s="25" t="n"/>
      <c r="J140" s="20">
        <f>IF(OR(G140="",I140=""),"",ROUND(G140*I140,2))</f>
        <v/>
      </c>
      <c r="K140" s="19" t="n"/>
      <c r="L140" s="21">
        <f>IF(OR(J140="",K140=""),"",IF(ABS(J140-K140)&gt;0.01,"MISMATCH","OK"))</f>
        <v/>
      </c>
      <c r="M140" s="16" t="n"/>
      <c r="N140" s="16" t="n"/>
      <c r="O140" s="16" t="n"/>
      <c r="P140" s="9" t="n"/>
      <c r="Q140" s="9" t="n"/>
    </row>
    <row r="141">
      <c r="A141" s="16" t="n"/>
      <c r="B141" s="16" t="n"/>
      <c r="C141" s="16" t="n"/>
      <c r="D141" s="16" t="n"/>
      <c r="E141" s="16" t="n"/>
      <c r="F141" s="9" t="n"/>
      <c r="G141" s="18" t="n"/>
      <c r="H141" s="16" t="n"/>
      <c r="I141" s="25" t="n"/>
      <c r="J141" s="20">
        <f>IF(OR(G141="",I141=""),"",ROUND(G141*I141,2))</f>
        <v/>
      </c>
      <c r="K141" s="19" t="n"/>
      <c r="L141" s="21">
        <f>IF(OR(J141="",K141=""),"",IF(ABS(J141-K141)&gt;0.01,"MISMATCH","OK"))</f>
        <v/>
      </c>
      <c r="M141" s="16" t="n"/>
      <c r="N141" s="16" t="n"/>
      <c r="O141" s="16" t="n"/>
      <c r="P141" s="9" t="n"/>
      <c r="Q141" s="9" t="n"/>
    </row>
    <row r="142">
      <c r="A142" s="16" t="n"/>
      <c r="B142" s="16" t="n"/>
      <c r="C142" s="16" t="n"/>
      <c r="D142" s="16" t="n"/>
      <c r="E142" s="16" t="n"/>
      <c r="F142" s="9" t="n"/>
      <c r="G142" s="18" t="n"/>
      <c r="H142" s="16" t="n"/>
      <c r="I142" s="25" t="n"/>
      <c r="J142" s="20">
        <f>IF(OR(G142="",I142=""),"",ROUND(G142*I142,2))</f>
        <v/>
      </c>
      <c r="K142" s="19" t="n"/>
      <c r="L142" s="21">
        <f>IF(OR(J142="",K142=""),"",IF(ABS(J142-K142)&gt;0.01,"MISMATCH","OK"))</f>
        <v/>
      </c>
      <c r="M142" s="16" t="n"/>
      <c r="N142" s="16" t="n"/>
      <c r="O142" s="16" t="n"/>
      <c r="P142" s="9" t="n"/>
      <c r="Q142" s="9" t="n"/>
    </row>
    <row r="143">
      <c r="A143" s="16" t="n"/>
      <c r="B143" s="16" t="n"/>
      <c r="C143" s="16" t="n"/>
      <c r="D143" s="16" t="n"/>
      <c r="E143" s="16" t="n"/>
      <c r="F143" s="9" t="n"/>
      <c r="G143" s="18" t="n"/>
      <c r="H143" s="16" t="n"/>
      <c r="I143" s="25" t="n"/>
      <c r="J143" s="20">
        <f>IF(OR(G143="",I143=""),"",ROUND(G143*I143,2))</f>
        <v/>
      </c>
      <c r="K143" s="19" t="n"/>
      <c r="L143" s="21">
        <f>IF(OR(J143="",K143=""),"",IF(ABS(J143-K143)&gt;0.01,"MISMATCH","OK"))</f>
        <v/>
      </c>
      <c r="M143" s="16" t="n"/>
      <c r="N143" s="16" t="n"/>
      <c r="O143" s="16" t="n"/>
      <c r="P143" s="9" t="n"/>
      <c r="Q143" s="9" t="n"/>
    </row>
    <row r="144">
      <c r="A144" s="16" t="n"/>
      <c r="B144" s="16" t="n"/>
      <c r="C144" s="16" t="n"/>
      <c r="D144" s="16" t="n"/>
      <c r="E144" s="16" t="n"/>
      <c r="F144" s="9" t="n"/>
      <c r="G144" s="18" t="n"/>
      <c r="H144" s="16" t="n"/>
      <c r="I144" s="25" t="n"/>
      <c r="J144" s="20">
        <f>IF(OR(G144="",I144=""),"",ROUND(G144*I144,2))</f>
        <v/>
      </c>
      <c r="K144" s="19" t="n"/>
      <c r="L144" s="21">
        <f>IF(OR(J144="",K144=""),"",IF(ABS(J144-K144)&gt;0.01,"MISMATCH","OK"))</f>
        <v/>
      </c>
      <c r="M144" s="16" t="n"/>
      <c r="N144" s="16" t="n"/>
      <c r="O144" s="16" t="n"/>
      <c r="P144" s="9" t="n"/>
      <c r="Q144" s="9" t="n"/>
    </row>
    <row r="145">
      <c r="A145" s="16" t="n"/>
      <c r="B145" s="16" t="n"/>
      <c r="C145" s="16" t="n"/>
      <c r="D145" s="16" t="n"/>
      <c r="E145" s="16" t="n"/>
      <c r="F145" s="9" t="n"/>
      <c r="G145" s="18" t="n"/>
      <c r="H145" s="16" t="n"/>
      <c r="I145" s="25" t="n"/>
      <c r="J145" s="20">
        <f>IF(OR(G145="",I145=""),"",ROUND(G145*I145,2))</f>
        <v/>
      </c>
      <c r="K145" s="19" t="n"/>
      <c r="L145" s="21">
        <f>IF(OR(J145="",K145=""),"",IF(ABS(J145-K145)&gt;0.01,"MISMATCH","OK"))</f>
        <v/>
      </c>
      <c r="M145" s="16" t="n"/>
      <c r="N145" s="16" t="n"/>
      <c r="O145" s="16" t="n"/>
      <c r="P145" s="9" t="n"/>
      <c r="Q145" s="9" t="n"/>
    </row>
    <row r="146">
      <c r="A146" s="16" t="n"/>
      <c r="B146" s="16" t="n"/>
      <c r="C146" s="16" t="n"/>
      <c r="D146" s="16" t="n"/>
      <c r="E146" s="16" t="n"/>
      <c r="F146" s="9" t="n"/>
      <c r="G146" s="18" t="n"/>
      <c r="H146" s="16" t="n"/>
      <c r="I146" s="25" t="n"/>
      <c r="J146" s="20">
        <f>IF(OR(G146="",I146=""),"",ROUND(G146*I146,2))</f>
        <v/>
      </c>
      <c r="K146" s="19" t="n"/>
      <c r="L146" s="21">
        <f>IF(OR(J146="",K146=""),"",IF(ABS(J146-K146)&gt;0.01,"MISMATCH","OK"))</f>
        <v/>
      </c>
      <c r="M146" s="16" t="n"/>
      <c r="N146" s="16" t="n"/>
      <c r="O146" s="16" t="n"/>
      <c r="P146" s="9" t="n"/>
      <c r="Q146" s="9" t="n"/>
    </row>
    <row r="147">
      <c r="A147" s="16" t="n"/>
      <c r="B147" s="16" t="n"/>
      <c r="C147" s="16" t="n"/>
      <c r="D147" s="16" t="n"/>
      <c r="E147" s="16" t="n"/>
      <c r="F147" s="9" t="n"/>
      <c r="G147" s="18" t="n"/>
      <c r="H147" s="16" t="n"/>
      <c r="I147" s="25" t="n"/>
      <c r="J147" s="20">
        <f>IF(OR(G147="",I147=""),"",ROUND(G147*I147,2))</f>
        <v/>
      </c>
      <c r="K147" s="19" t="n"/>
      <c r="L147" s="21">
        <f>IF(OR(J147="",K147=""),"",IF(ABS(J147-K147)&gt;0.01,"MISMATCH","OK"))</f>
        <v/>
      </c>
      <c r="M147" s="16" t="n"/>
      <c r="N147" s="16" t="n"/>
      <c r="O147" s="16" t="n"/>
      <c r="P147" s="9" t="n"/>
      <c r="Q147" s="9" t="n"/>
    </row>
    <row r="148">
      <c r="A148" s="16" t="n"/>
      <c r="B148" s="16" t="n"/>
      <c r="C148" s="16" t="n"/>
      <c r="D148" s="16" t="n"/>
      <c r="E148" s="16" t="n"/>
      <c r="F148" s="9" t="n"/>
      <c r="G148" s="18" t="n"/>
      <c r="H148" s="16" t="n"/>
      <c r="I148" s="25" t="n"/>
      <c r="J148" s="20">
        <f>IF(OR(G148="",I148=""),"",ROUND(G148*I148,2))</f>
        <v/>
      </c>
      <c r="K148" s="19" t="n"/>
      <c r="L148" s="21">
        <f>IF(OR(J148="",K148=""),"",IF(ABS(J148-K148)&gt;0.01,"MISMATCH","OK"))</f>
        <v/>
      </c>
      <c r="M148" s="16" t="n"/>
      <c r="N148" s="16" t="n"/>
      <c r="O148" s="16" t="n"/>
      <c r="P148" s="9" t="n"/>
      <c r="Q148" s="9" t="n"/>
    </row>
    <row r="149">
      <c r="A149" s="16" t="n"/>
      <c r="B149" s="16" t="n"/>
      <c r="C149" s="16" t="n"/>
      <c r="D149" s="16" t="n"/>
      <c r="E149" s="16" t="n"/>
      <c r="F149" s="9" t="n"/>
      <c r="G149" s="18" t="n"/>
      <c r="H149" s="16" t="n"/>
      <c r="I149" s="25" t="n"/>
      <c r="J149" s="20">
        <f>IF(OR(G149="",I149=""),"",ROUND(G149*I149,2))</f>
        <v/>
      </c>
      <c r="K149" s="19" t="n"/>
      <c r="L149" s="21">
        <f>IF(OR(J149="",K149=""),"",IF(ABS(J149-K149)&gt;0.01,"MISMATCH","OK"))</f>
        <v/>
      </c>
      <c r="M149" s="16" t="n"/>
      <c r="N149" s="16" t="n"/>
      <c r="O149" s="16" t="n"/>
      <c r="P149" s="9" t="n"/>
      <c r="Q149" s="9" t="n"/>
    </row>
    <row r="150">
      <c r="A150" s="16" t="n"/>
      <c r="B150" s="16" t="n"/>
      <c r="C150" s="16" t="n"/>
      <c r="D150" s="16" t="n"/>
      <c r="E150" s="16" t="n"/>
      <c r="F150" s="9" t="n"/>
      <c r="G150" s="18" t="n"/>
      <c r="H150" s="16" t="n"/>
      <c r="I150" s="25" t="n"/>
      <c r="J150" s="20">
        <f>IF(OR(G150="",I150=""),"",ROUND(G150*I150,2))</f>
        <v/>
      </c>
      <c r="K150" s="19" t="n"/>
      <c r="L150" s="21">
        <f>IF(OR(J150="",K150=""),"",IF(ABS(J150-K150)&gt;0.01,"MISMATCH","OK"))</f>
        <v/>
      </c>
      <c r="M150" s="16" t="n"/>
      <c r="N150" s="16" t="n"/>
      <c r="O150" s="16" t="n"/>
      <c r="P150" s="9" t="n"/>
      <c r="Q150" s="9" t="n"/>
    </row>
    <row r="151">
      <c r="A151" s="16" t="n"/>
      <c r="B151" s="16" t="n"/>
      <c r="C151" s="16" t="n"/>
      <c r="D151" s="16" t="n"/>
      <c r="E151" s="16" t="n"/>
      <c r="F151" s="9" t="n"/>
      <c r="G151" s="18" t="n"/>
      <c r="H151" s="16" t="n"/>
      <c r="I151" s="25" t="n"/>
      <c r="J151" s="20">
        <f>IF(OR(G151="",I151=""),"",ROUND(G151*I151,2))</f>
        <v/>
      </c>
      <c r="K151" s="19" t="n"/>
      <c r="L151" s="21">
        <f>IF(OR(J151="",K151=""),"",IF(ABS(J151-K151)&gt;0.01,"MISMATCH","OK"))</f>
        <v/>
      </c>
      <c r="M151" s="16" t="n"/>
      <c r="N151" s="16" t="n"/>
      <c r="O151" s="16" t="n"/>
      <c r="P151" s="9" t="n"/>
      <c r="Q151" s="9" t="n"/>
    </row>
    <row r="152">
      <c r="A152" s="16" t="n"/>
      <c r="B152" s="16" t="n"/>
      <c r="C152" s="16" t="n"/>
      <c r="D152" s="16" t="n"/>
      <c r="E152" s="16" t="n"/>
      <c r="F152" s="9" t="n"/>
      <c r="G152" s="18" t="n"/>
      <c r="H152" s="16" t="n"/>
      <c r="I152" s="25" t="n"/>
      <c r="J152" s="20">
        <f>IF(OR(G152="",I152=""),"",ROUND(G152*I152,2))</f>
        <v/>
      </c>
      <c r="K152" s="19" t="n"/>
      <c r="L152" s="21">
        <f>IF(OR(J152="",K152=""),"",IF(ABS(J152-K152)&gt;0.01,"MISMATCH","OK"))</f>
        <v/>
      </c>
      <c r="M152" s="16" t="n"/>
      <c r="N152" s="16" t="n"/>
      <c r="O152" s="16" t="n"/>
      <c r="P152" s="9" t="n"/>
      <c r="Q152" s="9" t="n"/>
    </row>
    <row r="153">
      <c r="A153" s="16" t="n"/>
      <c r="B153" s="16" t="n"/>
      <c r="C153" s="16" t="n"/>
      <c r="D153" s="16" t="n"/>
      <c r="E153" s="16" t="n"/>
      <c r="F153" s="9" t="n"/>
      <c r="G153" s="18" t="n"/>
      <c r="H153" s="16" t="n"/>
      <c r="I153" s="25" t="n"/>
      <c r="J153" s="20">
        <f>IF(OR(G153="",I153=""),"",ROUND(G153*I153,2))</f>
        <v/>
      </c>
      <c r="K153" s="19" t="n"/>
      <c r="L153" s="21">
        <f>IF(OR(J153="",K153=""),"",IF(ABS(J153-K153)&gt;0.01,"MISMATCH","OK"))</f>
        <v/>
      </c>
      <c r="M153" s="16" t="n"/>
      <c r="N153" s="16" t="n"/>
      <c r="O153" s="16" t="n"/>
      <c r="P153" s="9" t="n"/>
      <c r="Q153" s="9" t="n"/>
    </row>
    <row r="154">
      <c r="A154" s="16" t="n"/>
      <c r="B154" s="16" t="n"/>
      <c r="C154" s="16" t="n"/>
      <c r="D154" s="16" t="n"/>
      <c r="E154" s="16" t="n"/>
      <c r="F154" s="9" t="n"/>
      <c r="G154" s="18" t="n"/>
      <c r="H154" s="16" t="n"/>
      <c r="I154" s="25" t="n"/>
      <c r="J154" s="20">
        <f>IF(OR(G154="",I154=""),"",ROUND(G154*I154,2))</f>
        <v/>
      </c>
      <c r="K154" s="19" t="n"/>
      <c r="L154" s="21">
        <f>IF(OR(J154="",K154=""),"",IF(ABS(J154-K154)&gt;0.01,"MISMATCH","OK"))</f>
        <v/>
      </c>
      <c r="M154" s="16" t="n"/>
      <c r="N154" s="16" t="n"/>
      <c r="O154" s="16" t="n"/>
      <c r="P154" s="9" t="n"/>
      <c r="Q154" s="9" t="n"/>
    </row>
    <row r="155">
      <c r="A155" s="16" t="n"/>
      <c r="B155" s="16" t="n"/>
      <c r="C155" s="16" t="n"/>
      <c r="D155" s="16" t="n"/>
      <c r="E155" s="16" t="n"/>
      <c r="F155" s="9" t="n"/>
      <c r="G155" s="18" t="n"/>
      <c r="H155" s="16" t="n"/>
      <c r="I155" s="25" t="n"/>
      <c r="J155" s="20">
        <f>IF(OR(G155="",I155=""),"",ROUND(G155*I155,2))</f>
        <v/>
      </c>
      <c r="K155" s="19" t="n"/>
      <c r="L155" s="21">
        <f>IF(OR(J155="",K155=""),"",IF(ABS(J155-K155)&gt;0.01,"MISMATCH","OK"))</f>
        <v/>
      </c>
      <c r="M155" s="16" t="n"/>
      <c r="N155" s="16" t="n"/>
      <c r="O155" s="16" t="n"/>
      <c r="P155" s="9" t="n"/>
      <c r="Q155" s="9" t="n"/>
    </row>
    <row r="156">
      <c r="A156" s="16" t="n"/>
      <c r="B156" s="16" t="n"/>
      <c r="C156" s="16" t="n"/>
      <c r="D156" s="16" t="n"/>
      <c r="E156" s="16" t="n"/>
      <c r="F156" s="9" t="n"/>
      <c r="G156" s="18" t="n"/>
      <c r="H156" s="16" t="n"/>
      <c r="I156" s="25" t="n"/>
      <c r="J156" s="20">
        <f>IF(OR(G156="",I156=""),"",ROUND(G156*I156,2))</f>
        <v/>
      </c>
      <c r="K156" s="19" t="n"/>
      <c r="L156" s="21">
        <f>IF(OR(J156="",K156=""),"",IF(ABS(J156-K156)&gt;0.01,"MISMATCH","OK"))</f>
        <v/>
      </c>
      <c r="M156" s="16" t="n"/>
      <c r="N156" s="16" t="n"/>
      <c r="O156" s="16" t="n"/>
      <c r="P156" s="9" t="n"/>
      <c r="Q156" s="9" t="n"/>
    </row>
    <row r="157">
      <c r="A157" s="16" t="n"/>
      <c r="B157" s="16" t="n"/>
      <c r="C157" s="16" t="n"/>
      <c r="D157" s="16" t="n"/>
      <c r="E157" s="16" t="n"/>
      <c r="F157" s="9" t="n"/>
      <c r="G157" s="18" t="n"/>
      <c r="H157" s="16" t="n"/>
      <c r="I157" s="25" t="n"/>
      <c r="J157" s="20">
        <f>IF(OR(G157="",I157=""),"",ROUND(G157*I157,2))</f>
        <v/>
      </c>
      <c r="K157" s="19" t="n"/>
      <c r="L157" s="21">
        <f>IF(OR(J157="",K157=""),"",IF(ABS(J157-K157)&gt;0.01,"MISMATCH","OK"))</f>
        <v/>
      </c>
      <c r="M157" s="16" t="n"/>
      <c r="N157" s="16" t="n"/>
      <c r="O157" s="16" t="n"/>
      <c r="P157" s="9" t="n"/>
      <c r="Q157" s="9" t="n"/>
    </row>
    <row r="158">
      <c r="A158" s="16" t="n"/>
      <c r="B158" s="16" t="n"/>
      <c r="C158" s="16" t="n"/>
      <c r="D158" s="16" t="n"/>
      <c r="E158" s="16" t="n"/>
      <c r="F158" s="9" t="n"/>
      <c r="G158" s="18" t="n"/>
      <c r="H158" s="16" t="n"/>
      <c r="I158" s="25" t="n"/>
      <c r="J158" s="20">
        <f>IF(OR(G158="",I158=""),"",ROUND(G158*I158,2))</f>
        <v/>
      </c>
      <c r="K158" s="19" t="n"/>
      <c r="L158" s="21">
        <f>IF(OR(J158="",K158=""),"",IF(ABS(J158-K158)&gt;0.01,"MISMATCH","OK"))</f>
        <v/>
      </c>
      <c r="M158" s="16" t="n"/>
      <c r="N158" s="16" t="n"/>
      <c r="O158" s="16" t="n"/>
      <c r="P158" s="9" t="n"/>
      <c r="Q158" s="9" t="n"/>
    </row>
    <row r="159">
      <c r="A159" s="16" t="n"/>
      <c r="B159" s="16" t="n"/>
      <c r="C159" s="16" t="n"/>
      <c r="D159" s="16" t="n"/>
      <c r="E159" s="16" t="n"/>
      <c r="F159" s="9" t="n"/>
      <c r="G159" s="18" t="n"/>
      <c r="H159" s="16" t="n"/>
      <c r="I159" s="25" t="n"/>
      <c r="J159" s="20">
        <f>IF(OR(G159="",I159=""),"",ROUND(G159*I159,2))</f>
        <v/>
      </c>
      <c r="K159" s="19" t="n"/>
      <c r="L159" s="21">
        <f>IF(OR(J159="",K159=""),"",IF(ABS(J159-K159)&gt;0.01,"MISMATCH","OK"))</f>
        <v/>
      </c>
      <c r="M159" s="16" t="n"/>
      <c r="N159" s="16" t="n"/>
      <c r="O159" s="16" t="n"/>
      <c r="P159" s="9" t="n"/>
      <c r="Q159" s="9" t="n"/>
    </row>
    <row r="160">
      <c r="A160" s="16" t="n"/>
      <c r="B160" s="16" t="n"/>
      <c r="C160" s="16" t="n"/>
      <c r="D160" s="16" t="n"/>
      <c r="E160" s="16" t="n"/>
      <c r="F160" s="9" t="n"/>
      <c r="G160" s="18" t="n"/>
      <c r="H160" s="16" t="n"/>
      <c r="I160" s="25" t="n"/>
      <c r="J160" s="20">
        <f>IF(OR(G160="",I160=""),"",ROUND(G160*I160,2))</f>
        <v/>
      </c>
      <c r="K160" s="19" t="n"/>
      <c r="L160" s="21">
        <f>IF(OR(J160="",K160=""),"",IF(ABS(J160-K160)&gt;0.01,"MISMATCH","OK"))</f>
        <v/>
      </c>
      <c r="M160" s="16" t="n"/>
      <c r="N160" s="16" t="n"/>
      <c r="O160" s="16" t="n"/>
      <c r="P160" s="9" t="n"/>
      <c r="Q160" s="9" t="n"/>
    </row>
    <row r="161">
      <c r="A161" s="16" t="n"/>
      <c r="B161" s="16" t="n"/>
      <c r="C161" s="16" t="n"/>
      <c r="D161" s="16" t="n"/>
      <c r="E161" s="16" t="n"/>
      <c r="F161" s="9" t="n"/>
      <c r="G161" s="18" t="n"/>
      <c r="H161" s="16" t="n"/>
      <c r="I161" s="25" t="n"/>
      <c r="J161" s="20">
        <f>IF(OR(G161="",I161=""),"",ROUND(G161*I161,2))</f>
        <v/>
      </c>
      <c r="K161" s="19" t="n"/>
      <c r="L161" s="21">
        <f>IF(OR(J161="",K161=""),"",IF(ABS(J161-K161)&gt;0.01,"MISMATCH","OK"))</f>
        <v/>
      </c>
      <c r="M161" s="16" t="n"/>
      <c r="N161" s="16" t="n"/>
      <c r="O161" s="16" t="n"/>
      <c r="P161" s="9" t="n"/>
      <c r="Q161" s="9" t="n"/>
    </row>
    <row r="162">
      <c r="A162" s="16" t="n"/>
      <c r="B162" s="16" t="n"/>
      <c r="C162" s="16" t="n"/>
      <c r="D162" s="16" t="n"/>
      <c r="E162" s="16" t="n"/>
      <c r="F162" s="9" t="n"/>
      <c r="G162" s="18" t="n"/>
      <c r="H162" s="16" t="n"/>
      <c r="I162" s="25" t="n"/>
      <c r="J162" s="20">
        <f>IF(OR(G162="",I162=""),"",ROUND(G162*I162,2))</f>
        <v/>
      </c>
      <c r="K162" s="19" t="n"/>
      <c r="L162" s="21">
        <f>IF(OR(J162="",K162=""),"",IF(ABS(J162-K162)&gt;0.01,"MISMATCH","OK"))</f>
        <v/>
      </c>
      <c r="M162" s="16" t="n"/>
      <c r="N162" s="16" t="n"/>
      <c r="O162" s="16" t="n"/>
      <c r="P162" s="9" t="n"/>
      <c r="Q162" s="9" t="n"/>
    </row>
    <row r="163">
      <c r="A163" s="16" t="n"/>
      <c r="B163" s="16" t="n"/>
      <c r="C163" s="16" t="n"/>
      <c r="D163" s="16" t="n"/>
      <c r="E163" s="16" t="n"/>
      <c r="F163" s="9" t="n"/>
      <c r="G163" s="18" t="n"/>
      <c r="H163" s="16" t="n"/>
      <c r="I163" s="25" t="n"/>
      <c r="J163" s="20">
        <f>IF(OR(G163="",I163=""),"",ROUND(G163*I163,2))</f>
        <v/>
      </c>
      <c r="K163" s="19" t="n"/>
      <c r="L163" s="21">
        <f>IF(OR(J163="",K163=""),"",IF(ABS(J163-K163)&gt;0.01,"MISMATCH","OK"))</f>
        <v/>
      </c>
      <c r="M163" s="16" t="n"/>
      <c r="N163" s="16" t="n"/>
      <c r="O163" s="16" t="n"/>
      <c r="P163" s="9" t="n"/>
      <c r="Q163" s="9" t="n"/>
    </row>
    <row r="164">
      <c r="A164" s="16" t="n"/>
      <c r="B164" s="16" t="n"/>
      <c r="C164" s="16" t="n"/>
      <c r="D164" s="16" t="n"/>
      <c r="E164" s="16" t="n"/>
      <c r="F164" s="9" t="n"/>
      <c r="G164" s="18" t="n"/>
      <c r="H164" s="16" t="n"/>
      <c r="I164" s="25" t="n"/>
      <c r="J164" s="20">
        <f>IF(OR(G164="",I164=""),"",ROUND(G164*I164,2))</f>
        <v/>
      </c>
      <c r="K164" s="19" t="n"/>
      <c r="L164" s="21">
        <f>IF(OR(J164="",K164=""),"",IF(ABS(J164-K164)&gt;0.01,"MISMATCH","OK"))</f>
        <v/>
      </c>
      <c r="M164" s="16" t="n"/>
      <c r="N164" s="16" t="n"/>
      <c r="O164" s="16" t="n"/>
      <c r="P164" s="9" t="n"/>
      <c r="Q164" s="9" t="n"/>
    </row>
    <row r="165">
      <c r="A165" s="16" t="n"/>
      <c r="B165" s="16" t="n"/>
      <c r="C165" s="16" t="n"/>
      <c r="D165" s="16" t="n"/>
      <c r="E165" s="16" t="n"/>
      <c r="F165" s="9" t="n"/>
      <c r="G165" s="18" t="n"/>
      <c r="H165" s="16" t="n"/>
      <c r="I165" s="25" t="n"/>
      <c r="J165" s="20">
        <f>IF(OR(G165="",I165=""),"",ROUND(G165*I165,2))</f>
        <v/>
      </c>
      <c r="K165" s="19" t="n"/>
      <c r="L165" s="21">
        <f>IF(OR(J165="",K165=""),"",IF(ABS(J165-K165)&gt;0.01,"MISMATCH","OK"))</f>
        <v/>
      </c>
      <c r="M165" s="16" t="n"/>
      <c r="N165" s="16" t="n"/>
      <c r="O165" s="16" t="n"/>
      <c r="P165" s="9" t="n"/>
      <c r="Q165" s="9" t="n"/>
    </row>
    <row r="166">
      <c r="A166" s="16" t="n"/>
      <c r="B166" s="16" t="n"/>
      <c r="C166" s="16" t="n"/>
      <c r="D166" s="16" t="n"/>
      <c r="E166" s="16" t="n"/>
      <c r="F166" s="9" t="n"/>
      <c r="G166" s="18" t="n"/>
      <c r="H166" s="16" t="n"/>
      <c r="I166" s="25" t="n"/>
      <c r="J166" s="20">
        <f>IF(OR(G166="",I166=""),"",ROUND(G166*I166,2))</f>
        <v/>
      </c>
      <c r="K166" s="19" t="n"/>
      <c r="L166" s="21">
        <f>IF(OR(J166="",K166=""),"",IF(ABS(J166-K166)&gt;0.01,"MISMATCH","OK"))</f>
        <v/>
      </c>
      <c r="M166" s="16" t="n"/>
      <c r="N166" s="16" t="n"/>
      <c r="O166" s="16" t="n"/>
      <c r="P166" s="9" t="n"/>
      <c r="Q166" s="9" t="n"/>
    </row>
    <row r="167">
      <c r="A167" s="16" t="n"/>
      <c r="B167" s="16" t="n"/>
      <c r="C167" s="16" t="n"/>
      <c r="D167" s="16" t="n"/>
      <c r="E167" s="16" t="n"/>
      <c r="F167" s="9" t="n"/>
      <c r="G167" s="18" t="n"/>
      <c r="H167" s="16" t="n"/>
      <c r="I167" s="25" t="n"/>
      <c r="J167" s="20">
        <f>IF(OR(G167="",I167=""),"",ROUND(G167*I167,2))</f>
        <v/>
      </c>
      <c r="K167" s="19" t="n"/>
      <c r="L167" s="21">
        <f>IF(OR(J167="",K167=""),"",IF(ABS(J167-K167)&gt;0.01,"MISMATCH","OK"))</f>
        <v/>
      </c>
      <c r="M167" s="16" t="n"/>
      <c r="N167" s="16" t="n"/>
      <c r="O167" s="16" t="n"/>
      <c r="P167" s="9" t="n"/>
      <c r="Q167" s="9" t="n"/>
    </row>
    <row r="168">
      <c r="A168" s="16" t="n"/>
      <c r="B168" s="16" t="n"/>
      <c r="C168" s="16" t="n"/>
      <c r="D168" s="16" t="n"/>
      <c r="E168" s="16" t="n"/>
      <c r="F168" s="9" t="n"/>
      <c r="G168" s="18" t="n"/>
      <c r="H168" s="16" t="n"/>
      <c r="I168" s="25" t="n"/>
      <c r="J168" s="20">
        <f>IF(OR(G168="",I168=""),"",ROUND(G168*I168,2))</f>
        <v/>
      </c>
      <c r="K168" s="19" t="n"/>
      <c r="L168" s="21">
        <f>IF(OR(J168="",K168=""),"",IF(ABS(J168-K168)&gt;0.01,"MISMATCH","OK"))</f>
        <v/>
      </c>
      <c r="M168" s="16" t="n"/>
      <c r="N168" s="16" t="n"/>
      <c r="O168" s="16" t="n"/>
      <c r="P168" s="9" t="n"/>
      <c r="Q168" s="9" t="n"/>
    </row>
    <row r="169">
      <c r="A169" s="16" t="n"/>
      <c r="B169" s="16" t="n"/>
      <c r="C169" s="16" t="n"/>
      <c r="D169" s="16" t="n"/>
      <c r="E169" s="16" t="n"/>
      <c r="F169" s="9" t="n"/>
      <c r="G169" s="18" t="n"/>
      <c r="H169" s="16" t="n"/>
      <c r="I169" s="25" t="n"/>
      <c r="J169" s="20">
        <f>IF(OR(G169="",I169=""),"",ROUND(G169*I169,2))</f>
        <v/>
      </c>
      <c r="K169" s="19" t="n"/>
      <c r="L169" s="21">
        <f>IF(OR(J169="",K169=""),"",IF(ABS(J169-K169)&gt;0.01,"MISMATCH","OK"))</f>
        <v/>
      </c>
      <c r="M169" s="16" t="n"/>
      <c r="N169" s="16" t="n"/>
      <c r="O169" s="16" t="n"/>
      <c r="P169" s="9" t="n"/>
      <c r="Q169" s="9" t="n"/>
    </row>
    <row r="170">
      <c r="A170" s="16" t="n"/>
      <c r="B170" s="16" t="n"/>
      <c r="C170" s="16" t="n"/>
      <c r="D170" s="16" t="n"/>
      <c r="E170" s="16" t="n"/>
      <c r="F170" s="9" t="n"/>
      <c r="G170" s="18" t="n"/>
      <c r="H170" s="16" t="n"/>
      <c r="I170" s="25" t="n"/>
      <c r="J170" s="20">
        <f>IF(OR(G170="",I170=""),"",ROUND(G170*I170,2))</f>
        <v/>
      </c>
      <c r="K170" s="19" t="n"/>
      <c r="L170" s="21">
        <f>IF(OR(J170="",K170=""),"",IF(ABS(J170-K170)&gt;0.01,"MISMATCH","OK"))</f>
        <v/>
      </c>
      <c r="M170" s="16" t="n"/>
      <c r="N170" s="16" t="n"/>
      <c r="O170" s="16" t="n"/>
      <c r="P170" s="9" t="n"/>
      <c r="Q170" s="9" t="n"/>
    </row>
    <row r="171">
      <c r="A171" s="16" t="n"/>
      <c r="B171" s="16" t="n"/>
      <c r="C171" s="16" t="n"/>
      <c r="D171" s="16" t="n"/>
      <c r="E171" s="16" t="n"/>
      <c r="F171" s="9" t="n"/>
      <c r="G171" s="18" t="n"/>
      <c r="H171" s="16" t="n"/>
      <c r="I171" s="25" t="n"/>
      <c r="J171" s="20">
        <f>IF(OR(G171="",I171=""),"",ROUND(G171*I171,2))</f>
        <v/>
      </c>
      <c r="K171" s="19" t="n"/>
      <c r="L171" s="21">
        <f>IF(OR(J171="",K171=""),"",IF(ABS(J171-K171)&gt;0.01,"MISMATCH","OK"))</f>
        <v/>
      </c>
      <c r="M171" s="16" t="n"/>
      <c r="N171" s="16" t="n"/>
      <c r="O171" s="16" t="n"/>
      <c r="P171" s="9" t="n"/>
      <c r="Q171" s="9" t="n"/>
    </row>
    <row r="172">
      <c r="A172" s="16" t="n"/>
      <c r="B172" s="16" t="n"/>
      <c r="C172" s="16" t="n"/>
      <c r="D172" s="16" t="n"/>
      <c r="E172" s="16" t="n"/>
      <c r="F172" s="9" t="n"/>
      <c r="G172" s="18" t="n"/>
      <c r="H172" s="16" t="n"/>
      <c r="I172" s="25" t="n"/>
      <c r="J172" s="20">
        <f>IF(OR(G172="",I172=""),"",ROUND(G172*I172,2))</f>
        <v/>
      </c>
      <c r="K172" s="19" t="n"/>
      <c r="L172" s="21">
        <f>IF(OR(J172="",K172=""),"",IF(ABS(J172-K172)&gt;0.01,"MISMATCH","OK"))</f>
        <v/>
      </c>
      <c r="M172" s="16" t="n"/>
      <c r="N172" s="16" t="n"/>
      <c r="O172" s="16" t="n"/>
      <c r="P172" s="9" t="n"/>
      <c r="Q172" s="9" t="n"/>
    </row>
    <row r="173">
      <c r="A173" s="16" t="n"/>
      <c r="B173" s="16" t="n"/>
      <c r="C173" s="16" t="n"/>
      <c r="D173" s="16" t="n"/>
      <c r="E173" s="16" t="n"/>
      <c r="F173" s="9" t="n"/>
      <c r="G173" s="18" t="n"/>
      <c r="H173" s="16" t="n"/>
      <c r="I173" s="25" t="n"/>
      <c r="J173" s="20">
        <f>IF(OR(G173="",I173=""),"",ROUND(G173*I173,2))</f>
        <v/>
      </c>
      <c r="K173" s="19" t="n"/>
      <c r="L173" s="21">
        <f>IF(OR(J173="",K173=""),"",IF(ABS(J173-K173)&gt;0.01,"MISMATCH","OK"))</f>
        <v/>
      </c>
      <c r="M173" s="16" t="n"/>
      <c r="N173" s="16" t="n"/>
      <c r="O173" s="16" t="n"/>
      <c r="P173" s="9" t="n"/>
      <c r="Q173" s="9" t="n"/>
    </row>
    <row r="174">
      <c r="A174" s="16" t="n"/>
      <c r="B174" s="16" t="n"/>
      <c r="C174" s="16" t="n"/>
      <c r="D174" s="16" t="n"/>
      <c r="E174" s="16" t="n"/>
      <c r="F174" s="9" t="n"/>
      <c r="G174" s="18" t="n"/>
      <c r="H174" s="16" t="n"/>
      <c r="I174" s="25" t="n"/>
      <c r="J174" s="20">
        <f>IF(OR(G174="",I174=""),"",ROUND(G174*I174,2))</f>
        <v/>
      </c>
      <c r="K174" s="19" t="n"/>
      <c r="L174" s="21">
        <f>IF(OR(J174="",K174=""),"",IF(ABS(J174-K174)&gt;0.01,"MISMATCH","OK"))</f>
        <v/>
      </c>
      <c r="M174" s="16" t="n"/>
      <c r="N174" s="16" t="n"/>
      <c r="O174" s="16" t="n"/>
      <c r="P174" s="9" t="n"/>
      <c r="Q174" s="9" t="n"/>
    </row>
    <row r="175">
      <c r="A175" s="16" t="n"/>
      <c r="B175" s="16" t="n"/>
      <c r="C175" s="16" t="n"/>
      <c r="D175" s="16" t="n"/>
      <c r="E175" s="16" t="n"/>
      <c r="F175" s="9" t="n"/>
      <c r="G175" s="18" t="n"/>
      <c r="H175" s="16" t="n"/>
      <c r="I175" s="25" t="n"/>
      <c r="J175" s="20">
        <f>IF(OR(G175="",I175=""),"",ROUND(G175*I175,2))</f>
        <v/>
      </c>
      <c r="K175" s="19" t="n"/>
      <c r="L175" s="21">
        <f>IF(OR(J175="",K175=""),"",IF(ABS(J175-K175)&gt;0.01,"MISMATCH","OK"))</f>
        <v/>
      </c>
      <c r="M175" s="16" t="n"/>
      <c r="N175" s="16" t="n"/>
      <c r="O175" s="16" t="n"/>
      <c r="P175" s="9" t="n"/>
      <c r="Q175" s="9" t="n"/>
    </row>
    <row r="176">
      <c r="A176" s="16" t="n"/>
      <c r="B176" s="16" t="n"/>
      <c r="C176" s="16" t="n"/>
      <c r="D176" s="16" t="n"/>
      <c r="E176" s="16" t="n"/>
      <c r="F176" s="9" t="n"/>
      <c r="G176" s="18" t="n"/>
      <c r="H176" s="16" t="n"/>
      <c r="I176" s="25" t="n"/>
      <c r="J176" s="20">
        <f>IF(OR(G176="",I176=""),"",ROUND(G176*I176,2))</f>
        <v/>
      </c>
      <c r="K176" s="19" t="n"/>
      <c r="L176" s="21">
        <f>IF(OR(J176="",K176=""),"",IF(ABS(J176-K176)&gt;0.01,"MISMATCH","OK"))</f>
        <v/>
      </c>
      <c r="M176" s="16" t="n"/>
      <c r="N176" s="16" t="n"/>
      <c r="O176" s="16" t="n"/>
      <c r="P176" s="9" t="n"/>
      <c r="Q176" s="9" t="n"/>
    </row>
    <row r="177">
      <c r="A177" s="16" t="n"/>
      <c r="B177" s="16" t="n"/>
      <c r="C177" s="16" t="n"/>
      <c r="D177" s="16" t="n"/>
      <c r="E177" s="16" t="n"/>
      <c r="F177" s="9" t="n"/>
      <c r="G177" s="18" t="n"/>
      <c r="H177" s="16" t="n"/>
      <c r="I177" s="25" t="n"/>
      <c r="J177" s="20">
        <f>IF(OR(G177="",I177=""),"",ROUND(G177*I177,2))</f>
        <v/>
      </c>
      <c r="K177" s="19" t="n"/>
      <c r="L177" s="21">
        <f>IF(OR(J177="",K177=""),"",IF(ABS(J177-K177)&gt;0.01,"MISMATCH","OK"))</f>
        <v/>
      </c>
      <c r="M177" s="16" t="n"/>
      <c r="N177" s="16" t="n"/>
      <c r="O177" s="16" t="n"/>
      <c r="P177" s="9" t="n"/>
      <c r="Q177" s="9" t="n"/>
    </row>
    <row r="178">
      <c r="A178" s="16" t="n"/>
      <c r="B178" s="16" t="n"/>
      <c r="C178" s="16" t="n"/>
      <c r="D178" s="16" t="n"/>
      <c r="E178" s="16" t="n"/>
      <c r="F178" s="9" t="n"/>
      <c r="G178" s="18" t="n"/>
      <c r="H178" s="16" t="n"/>
      <c r="I178" s="25" t="n"/>
      <c r="J178" s="20">
        <f>IF(OR(G178="",I178=""),"",ROUND(G178*I178,2))</f>
        <v/>
      </c>
      <c r="K178" s="19" t="n"/>
      <c r="L178" s="21">
        <f>IF(OR(J178="",K178=""),"",IF(ABS(J178-K178)&gt;0.01,"MISMATCH","OK"))</f>
        <v/>
      </c>
      <c r="M178" s="16" t="n"/>
      <c r="N178" s="16" t="n"/>
      <c r="O178" s="16" t="n"/>
      <c r="P178" s="9" t="n"/>
      <c r="Q178" s="9" t="n"/>
    </row>
    <row r="179">
      <c r="A179" s="16" t="n"/>
      <c r="B179" s="16" t="n"/>
      <c r="C179" s="16" t="n"/>
      <c r="D179" s="16" t="n"/>
      <c r="E179" s="16" t="n"/>
      <c r="F179" s="9" t="n"/>
      <c r="G179" s="18" t="n"/>
      <c r="H179" s="16" t="n"/>
      <c r="I179" s="25" t="n"/>
      <c r="J179" s="20">
        <f>IF(OR(G179="",I179=""),"",ROUND(G179*I179,2))</f>
        <v/>
      </c>
      <c r="K179" s="19" t="n"/>
      <c r="L179" s="21">
        <f>IF(OR(J179="",K179=""),"",IF(ABS(J179-K179)&gt;0.01,"MISMATCH","OK"))</f>
        <v/>
      </c>
      <c r="M179" s="16" t="n"/>
      <c r="N179" s="16" t="n"/>
      <c r="O179" s="16" t="n"/>
      <c r="P179" s="9" t="n"/>
      <c r="Q179" s="9" t="n"/>
    </row>
    <row r="180">
      <c r="A180" s="16" t="n"/>
      <c r="B180" s="16" t="n"/>
      <c r="C180" s="16" t="n"/>
      <c r="D180" s="16" t="n"/>
      <c r="E180" s="16" t="n"/>
      <c r="F180" s="9" t="n"/>
      <c r="G180" s="18" t="n"/>
      <c r="H180" s="16" t="n"/>
      <c r="I180" s="25" t="n"/>
      <c r="J180" s="20">
        <f>IF(OR(G180="",I180=""),"",ROUND(G180*I180,2))</f>
        <v/>
      </c>
      <c r="K180" s="19" t="n"/>
      <c r="L180" s="21">
        <f>IF(OR(J180="",K180=""),"",IF(ABS(J180-K180)&gt;0.01,"MISMATCH","OK"))</f>
        <v/>
      </c>
      <c r="M180" s="16" t="n"/>
      <c r="N180" s="16" t="n"/>
      <c r="O180" s="16" t="n"/>
      <c r="P180" s="9" t="n"/>
      <c r="Q180" s="9" t="n"/>
    </row>
    <row r="181">
      <c r="A181" s="16" t="n"/>
      <c r="B181" s="16" t="n"/>
      <c r="C181" s="16" t="n"/>
      <c r="D181" s="16" t="n"/>
      <c r="E181" s="16" t="n"/>
      <c r="F181" s="9" t="n"/>
      <c r="G181" s="18" t="n"/>
      <c r="H181" s="16" t="n"/>
      <c r="I181" s="25" t="n"/>
      <c r="J181" s="20">
        <f>IF(OR(G181="",I181=""),"",ROUND(G181*I181,2))</f>
        <v/>
      </c>
      <c r="K181" s="19" t="n"/>
      <c r="L181" s="21">
        <f>IF(OR(J181="",K181=""),"",IF(ABS(J181-K181)&gt;0.01,"MISMATCH","OK"))</f>
        <v/>
      </c>
      <c r="M181" s="16" t="n"/>
      <c r="N181" s="16" t="n"/>
      <c r="O181" s="16" t="n"/>
      <c r="P181" s="9" t="n"/>
      <c r="Q181" s="9" t="n"/>
    </row>
    <row r="182">
      <c r="A182" s="16" t="n"/>
      <c r="B182" s="16" t="n"/>
      <c r="C182" s="16" t="n"/>
      <c r="D182" s="16" t="n"/>
      <c r="E182" s="16" t="n"/>
      <c r="F182" s="9" t="n"/>
      <c r="G182" s="18" t="n"/>
      <c r="H182" s="16" t="n"/>
      <c r="I182" s="25" t="n"/>
      <c r="J182" s="20">
        <f>IF(OR(G182="",I182=""),"",ROUND(G182*I182,2))</f>
        <v/>
      </c>
      <c r="K182" s="19" t="n"/>
      <c r="L182" s="21">
        <f>IF(OR(J182="",K182=""),"",IF(ABS(J182-K182)&gt;0.01,"MISMATCH","OK"))</f>
        <v/>
      </c>
      <c r="M182" s="16" t="n"/>
      <c r="N182" s="16" t="n"/>
      <c r="O182" s="16" t="n"/>
      <c r="P182" s="9" t="n"/>
      <c r="Q182" s="9" t="n"/>
    </row>
    <row r="183">
      <c r="A183" s="16" t="n"/>
      <c r="B183" s="16" t="n"/>
      <c r="C183" s="16" t="n"/>
      <c r="D183" s="16" t="n"/>
      <c r="E183" s="16" t="n"/>
      <c r="F183" s="9" t="n"/>
      <c r="G183" s="18" t="n"/>
      <c r="H183" s="16" t="n"/>
      <c r="I183" s="25" t="n"/>
      <c r="J183" s="20">
        <f>IF(OR(G183="",I183=""),"",ROUND(G183*I183,2))</f>
        <v/>
      </c>
      <c r="K183" s="19" t="n"/>
      <c r="L183" s="21">
        <f>IF(OR(J183="",K183=""),"",IF(ABS(J183-K183)&gt;0.01,"MISMATCH","OK"))</f>
        <v/>
      </c>
      <c r="M183" s="16" t="n"/>
      <c r="N183" s="16" t="n"/>
      <c r="O183" s="16" t="n"/>
      <c r="P183" s="9" t="n"/>
      <c r="Q183" s="9" t="n"/>
    </row>
    <row r="184">
      <c r="A184" s="16" t="n"/>
      <c r="B184" s="16" t="n"/>
      <c r="C184" s="16" t="n"/>
      <c r="D184" s="16" t="n"/>
      <c r="E184" s="16" t="n"/>
      <c r="F184" s="9" t="n"/>
      <c r="G184" s="18" t="n"/>
      <c r="H184" s="16" t="n"/>
      <c r="I184" s="25" t="n"/>
      <c r="J184" s="20">
        <f>IF(OR(G184="",I184=""),"",ROUND(G184*I184,2))</f>
        <v/>
      </c>
      <c r="K184" s="19" t="n"/>
      <c r="L184" s="21">
        <f>IF(OR(J184="",K184=""),"",IF(ABS(J184-K184)&gt;0.01,"MISMATCH","OK"))</f>
        <v/>
      </c>
      <c r="M184" s="16" t="n"/>
      <c r="N184" s="16" t="n"/>
      <c r="O184" s="16" t="n"/>
      <c r="P184" s="9" t="n"/>
      <c r="Q184" s="9" t="n"/>
    </row>
    <row r="185">
      <c r="A185" s="16" t="n"/>
      <c r="B185" s="16" t="n"/>
      <c r="C185" s="16" t="n"/>
      <c r="D185" s="16" t="n"/>
      <c r="E185" s="16" t="n"/>
      <c r="F185" s="9" t="n"/>
      <c r="G185" s="18" t="n"/>
      <c r="H185" s="16" t="n"/>
      <c r="I185" s="25" t="n"/>
      <c r="J185" s="20">
        <f>IF(OR(G185="",I185=""),"",ROUND(G185*I185,2))</f>
        <v/>
      </c>
      <c r="K185" s="19" t="n"/>
      <c r="L185" s="21">
        <f>IF(OR(J185="",K185=""),"",IF(ABS(J185-K185)&gt;0.01,"MISMATCH","OK"))</f>
        <v/>
      </c>
      <c r="M185" s="16" t="n"/>
      <c r="N185" s="16" t="n"/>
      <c r="O185" s="16" t="n"/>
      <c r="P185" s="9" t="n"/>
      <c r="Q185" s="9" t="n"/>
    </row>
    <row r="186">
      <c r="A186" s="16" t="n"/>
      <c r="B186" s="16" t="n"/>
      <c r="C186" s="16" t="n"/>
      <c r="D186" s="16" t="n"/>
      <c r="E186" s="16" t="n"/>
      <c r="F186" s="9" t="n"/>
      <c r="G186" s="18" t="n"/>
      <c r="H186" s="16" t="n"/>
      <c r="I186" s="25" t="n"/>
      <c r="J186" s="20">
        <f>IF(OR(G186="",I186=""),"",ROUND(G186*I186,2))</f>
        <v/>
      </c>
      <c r="K186" s="19" t="n"/>
      <c r="L186" s="21">
        <f>IF(OR(J186="",K186=""),"",IF(ABS(J186-K186)&gt;0.01,"MISMATCH","OK"))</f>
        <v/>
      </c>
      <c r="M186" s="16" t="n"/>
      <c r="N186" s="16" t="n"/>
      <c r="O186" s="16" t="n"/>
      <c r="P186" s="9" t="n"/>
      <c r="Q186" s="9" t="n"/>
    </row>
    <row r="187">
      <c r="A187" s="16" t="n"/>
      <c r="B187" s="16" t="n"/>
      <c r="C187" s="16" t="n"/>
      <c r="D187" s="16" t="n"/>
      <c r="E187" s="16" t="n"/>
      <c r="F187" s="9" t="n"/>
      <c r="G187" s="18" t="n"/>
      <c r="H187" s="16" t="n"/>
      <c r="I187" s="25" t="n"/>
      <c r="J187" s="20">
        <f>IF(OR(G187="",I187=""),"",ROUND(G187*I187,2))</f>
        <v/>
      </c>
      <c r="K187" s="19" t="n"/>
      <c r="L187" s="21">
        <f>IF(OR(J187="",K187=""),"",IF(ABS(J187-K187)&gt;0.01,"MISMATCH","OK"))</f>
        <v/>
      </c>
      <c r="M187" s="16" t="n"/>
      <c r="N187" s="16" t="n"/>
      <c r="O187" s="16" t="n"/>
      <c r="P187" s="9" t="n"/>
      <c r="Q187" s="9" t="n"/>
    </row>
    <row r="188">
      <c r="A188" s="16" t="n"/>
      <c r="B188" s="16" t="n"/>
      <c r="C188" s="16" t="n"/>
      <c r="D188" s="16" t="n"/>
      <c r="E188" s="16" t="n"/>
      <c r="F188" s="9" t="n"/>
      <c r="G188" s="18" t="n"/>
      <c r="H188" s="16" t="n"/>
      <c r="I188" s="25" t="n"/>
      <c r="J188" s="20">
        <f>IF(OR(G188="",I188=""),"",ROUND(G188*I188,2))</f>
        <v/>
      </c>
      <c r="K188" s="19" t="n"/>
      <c r="L188" s="21">
        <f>IF(OR(J188="",K188=""),"",IF(ABS(J188-K188)&gt;0.01,"MISMATCH","OK"))</f>
        <v/>
      </c>
      <c r="M188" s="16" t="n"/>
      <c r="N188" s="16" t="n"/>
      <c r="O188" s="16" t="n"/>
      <c r="P188" s="9" t="n"/>
      <c r="Q188" s="9" t="n"/>
    </row>
    <row r="189">
      <c r="A189" s="16" t="n"/>
      <c r="B189" s="16" t="n"/>
      <c r="C189" s="16" t="n"/>
      <c r="D189" s="16" t="n"/>
      <c r="E189" s="16" t="n"/>
      <c r="F189" s="9" t="n"/>
      <c r="G189" s="18" t="n"/>
      <c r="H189" s="16" t="n"/>
      <c r="I189" s="25" t="n"/>
      <c r="J189" s="20">
        <f>IF(OR(G189="",I189=""),"",ROUND(G189*I189,2))</f>
        <v/>
      </c>
      <c r="K189" s="19" t="n"/>
      <c r="L189" s="21">
        <f>IF(OR(J189="",K189=""),"",IF(ABS(J189-K189)&gt;0.01,"MISMATCH","OK"))</f>
        <v/>
      </c>
      <c r="M189" s="16" t="n"/>
      <c r="N189" s="16" t="n"/>
      <c r="O189" s="16" t="n"/>
      <c r="P189" s="9" t="n"/>
      <c r="Q189" s="9" t="n"/>
    </row>
    <row r="190">
      <c r="A190" s="16" t="n"/>
      <c r="B190" s="16" t="n"/>
      <c r="C190" s="16" t="n"/>
      <c r="D190" s="16" t="n"/>
      <c r="E190" s="16" t="n"/>
      <c r="F190" s="9" t="n"/>
      <c r="G190" s="18" t="n"/>
      <c r="H190" s="16" t="n"/>
      <c r="I190" s="25" t="n"/>
      <c r="J190" s="20">
        <f>IF(OR(G190="",I190=""),"",ROUND(G190*I190,2))</f>
        <v/>
      </c>
      <c r="K190" s="19" t="n"/>
      <c r="L190" s="21">
        <f>IF(OR(J190="",K190=""),"",IF(ABS(J190-K190)&gt;0.01,"MISMATCH","OK"))</f>
        <v/>
      </c>
      <c r="M190" s="16" t="n"/>
      <c r="N190" s="16" t="n"/>
      <c r="O190" s="16" t="n"/>
      <c r="P190" s="9" t="n"/>
      <c r="Q190" s="9" t="n"/>
    </row>
    <row r="191">
      <c r="A191" s="16" t="n"/>
      <c r="B191" s="16" t="n"/>
      <c r="C191" s="16" t="n"/>
      <c r="D191" s="16" t="n"/>
      <c r="E191" s="16" t="n"/>
      <c r="F191" s="9" t="n"/>
      <c r="G191" s="18" t="n"/>
      <c r="H191" s="16" t="n"/>
      <c r="I191" s="25" t="n"/>
      <c r="J191" s="20">
        <f>IF(OR(G191="",I191=""),"",ROUND(G191*I191,2))</f>
        <v/>
      </c>
      <c r="K191" s="19" t="n"/>
      <c r="L191" s="21">
        <f>IF(OR(J191="",K191=""),"",IF(ABS(J191-K191)&gt;0.01,"MISMATCH","OK"))</f>
        <v/>
      </c>
      <c r="M191" s="16" t="n"/>
      <c r="N191" s="16" t="n"/>
      <c r="O191" s="16" t="n"/>
      <c r="P191" s="9" t="n"/>
      <c r="Q191" s="9" t="n"/>
    </row>
    <row r="192">
      <c r="A192" s="16" t="n"/>
      <c r="B192" s="16" t="n"/>
      <c r="C192" s="16" t="n"/>
      <c r="D192" s="16" t="n"/>
      <c r="E192" s="16" t="n"/>
      <c r="F192" s="9" t="n"/>
      <c r="G192" s="18" t="n"/>
      <c r="H192" s="16" t="n"/>
      <c r="I192" s="25" t="n"/>
      <c r="J192" s="20">
        <f>IF(OR(G192="",I192=""),"",ROUND(G192*I192,2))</f>
        <v/>
      </c>
      <c r="K192" s="19" t="n"/>
      <c r="L192" s="21">
        <f>IF(OR(J192="",K192=""),"",IF(ABS(J192-K192)&gt;0.01,"MISMATCH","OK"))</f>
        <v/>
      </c>
      <c r="M192" s="16" t="n"/>
      <c r="N192" s="16" t="n"/>
      <c r="O192" s="16" t="n"/>
      <c r="P192" s="9" t="n"/>
      <c r="Q192" s="9" t="n"/>
    </row>
    <row r="193">
      <c r="A193" s="16" t="n"/>
      <c r="B193" s="16" t="n"/>
      <c r="C193" s="16" t="n"/>
      <c r="D193" s="16" t="n"/>
      <c r="E193" s="16" t="n"/>
      <c r="F193" s="9" t="n"/>
      <c r="G193" s="18" t="n"/>
      <c r="H193" s="16" t="n"/>
      <c r="I193" s="25" t="n"/>
      <c r="J193" s="20">
        <f>IF(OR(G193="",I193=""),"",ROUND(G193*I193,2))</f>
        <v/>
      </c>
      <c r="K193" s="19" t="n"/>
      <c r="L193" s="21">
        <f>IF(OR(J193="",K193=""),"",IF(ABS(J193-K193)&gt;0.01,"MISMATCH","OK"))</f>
        <v/>
      </c>
      <c r="M193" s="16" t="n"/>
      <c r="N193" s="16" t="n"/>
      <c r="O193" s="16" t="n"/>
      <c r="P193" s="9" t="n"/>
      <c r="Q193" s="9" t="n"/>
    </row>
    <row r="194">
      <c r="A194" s="16" t="n"/>
      <c r="B194" s="16" t="n"/>
      <c r="C194" s="16" t="n"/>
      <c r="D194" s="16" t="n"/>
      <c r="E194" s="16" t="n"/>
      <c r="F194" s="9" t="n"/>
      <c r="G194" s="18" t="n"/>
      <c r="H194" s="16" t="n"/>
      <c r="I194" s="25" t="n"/>
      <c r="J194" s="20">
        <f>IF(OR(G194="",I194=""),"",ROUND(G194*I194,2))</f>
        <v/>
      </c>
      <c r="K194" s="19" t="n"/>
      <c r="L194" s="21">
        <f>IF(OR(J194="",K194=""),"",IF(ABS(J194-K194)&gt;0.01,"MISMATCH","OK"))</f>
        <v/>
      </c>
      <c r="M194" s="16" t="n"/>
      <c r="N194" s="16" t="n"/>
      <c r="O194" s="16" t="n"/>
      <c r="P194" s="9" t="n"/>
      <c r="Q194" s="9" t="n"/>
    </row>
    <row r="195">
      <c r="A195" s="16" t="n"/>
      <c r="B195" s="16" t="n"/>
      <c r="C195" s="16" t="n"/>
      <c r="D195" s="16" t="n"/>
      <c r="E195" s="16" t="n"/>
      <c r="F195" s="9" t="n"/>
      <c r="G195" s="18" t="n"/>
      <c r="H195" s="16" t="n"/>
      <c r="I195" s="25" t="n"/>
      <c r="J195" s="20">
        <f>IF(OR(G195="",I195=""),"",ROUND(G195*I195,2))</f>
        <v/>
      </c>
      <c r="K195" s="19" t="n"/>
      <c r="L195" s="21">
        <f>IF(OR(J195="",K195=""),"",IF(ABS(J195-K195)&gt;0.01,"MISMATCH","OK"))</f>
        <v/>
      </c>
      <c r="M195" s="16" t="n"/>
      <c r="N195" s="16" t="n"/>
      <c r="O195" s="16" t="n"/>
      <c r="P195" s="9" t="n"/>
      <c r="Q195" s="9" t="n"/>
    </row>
    <row r="196">
      <c r="A196" s="16" t="n"/>
      <c r="B196" s="16" t="n"/>
      <c r="C196" s="16" t="n"/>
      <c r="D196" s="16" t="n"/>
      <c r="E196" s="16" t="n"/>
      <c r="F196" s="9" t="n"/>
      <c r="G196" s="18" t="n"/>
      <c r="H196" s="16" t="n"/>
      <c r="I196" s="25" t="n"/>
      <c r="J196" s="20">
        <f>IF(OR(G196="",I196=""),"",ROUND(G196*I196,2))</f>
        <v/>
      </c>
      <c r="K196" s="19" t="n"/>
      <c r="L196" s="21">
        <f>IF(OR(J196="",K196=""),"",IF(ABS(J196-K196)&gt;0.01,"MISMATCH","OK"))</f>
        <v/>
      </c>
      <c r="M196" s="16" t="n"/>
      <c r="N196" s="16" t="n"/>
      <c r="O196" s="16" t="n"/>
      <c r="P196" s="9" t="n"/>
      <c r="Q196" s="9" t="n"/>
    </row>
    <row r="197">
      <c r="A197" s="16" t="n"/>
      <c r="B197" s="16" t="n"/>
      <c r="C197" s="16" t="n"/>
      <c r="D197" s="16" t="n"/>
      <c r="E197" s="16" t="n"/>
      <c r="F197" s="9" t="n"/>
      <c r="G197" s="18" t="n"/>
      <c r="H197" s="16" t="n"/>
      <c r="I197" s="25" t="n"/>
      <c r="J197" s="20">
        <f>IF(OR(G197="",I197=""),"",ROUND(G197*I197,2))</f>
        <v/>
      </c>
      <c r="K197" s="19" t="n"/>
      <c r="L197" s="21">
        <f>IF(OR(J197="",K197=""),"",IF(ABS(J197-K197)&gt;0.01,"MISMATCH","OK"))</f>
        <v/>
      </c>
      <c r="M197" s="16" t="n"/>
      <c r="N197" s="16" t="n"/>
      <c r="O197" s="16" t="n"/>
      <c r="P197" s="9" t="n"/>
      <c r="Q197" s="9" t="n"/>
    </row>
    <row r="198">
      <c r="A198" s="16" t="n"/>
      <c r="B198" s="16" t="n"/>
      <c r="C198" s="16" t="n"/>
      <c r="D198" s="16" t="n"/>
      <c r="E198" s="16" t="n"/>
      <c r="F198" s="9" t="n"/>
      <c r="G198" s="18" t="n"/>
      <c r="H198" s="16" t="n"/>
      <c r="I198" s="25" t="n"/>
      <c r="J198" s="20">
        <f>IF(OR(G198="",I198=""),"",ROUND(G198*I198,2))</f>
        <v/>
      </c>
      <c r="K198" s="19" t="n"/>
      <c r="L198" s="21">
        <f>IF(OR(J198="",K198=""),"",IF(ABS(J198-K198)&gt;0.01,"MISMATCH","OK"))</f>
        <v/>
      </c>
      <c r="M198" s="16" t="n"/>
      <c r="N198" s="16" t="n"/>
      <c r="O198" s="16" t="n"/>
      <c r="P198" s="9" t="n"/>
      <c r="Q198" s="9" t="n"/>
    </row>
    <row r="199">
      <c r="A199" s="16" t="n"/>
      <c r="B199" s="16" t="n"/>
      <c r="C199" s="16" t="n"/>
      <c r="D199" s="16" t="n"/>
      <c r="E199" s="16" t="n"/>
      <c r="F199" s="9" t="n"/>
      <c r="G199" s="18" t="n"/>
      <c r="H199" s="16" t="n"/>
      <c r="I199" s="25" t="n"/>
      <c r="J199" s="20">
        <f>IF(OR(G199="",I199=""),"",ROUND(G199*I199,2))</f>
        <v/>
      </c>
      <c r="K199" s="19" t="n"/>
      <c r="L199" s="21">
        <f>IF(OR(J199="",K199=""),"",IF(ABS(J199-K199)&gt;0.01,"MISMATCH","OK"))</f>
        <v/>
      </c>
      <c r="M199" s="16" t="n"/>
      <c r="N199" s="16" t="n"/>
      <c r="O199" s="16" t="n"/>
      <c r="P199" s="9" t="n"/>
      <c r="Q199" s="9" t="n"/>
    </row>
    <row r="200">
      <c r="A200" s="16" t="n"/>
      <c r="B200" s="16" t="n"/>
      <c r="C200" s="16" t="n"/>
      <c r="D200" s="16" t="n"/>
      <c r="E200" s="16" t="n"/>
      <c r="F200" s="9" t="n"/>
      <c r="G200" s="18" t="n"/>
      <c r="H200" s="16" t="n"/>
      <c r="I200" s="25" t="n"/>
      <c r="J200" s="20">
        <f>IF(OR(G200="",I200=""),"",ROUND(G200*I200,2))</f>
        <v/>
      </c>
      <c r="K200" s="19" t="n"/>
      <c r="L200" s="21">
        <f>IF(OR(J200="",K200=""),"",IF(ABS(J200-K200)&gt;0.01,"MISMATCH","OK"))</f>
        <v/>
      </c>
      <c r="M200" s="16" t="n"/>
      <c r="N200" s="16" t="n"/>
      <c r="O200" s="16" t="n"/>
      <c r="P200" s="9" t="n"/>
      <c r="Q200" s="9" t="n"/>
    </row>
    <row r="201">
      <c r="A201" s="16" t="n"/>
      <c r="B201" s="16" t="n"/>
      <c r="C201" s="16" t="n"/>
      <c r="D201" s="16" t="n"/>
      <c r="E201" s="16" t="n"/>
      <c r="F201" s="9" t="n"/>
      <c r="G201" s="18" t="n"/>
      <c r="H201" s="16" t="n"/>
      <c r="I201" s="25" t="n"/>
      <c r="J201" s="20">
        <f>IF(OR(G201="",I201=""),"",ROUND(G201*I201,2))</f>
        <v/>
      </c>
      <c r="K201" s="19" t="n"/>
      <c r="L201" s="21">
        <f>IF(OR(J201="",K201=""),"",IF(ABS(J201-K201)&gt;0.01,"MISMATCH","OK"))</f>
        <v/>
      </c>
      <c r="M201" s="16" t="n"/>
      <c r="N201" s="16" t="n"/>
      <c r="O201" s="16" t="n"/>
      <c r="P201" s="9" t="n"/>
      <c r="Q201" s="9" t="n"/>
    </row>
    <row r="202">
      <c r="A202" s="16" t="n"/>
      <c r="B202" s="16" t="n"/>
      <c r="C202" s="16" t="n"/>
      <c r="D202" s="16" t="n"/>
      <c r="E202" s="16" t="n"/>
      <c r="F202" s="9" t="n"/>
      <c r="G202" s="18" t="n"/>
      <c r="H202" s="16" t="n"/>
      <c r="I202" s="25" t="n"/>
      <c r="J202" s="20">
        <f>IF(OR(G202="",I202=""),"",ROUND(G202*I202,2))</f>
        <v/>
      </c>
      <c r="K202" s="19" t="n"/>
      <c r="L202" s="21">
        <f>IF(OR(J202="",K202=""),"",IF(ABS(J202-K202)&gt;0.01,"MISMATCH","OK"))</f>
        <v/>
      </c>
      <c r="M202" s="16" t="n"/>
      <c r="N202" s="16" t="n"/>
      <c r="O202" s="16" t="n"/>
      <c r="P202" s="9" t="n"/>
      <c r="Q202" s="9" t="n"/>
    </row>
    <row r="203">
      <c r="A203" s="16" t="n"/>
      <c r="B203" s="16" t="n"/>
      <c r="C203" s="16" t="n"/>
      <c r="D203" s="16" t="n"/>
      <c r="E203" s="16" t="n"/>
      <c r="F203" s="9" t="n"/>
      <c r="G203" s="18" t="n"/>
      <c r="H203" s="16" t="n"/>
      <c r="I203" s="25" t="n"/>
      <c r="J203" s="20">
        <f>IF(OR(G203="",I203=""),"",ROUND(G203*I203,2))</f>
        <v/>
      </c>
      <c r="K203" s="19" t="n"/>
      <c r="L203" s="21">
        <f>IF(OR(J203="",K203=""),"",IF(ABS(J203-K203)&gt;0.01,"MISMATCH","OK"))</f>
        <v/>
      </c>
      <c r="M203" s="16" t="n"/>
      <c r="N203" s="16" t="n"/>
      <c r="O203" s="16" t="n"/>
      <c r="P203" s="9" t="n"/>
      <c r="Q203" s="9" t="n"/>
    </row>
    <row r="204">
      <c r="A204" s="16" t="n"/>
      <c r="B204" s="16" t="n"/>
      <c r="C204" s="16" t="n"/>
      <c r="D204" s="16" t="n"/>
      <c r="E204" s="16" t="n"/>
      <c r="F204" s="9" t="n"/>
      <c r="G204" s="18" t="n"/>
      <c r="H204" s="16" t="n"/>
      <c r="I204" s="25" t="n"/>
      <c r="J204" s="20">
        <f>IF(OR(G204="",I204=""),"",ROUND(G204*I204,2))</f>
        <v/>
      </c>
      <c r="K204" s="19" t="n"/>
      <c r="L204" s="21">
        <f>IF(OR(J204="",K204=""),"",IF(ABS(J204-K204)&gt;0.01,"MISMATCH","OK"))</f>
        <v/>
      </c>
      <c r="M204" s="16" t="n"/>
      <c r="N204" s="16" t="n"/>
      <c r="O204" s="16" t="n"/>
      <c r="P204" s="9" t="n"/>
      <c r="Q204" s="9" t="n"/>
    </row>
    <row r="205">
      <c r="A205" s="16" t="n"/>
      <c r="B205" s="16" t="n"/>
      <c r="C205" s="16" t="n"/>
      <c r="D205" s="16" t="n"/>
      <c r="E205" s="16" t="n"/>
      <c r="F205" s="9" t="n"/>
      <c r="G205" s="18" t="n"/>
      <c r="H205" s="16" t="n"/>
      <c r="I205" s="25" t="n"/>
      <c r="J205" s="20">
        <f>IF(OR(G205="",I205=""),"",ROUND(G205*I205,2))</f>
        <v/>
      </c>
      <c r="K205" s="19" t="n"/>
      <c r="L205" s="21">
        <f>IF(OR(J205="",K205=""),"",IF(ABS(J205-K205)&gt;0.01,"MISMATCH","OK"))</f>
        <v/>
      </c>
      <c r="M205" s="16" t="n"/>
      <c r="N205" s="16" t="n"/>
      <c r="O205" s="16" t="n"/>
      <c r="P205" s="9" t="n"/>
      <c r="Q205" s="9" t="n"/>
    </row>
    <row r="206">
      <c r="A206" s="16" t="n"/>
      <c r="B206" s="16" t="n"/>
      <c r="C206" s="16" t="n"/>
      <c r="D206" s="16" t="n"/>
      <c r="E206" s="16" t="n"/>
      <c r="F206" s="9" t="n"/>
      <c r="G206" s="18" t="n"/>
      <c r="H206" s="16" t="n"/>
      <c r="I206" s="25" t="n"/>
      <c r="J206" s="20">
        <f>IF(OR(G206="",I206=""),"",ROUND(G206*I206,2))</f>
        <v/>
      </c>
      <c r="K206" s="19" t="n"/>
      <c r="L206" s="21">
        <f>IF(OR(J206="",K206=""),"",IF(ABS(J206-K206)&gt;0.01,"MISMATCH","OK"))</f>
        <v/>
      </c>
      <c r="M206" s="16" t="n"/>
      <c r="N206" s="16" t="n"/>
      <c r="O206" s="16" t="n"/>
      <c r="P206" s="9" t="n"/>
      <c r="Q206" s="9" t="n"/>
    </row>
    <row r="207">
      <c r="A207" s="16" t="n"/>
      <c r="B207" s="16" t="n"/>
      <c r="C207" s="16" t="n"/>
      <c r="D207" s="16" t="n"/>
      <c r="E207" s="16" t="n"/>
      <c r="F207" s="9" t="n"/>
      <c r="G207" s="18" t="n"/>
      <c r="H207" s="16" t="n"/>
      <c r="I207" s="25" t="n"/>
      <c r="J207" s="20">
        <f>IF(OR(G207="",I207=""),"",ROUND(G207*I207,2))</f>
        <v/>
      </c>
      <c r="K207" s="19" t="n"/>
      <c r="L207" s="21">
        <f>IF(OR(J207="",K207=""),"",IF(ABS(J207-K207)&gt;0.01,"MISMATCH","OK"))</f>
        <v/>
      </c>
      <c r="M207" s="16" t="n"/>
      <c r="N207" s="16" t="n"/>
      <c r="O207" s="16" t="n"/>
      <c r="P207" s="9" t="n"/>
      <c r="Q207" s="9" t="n"/>
    </row>
    <row r="208">
      <c r="A208" s="16" t="n"/>
      <c r="B208" s="16" t="n"/>
      <c r="C208" s="16" t="n"/>
      <c r="D208" s="16" t="n"/>
      <c r="E208" s="16" t="n"/>
      <c r="F208" s="9" t="n"/>
      <c r="G208" s="18" t="n"/>
      <c r="H208" s="16" t="n"/>
      <c r="I208" s="25" t="n"/>
      <c r="J208" s="20">
        <f>IF(OR(G208="",I208=""),"",ROUND(G208*I208,2))</f>
        <v/>
      </c>
      <c r="K208" s="19" t="n"/>
      <c r="L208" s="21">
        <f>IF(OR(J208="",K208=""),"",IF(ABS(J208-K208)&gt;0.01,"MISMATCH","OK"))</f>
        <v/>
      </c>
      <c r="M208" s="16" t="n"/>
      <c r="N208" s="16" t="n"/>
      <c r="O208" s="16" t="n"/>
      <c r="P208" s="9" t="n"/>
      <c r="Q208" s="9" t="n"/>
    </row>
    <row r="209">
      <c r="A209" s="16" t="n"/>
      <c r="B209" s="16" t="n"/>
      <c r="C209" s="16" t="n"/>
      <c r="D209" s="16" t="n"/>
      <c r="E209" s="16" t="n"/>
      <c r="F209" s="9" t="n"/>
      <c r="G209" s="18" t="n"/>
      <c r="H209" s="16" t="n"/>
      <c r="I209" s="25" t="n"/>
      <c r="J209" s="20">
        <f>IF(OR(G209="",I209=""),"",ROUND(G209*I209,2))</f>
        <v/>
      </c>
      <c r="K209" s="19" t="n"/>
      <c r="L209" s="21">
        <f>IF(OR(J209="",K209=""),"",IF(ABS(J209-K209)&gt;0.01,"MISMATCH","OK"))</f>
        <v/>
      </c>
      <c r="M209" s="16" t="n"/>
      <c r="N209" s="16" t="n"/>
      <c r="O209" s="16" t="n"/>
      <c r="P209" s="9" t="n"/>
      <c r="Q209" s="9" t="n"/>
    </row>
    <row r="210">
      <c r="A210" s="16" t="n"/>
      <c r="B210" s="16" t="n"/>
      <c r="C210" s="16" t="n"/>
      <c r="D210" s="16" t="n"/>
      <c r="E210" s="16" t="n"/>
      <c r="F210" s="9" t="n"/>
      <c r="G210" s="18" t="n"/>
      <c r="H210" s="16" t="n"/>
      <c r="I210" s="25" t="n"/>
      <c r="J210" s="20">
        <f>IF(OR(G210="",I210=""),"",ROUND(G210*I210,2))</f>
        <v/>
      </c>
      <c r="K210" s="19" t="n"/>
      <c r="L210" s="21">
        <f>IF(OR(J210="",K210=""),"",IF(ABS(J210-K210)&gt;0.01,"MISMATCH","OK"))</f>
        <v/>
      </c>
      <c r="M210" s="16" t="n"/>
      <c r="N210" s="16" t="n"/>
      <c r="O210" s="16" t="n"/>
      <c r="P210" s="9" t="n"/>
      <c r="Q210" s="9" t="n"/>
    </row>
    <row r="211">
      <c r="A211" s="16" t="n"/>
      <c r="B211" s="16" t="n"/>
      <c r="C211" s="16" t="n"/>
      <c r="D211" s="16" t="n"/>
      <c r="E211" s="16" t="n"/>
      <c r="F211" s="9" t="n"/>
      <c r="G211" s="18" t="n"/>
      <c r="H211" s="16" t="n"/>
      <c r="I211" s="25" t="n"/>
      <c r="J211" s="20">
        <f>IF(OR(G211="",I211=""),"",ROUND(G211*I211,2))</f>
        <v/>
      </c>
      <c r="K211" s="19" t="n"/>
      <c r="L211" s="21">
        <f>IF(OR(J211="",K211=""),"",IF(ABS(J211-K211)&gt;0.01,"MISMATCH","OK"))</f>
        <v/>
      </c>
      <c r="M211" s="16" t="n"/>
      <c r="N211" s="16" t="n"/>
      <c r="O211" s="16" t="n"/>
      <c r="P211" s="9" t="n"/>
      <c r="Q211" s="9" t="n"/>
    </row>
    <row r="212">
      <c r="A212" s="16" t="n"/>
      <c r="B212" s="16" t="n"/>
      <c r="C212" s="16" t="n"/>
      <c r="D212" s="16" t="n"/>
      <c r="E212" s="16" t="n"/>
      <c r="F212" s="9" t="n"/>
      <c r="G212" s="18" t="n"/>
      <c r="H212" s="16" t="n"/>
      <c r="I212" s="25" t="n"/>
      <c r="J212" s="20">
        <f>IF(OR(G212="",I212=""),"",ROUND(G212*I212,2))</f>
        <v/>
      </c>
      <c r="K212" s="19" t="n"/>
      <c r="L212" s="21">
        <f>IF(OR(J212="",K212=""),"",IF(ABS(J212-K212)&gt;0.01,"MISMATCH","OK"))</f>
        <v/>
      </c>
      <c r="M212" s="16" t="n"/>
      <c r="N212" s="16" t="n"/>
      <c r="O212" s="16" t="n"/>
      <c r="P212" s="9" t="n"/>
      <c r="Q212" s="9" t="n"/>
    </row>
    <row r="213">
      <c r="A213" s="16" t="n"/>
      <c r="B213" s="16" t="n"/>
      <c r="C213" s="16" t="n"/>
      <c r="D213" s="16" t="n"/>
      <c r="E213" s="16" t="n"/>
      <c r="F213" s="9" t="n"/>
      <c r="G213" s="18" t="n"/>
      <c r="H213" s="16" t="n"/>
      <c r="I213" s="25" t="n"/>
      <c r="J213" s="20">
        <f>IF(OR(G213="",I213=""),"",ROUND(G213*I213,2))</f>
        <v/>
      </c>
      <c r="K213" s="19" t="n"/>
      <c r="L213" s="21">
        <f>IF(OR(J213="",K213=""),"",IF(ABS(J213-K213)&gt;0.01,"MISMATCH","OK"))</f>
        <v/>
      </c>
      <c r="M213" s="16" t="n"/>
      <c r="N213" s="16" t="n"/>
      <c r="O213" s="16" t="n"/>
      <c r="P213" s="9" t="n"/>
      <c r="Q213" s="9" t="n"/>
    </row>
    <row r="214">
      <c r="A214" s="16" t="n"/>
      <c r="B214" s="16" t="n"/>
      <c r="C214" s="16" t="n"/>
      <c r="D214" s="16" t="n"/>
      <c r="E214" s="16" t="n"/>
      <c r="F214" s="9" t="n"/>
      <c r="G214" s="18" t="n"/>
      <c r="H214" s="16" t="n"/>
      <c r="I214" s="25" t="n"/>
      <c r="J214" s="20">
        <f>IF(OR(G214="",I214=""),"",ROUND(G214*I214,2))</f>
        <v/>
      </c>
      <c r="K214" s="19" t="n"/>
      <c r="L214" s="21">
        <f>IF(OR(J214="",K214=""),"",IF(ABS(J214-K214)&gt;0.01,"MISMATCH","OK"))</f>
        <v/>
      </c>
      <c r="M214" s="16" t="n"/>
      <c r="N214" s="16" t="n"/>
      <c r="O214" s="16" t="n"/>
      <c r="P214" s="9" t="n"/>
      <c r="Q214" s="9" t="n"/>
    </row>
    <row r="215">
      <c r="A215" s="16" t="n"/>
      <c r="B215" s="16" t="n"/>
      <c r="C215" s="16" t="n"/>
      <c r="D215" s="16" t="n"/>
      <c r="E215" s="16" t="n"/>
      <c r="F215" s="9" t="n"/>
      <c r="G215" s="18" t="n"/>
      <c r="H215" s="16" t="n"/>
      <c r="I215" s="25" t="n"/>
      <c r="J215" s="20">
        <f>IF(OR(G215="",I215=""),"",ROUND(G215*I215,2))</f>
        <v/>
      </c>
      <c r="K215" s="19" t="n"/>
      <c r="L215" s="21">
        <f>IF(OR(J215="",K215=""),"",IF(ABS(J215-K215)&gt;0.01,"MISMATCH","OK"))</f>
        <v/>
      </c>
      <c r="M215" s="16" t="n"/>
      <c r="N215" s="16" t="n"/>
      <c r="O215" s="16" t="n"/>
      <c r="P215" s="9" t="n"/>
      <c r="Q215" s="9" t="n"/>
    </row>
    <row r="216">
      <c r="A216" s="16" t="n"/>
      <c r="B216" s="16" t="n"/>
      <c r="C216" s="16" t="n"/>
      <c r="D216" s="16" t="n"/>
      <c r="E216" s="16" t="n"/>
      <c r="F216" s="9" t="n"/>
      <c r="G216" s="18" t="n"/>
      <c r="H216" s="16" t="n"/>
      <c r="I216" s="25" t="n"/>
      <c r="J216" s="20">
        <f>IF(OR(G216="",I216=""),"",ROUND(G216*I216,2))</f>
        <v/>
      </c>
      <c r="K216" s="19" t="n"/>
      <c r="L216" s="21">
        <f>IF(OR(J216="",K216=""),"",IF(ABS(J216-K216)&gt;0.01,"MISMATCH","OK"))</f>
        <v/>
      </c>
      <c r="M216" s="16" t="n"/>
      <c r="N216" s="16" t="n"/>
      <c r="O216" s="16" t="n"/>
      <c r="P216" s="9" t="n"/>
      <c r="Q216" s="9" t="n"/>
    </row>
    <row r="217">
      <c r="A217" s="16" t="n"/>
      <c r="B217" s="16" t="n"/>
      <c r="C217" s="16" t="n"/>
      <c r="D217" s="16" t="n"/>
      <c r="E217" s="16" t="n"/>
      <c r="F217" s="9" t="n"/>
      <c r="G217" s="18" t="n"/>
      <c r="H217" s="16" t="n"/>
      <c r="I217" s="25" t="n"/>
      <c r="J217" s="20">
        <f>IF(OR(G217="",I217=""),"",ROUND(G217*I217,2))</f>
        <v/>
      </c>
      <c r="K217" s="19" t="n"/>
      <c r="L217" s="21">
        <f>IF(OR(J217="",K217=""),"",IF(ABS(J217-K217)&gt;0.01,"MISMATCH","OK"))</f>
        <v/>
      </c>
      <c r="M217" s="16" t="n"/>
      <c r="N217" s="16" t="n"/>
      <c r="O217" s="16" t="n"/>
      <c r="P217" s="9" t="n"/>
      <c r="Q217" s="9" t="n"/>
    </row>
    <row r="218">
      <c r="A218" s="16" t="n"/>
      <c r="B218" s="16" t="n"/>
      <c r="C218" s="16" t="n"/>
      <c r="D218" s="16" t="n"/>
      <c r="E218" s="16" t="n"/>
      <c r="F218" s="9" t="n"/>
      <c r="G218" s="18" t="n"/>
      <c r="H218" s="16" t="n"/>
      <c r="I218" s="25" t="n"/>
      <c r="J218" s="20">
        <f>IF(OR(G218="",I218=""),"",ROUND(G218*I218,2))</f>
        <v/>
      </c>
      <c r="K218" s="19" t="n"/>
      <c r="L218" s="21">
        <f>IF(OR(J218="",K218=""),"",IF(ABS(J218-K218)&gt;0.01,"MISMATCH","OK"))</f>
        <v/>
      </c>
      <c r="M218" s="16" t="n"/>
      <c r="N218" s="16" t="n"/>
      <c r="O218" s="16" t="n"/>
      <c r="P218" s="9" t="n"/>
      <c r="Q218" s="9" t="n"/>
    </row>
    <row r="219">
      <c r="A219" s="16" t="n"/>
      <c r="B219" s="16" t="n"/>
      <c r="C219" s="16" t="n"/>
      <c r="D219" s="16" t="n"/>
      <c r="E219" s="16" t="n"/>
      <c r="F219" s="9" t="n"/>
      <c r="G219" s="18" t="n"/>
      <c r="H219" s="16" t="n"/>
      <c r="I219" s="25" t="n"/>
      <c r="J219" s="20">
        <f>IF(OR(G219="",I219=""),"",ROUND(G219*I219,2))</f>
        <v/>
      </c>
      <c r="K219" s="19" t="n"/>
      <c r="L219" s="21">
        <f>IF(OR(J219="",K219=""),"",IF(ABS(J219-K219)&gt;0.01,"MISMATCH","OK"))</f>
        <v/>
      </c>
      <c r="M219" s="16" t="n"/>
      <c r="N219" s="16" t="n"/>
      <c r="O219" s="16" t="n"/>
      <c r="P219" s="9" t="n"/>
      <c r="Q219" s="9" t="n"/>
    </row>
    <row r="220">
      <c r="A220" s="16" t="n"/>
      <c r="B220" s="16" t="n"/>
      <c r="C220" s="16" t="n"/>
      <c r="D220" s="16" t="n"/>
      <c r="E220" s="16" t="n"/>
      <c r="F220" s="9" t="n"/>
      <c r="G220" s="18" t="n"/>
      <c r="H220" s="16" t="n"/>
      <c r="I220" s="25" t="n"/>
      <c r="J220" s="20">
        <f>IF(OR(G220="",I220=""),"",ROUND(G220*I220,2))</f>
        <v/>
      </c>
      <c r="K220" s="19" t="n"/>
      <c r="L220" s="21">
        <f>IF(OR(J220="",K220=""),"",IF(ABS(J220-K220)&gt;0.01,"MISMATCH","OK"))</f>
        <v/>
      </c>
      <c r="M220" s="16" t="n"/>
      <c r="N220" s="16" t="n"/>
      <c r="O220" s="16" t="n"/>
      <c r="P220" s="9" t="n"/>
      <c r="Q220" s="9" t="n"/>
    </row>
    <row r="221">
      <c r="A221" s="16" t="n"/>
      <c r="B221" s="16" t="n"/>
      <c r="C221" s="16" t="n"/>
      <c r="D221" s="16" t="n"/>
      <c r="E221" s="16" t="n"/>
      <c r="F221" s="9" t="n"/>
      <c r="G221" s="18" t="n"/>
      <c r="H221" s="16" t="n"/>
      <c r="I221" s="25" t="n"/>
      <c r="J221" s="20">
        <f>IF(OR(G221="",I221=""),"",ROUND(G221*I221,2))</f>
        <v/>
      </c>
      <c r="K221" s="19" t="n"/>
      <c r="L221" s="21">
        <f>IF(OR(J221="",K221=""),"",IF(ABS(J221-K221)&gt;0.01,"MISMATCH","OK"))</f>
        <v/>
      </c>
      <c r="M221" s="16" t="n"/>
      <c r="N221" s="16" t="n"/>
      <c r="O221" s="16" t="n"/>
      <c r="P221" s="9" t="n"/>
      <c r="Q221" s="9" t="n"/>
    </row>
    <row r="222">
      <c r="A222" s="16" t="n"/>
      <c r="B222" s="16" t="n"/>
      <c r="C222" s="16" t="n"/>
      <c r="D222" s="16" t="n"/>
      <c r="E222" s="16" t="n"/>
      <c r="F222" s="9" t="n"/>
      <c r="G222" s="18" t="n"/>
      <c r="H222" s="16" t="n"/>
      <c r="I222" s="25" t="n"/>
      <c r="J222" s="20">
        <f>IF(OR(G222="",I222=""),"",ROUND(G222*I222,2))</f>
        <v/>
      </c>
      <c r="K222" s="19" t="n"/>
      <c r="L222" s="21">
        <f>IF(OR(J222="",K222=""),"",IF(ABS(J222-K222)&gt;0.01,"MISMATCH","OK"))</f>
        <v/>
      </c>
      <c r="M222" s="16" t="n"/>
      <c r="N222" s="16" t="n"/>
      <c r="O222" s="16" t="n"/>
      <c r="P222" s="9" t="n"/>
      <c r="Q222" s="9" t="n"/>
    </row>
    <row r="223">
      <c r="A223" s="16" t="n"/>
      <c r="B223" s="16" t="n"/>
      <c r="C223" s="16" t="n"/>
      <c r="D223" s="16" t="n"/>
      <c r="E223" s="16" t="n"/>
      <c r="F223" s="9" t="n"/>
      <c r="G223" s="18" t="n"/>
      <c r="H223" s="16" t="n"/>
      <c r="I223" s="25" t="n"/>
      <c r="J223" s="20">
        <f>IF(OR(G223="",I223=""),"",ROUND(G223*I223,2))</f>
        <v/>
      </c>
      <c r="K223" s="19" t="n"/>
      <c r="L223" s="21">
        <f>IF(OR(J223="",K223=""),"",IF(ABS(J223-K223)&gt;0.01,"MISMATCH","OK"))</f>
        <v/>
      </c>
      <c r="M223" s="16" t="n"/>
      <c r="N223" s="16" t="n"/>
      <c r="O223" s="16" t="n"/>
      <c r="P223" s="9" t="n"/>
      <c r="Q223" s="9" t="n"/>
    </row>
    <row r="224">
      <c r="A224" s="16" t="n"/>
      <c r="B224" s="16" t="n"/>
      <c r="C224" s="16" t="n"/>
      <c r="D224" s="16" t="n"/>
      <c r="E224" s="16" t="n"/>
      <c r="F224" s="9" t="n"/>
      <c r="G224" s="18" t="n"/>
      <c r="H224" s="16" t="n"/>
      <c r="I224" s="25" t="n"/>
      <c r="J224" s="20">
        <f>IF(OR(G224="",I224=""),"",ROUND(G224*I224,2))</f>
        <v/>
      </c>
      <c r="K224" s="19" t="n"/>
      <c r="L224" s="21">
        <f>IF(OR(J224="",K224=""),"",IF(ABS(J224-K224)&gt;0.01,"MISMATCH","OK"))</f>
        <v/>
      </c>
      <c r="M224" s="16" t="n"/>
      <c r="N224" s="16" t="n"/>
      <c r="O224" s="16" t="n"/>
      <c r="P224" s="9" t="n"/>
      <c r="Q224" s="9" t="n"/>
    </row>
    <row r="225">
      <c r="A225" s="16" t="n"/>
      <c r="B225" s="16" t="n"/>
      <c r="C225" s="16" t="n"/>
      <c r="D225" s="16" t="n"/>
      <c r="E225" s="16" t="n"/>
      <c r="F225" s="9" t="n"/>
      <c r="G225" s="18" t="n"/>
      <c r="H225" s="16" t="n"/>
      <c r="I225" s="25" t="n"/>
      <c r="J225" s="20">
        <f>IF(OR(G225="",I225=""),"",ROUND(G225*I225,2))</f>
        <v/>
      </c>
      <c r="K225" s="19" t="n"/>
      <c r="L225" s="21">
        <f>IF(OR(J225="",K225=""),"",IF(ABS(J225-K225)&gt;0.01,"MISMATCH","OK"))</f>
        <v/>
      </c>
      <c r="M225" s="16" t="n"/>
      <c r="N225" s="16" t="n"/>
      <c r="O225" s="16" t="n"/>
      <c r="P225" s="9" t="n"/>
      <c r="Q225" s="9" t="n"/>
    </row>
    <row r="226">
      <c r="A226" s="16" t="n"/>
      <c r="B226" s="16" t="n"/>
      <c r="C226" s="16" t="n"/>
      <c r="D226" s="16" t="n"/>
      <c r="E226" s="16" t="n"/>
      <c r="F226" s="9" t="n"/>
      <c r="G226" s="18" t="n"/>
      <c r="H226" s="16" t="n"/>
      <c r="I226" s="25" t="n"/>
      <c r="J226" s="20">
        <f>IF(OR(G226="",I226=""),"",ROUND(G226*I226,2))</f>
        <v/>
      </c>
      <c r="K226" s="19" t="n"/>
      <c r="L226" s="21">
        <f>IF(OR(J226="",K226=""),"",IF(ABS(J226-K226)&gt;0.01,"MISMATCH","OK"))</f>
        <v/>
      </c>
      <c r="M226" s="16" t="n"/>
      <c r="N226" s="16" t="n"/>
      <c r="O226" s="16" t="n"/>
      <c r="P226" s="9" t="n"/>
      <c r="Q226" s="9" t="n"/>
    </row>
    <row r="227">
      <c r="A227" s="16" t="n"/>
      <c r="B227" s="16" t="n"/>
      <c r="C227" s="16" t="n"/>
      <c r="D227" s="16" t="n"/>
      <c r="E227" s="16" t="n"/>
      <c r="F227" s="9" t="n"/>
      <c r="G227" s="18" t="n"/>
      <c r="H227" s="16" t="n"/>
      <c r="I227" s="25" t="n"/>
      <c r="J227" s="20">
        <f>IF(OR(G227="",I227=""),"",ROUND(G227*I227,2))</f>
        <v/>
      </c>
      <c r="K227" s="19" t="n"/>
      <c r="L227" s="21">
        <f>IF(OR(J227="",K227=""),"",IF(ABS(J227-K227)&gt;0.01,"MISMATCH","OK"))</f>
        <v/>
      </c>
      <c r="M227" s="16" t="n"/>
      <c r="N227" s="16" t="n"/>
      <c r="O227" s="16" t="n"/>
      <c r="P227" s="9" t="n"/>
      <c r="Q227" s="9" t="n"/>
    </row>
    <row r="228">
      <c r="A228" s="16" t="n"/>
      <c r="B228" s="16" t="n"/>
      <c r="C228" s="16" t="n"/>
      <c r="D228" s="16" t="n"/>
      <c r="E228" s="16" t="n"/>
      <c r="F228" s="9" t="n"/>
      <c r="G228" s="18" t="n"/>
      <c r="H228" s="16" t="n"/>
      <c r="I228" s="25" t="n"/>
      <c r="J228" s="20">
        <f>IF(OR(G228="",I228=""),"",ROUND(G228*I228,2))</f>
        <v/>
      </c>
      <c r="K228" s="19" t="n"/>
      <c r="L228" s="21">
        <f>IF(OR(J228="",K228=""),"",IF(ABS(J228-K228)&gt;0.01,"MISMATCH","OK"))</f>
        <v/>
      </c>
      <c r="M228" s="16" t="n"/>
      <c r="N228" s="16" t="n"/>
      <c r="O228" s="16" t="n"/>
      <c r="P228" s="9" t="n"/>
      <c r="Q228" s="9" t="n"/>
    </row>
    <row r="229">
      <c r="A229" s="16" t="n"/>
      <c r="B229" s="16" t="n"/>
      <c r="C229" s="16" t="n"/>
      <c r="D229" s="16" t="n"/>
      <c r="E229" s="16" t="n"/>
      <c r="F229" s="9" t="n"/>
      <c r="G229" s="18" t="n"/>
      <c r="H229" s="16" t="n"/>
      <c r="I229" s="25" t="n"/>
      <c r="J229" s="20">
        <f>IF(OR(G229="",I229=""),"",ROUND(G229*I229,2))</f>
        <v/>
      </c>
      <c r="K229" s="19" t="n"/>
      <c r="L229" s="21">
        <f>IF(OR(J229="",K229=""),"",IF(ABS(J229-K229)&gt;0.01,"MISMATCH","OK"))</f>
        <v/>
      </c>
      <c r="M229" s="16" t="n"/>
      <c r="N229" s="16" t="n"/>
      <c r="O229" s="16" t="n"/>
      <c r="P229" s="9" t="n"/>
      <c r="Q229" s="9" t="n"/>
    </row>
    <row r="230">
      <c r="A230" s="16" t="n"/>
      <c r="B230" s="16" t="n"/>
      <c r="C230" s="16" t="n"/>
      <c r="D230" s="16" t="n"/>
      <c r="E230" s="16" t="n"/>
      <c r="F230" s="9" t="n"/>
      <c r="G230" s="18" t="n"/>
      <c r="H230" s="16" t="n"/>
      <c r="I230" s="25" t="n"/>
      <c r="J230" s="20">
        <f>IF(OR(G230="",I230=""),"",ROUND(G230*I230,2))</f>
        <v/>
      </c>
      <c r="K230" s="19" t="n"/>
      <c r="L230" s="21">
        <f>IF(OR(J230="",K230=""),"",IF(ABS(J230-K230)&gt;0.01,"MISMATCH","OK"))</f>
        <v/>
      </c>
      <c r="M230" s="16" t="n"/>
      <c r="N230" s="16" t="n"/>
      <c r="O230" s="16" t="n"/>
      <c r="P230" s="9" t="n"/>
      <c r="Q230" s="9" t="n"/>
    </row>
    <row r="231">
      <c r="A231" s="16" t="n"/>
      <c r="B231" s="16" t="n"/>
      <c r="C231" s="16" t="n"/>
      <c r="D231" s="16" t="n"/>
      <c r="E231" s="16" t="n"/>
      <c r="F231" s="9" t="n"/>
      <c r="G231" s="18" t="n"/>
      <c r="H231" s="16" t="n"/>
      <c r="I231" s="25" t="n"/>
      <c r="J231" s="20">
        <f>IF(OR(G231="",I231=""),"",ROUND(G231*I231,2))</f>
        <v/>
      </c>
      <c r="K231" s="19" t="n"/>
      <c r="L231" s="21">
        <f>IF(OR(J231="",K231=""),"",IF(ABS(J231-K231)&gt;0.01,"MISMATCH","OK"))</f>
        <v/>
      </c>
      <c r="M231" s="16" t="n"/>
      <c r="N231" s="16" t="n"/>
      <c r="O231" s="16" t="n"/>
      <c r="P231" s="9" t="n"/>
      <c r="Q231" s="9" t="n"/>
    </row>
    <row r="232">
      <c r="A232" s="16" t="n"/>
      <c r="B232" s="16" t="n"/>
      <c r="C232" s="16" t="n"/>
      <c r="D232" s="16" t="n"/>
      <c r="E232" s="16" t="n"/>
      <c r="F232" s="9" t="n"/>
      <c r="G232" s="18" t="n"/>
      <c r="H232" s="16" t="n"/>
      <c r="I232" s="25" t="n"/>
      <c r="J232" s="20">
        <f>IF(OR(G232="",I232=""),"",ROUND(G232*I232,2))</f>
        <v/>
      </c>
      <c r="K232" s="19" t="n"/>
      <c r="L232" s="21">
        <f>IF(OR(J232="",K232=""),"",IF(ABS(J232-K232)&gt;0.01,"MISMATCH","OK"))</f>
        <v/>
      </c>
      <c r="M232" s="16" t="n"/>
      <c r="N232" s="16" t="n"/>
      <c r="O232" s="16" t="n"/>
      <c r="P232" s="9" t="n"/>
      <c r="Q232" s="9" t="n"/>
    </row>
    <row r="233">
      <c r="A233" s="16" t="n"/>
      <c r="B233" s="16" t="n"/>
      <c r="C233" s="16" t="n"/>
      <c r="D233" s="16" t="n"/>
      <c r="E233" s="16" t="n"/>
      <c r="F233" s="9" t="n"/>
      <c r="G233" s="18" t="n"/>
      <c r="H233" s="16" t="n"/>
      <c r="I233" s="25" t="n"/>
      <c r="J233" s="20">
        <f>IF(OR(G233="",I233=""),"",ROUND(G233*I233,2))</f>
        <v/>
      </c>
      <c r="K233" s="19" t="n"/>
      <c r="L233" s="21">
        <f>IF(OR(J233="",K233=""),"",IF(ABS(J233-K233)&gt;0.01,"MISMATCH","OK"))</f>
        <v/>
      </c>
      <c r="M233" s="16" t="n"/>
      <c r="N233" s="16" t="n"/>
      <c r="O233" s="16" t="n"/>
      <c r="P233" s="9" t="n"/>
      <c r="Q233" s="9" t="n"/>
    </row>
    <row r="234">
      <c r="A234" s="16" t="n"/>
      <c r="B234" s="16" t="n"/>
      <c r="C234" s="16" t="n"/>
      <c r="D234" s="16" t="n"/>
      <c r="E234" s="16" t="n"/>
      <c r="F234" s="9" t="n"/>
      <c r="G234" s="18" t="n"/>
      <c r="H234" s="16" t="n"/>
      <c r="I234" s="25" t="n"/>
      <c r="J234" s="20">
        <f>IF(OR(G234="",I234=""),"",ROUND(G234*I234,2))</f>
        <v/>
      </c>
      <c r="K234" s="19" t="n"/>
      <c r="L234" s="21">
        <f>IF(OR(J234="",K234=""),"",IF(ABS(J234-K234)&gt;0.01,"MISMATCH","OK"))</f>
        <v/>
      </c>
      <c r="M234" s="16" t="n"/>
      <c r="N234" s="16" t="n"/>
      <c r="O234" s="16" t="n"/>
      <c r="P234" s="9" t="n"/>
      <c r="Q234" s="9" t="n"/>
    </row>
    <row r="235">
      <c r="A235" s="16" t="n"/>
      <c r="B235" s="16" t="n"/>
      <c r="C235" s="16" t="n"/>
      <c r="D235" s="16" t="n"/>
      <c r="E235" s="16" t="n"/>
      <c r="F235" s="9" t="n"/>
      <c r="G235" s="18" t="n"/>
      <c r="H235" s="16" t="n"/>
      <c r="I235" s="25" t="n"/>
      <c r="J235" s="20">
        <f>IF(OR(G235="",I235=""),"",ROUND(G235*I235,2))</f>
        <v/>
      </c>
      <c r="K235" s="19" t="n"/>
      <c r="L235" s="21">
        <f>IF(OR(J235="",K235=""),"",IF(ABS(J235-K235)&gt;0.01,"MISMATCH","OK"))</f>
        <v/>
      </c>
      <c r="M235" s="16" t="n"/>
      <c r="N235" s="16" t="n"/>
      <c r="O235" s="16" t="n"/>
      <c r="P235" s="9" t="n"/>
      <c r="Q235" s="9" t="n"/>
    </row>
    <row r="236">
      <c r="A236" s="16" t="n"/>
      <c r="B236" s="16" t="n"/>
      <c r="C236" s="16" t="n"/>
      <c r="D236" s="16" t="n"/>
      <c r="E236" s="16" t="n"/>
      <c r="F236" s="9" t="n"/>
      <c r="G236" s="18" t="n"/>
      <c r="H236" s="16" t="n"/>
      <c r="I236" s="25" t="n"/>
      <c r="J236" s="20">
        <f>IF(OR(G236="",I236=""),"",ROUND(G236*I236,2))</f>
        <v/>
      </c>
      <c r="K236" s="19" t="n"/>
      <c r="L236" s="21">
        <f>IF(OR(J236="",K236=""),"",IF(ABS(J236-K236)&gt;0.01,"MISMATCH","OK"))</f>
        <v/>
      </c>
      <c r="M236" s="16" t="n"/>
      <c r="N236" s="16" t="n"/>
      <c r="O236" s="16" t="n"/>
      <c r="P236" s="9" t="n"/>
      <c r="Q236" s="9" t="n"/>
    </row>
    <row r="237">
      <c r="A237" s="16" t="n"/>
      <c r="B237" s="16" t="n"/>
      <c r="C237" s="16" t="n"/>
      <c r="D237" s="16" t="n"/>
      <c r="E237" s="16" t="n"/>
      <c r="F237" s="9" t="n"/>
      <c r="G237" s="18" t="n"/>
      <c r="H237" s="16" t="n"/>
      <c r="I237" s="25" t="n"/>
      <c r="J237" s="20">
        <f>IF(OR(G237="",I237=""),"",ROUND(G237*I237,2))</f>
        <v/>
      </c>
      <c r="K237" s="19" t="n"/>
      <c r="L237" s="21">
        <f>IF(OR(J237="",K237=""),"",IF(ABS(J237-K237)&gt;0.01,"MISMATCH","OK"))</f>
        <v/>
      </c>
      <c r="M237" s="16" t="n"/>
      <c r="N237" s="16" t="n"/>
      <c r="O237" s="16" t="n"/>
      <c r="P237" s="9" t="n"/>
      <c r="Q237" s="9" t="n"/>
    </row>
    <row r="238">
      <c r="A238" s="16" t="n"/>
      <c r="B238" s="16" t="n"/>
      <c r="C238" s="16" t="n"/>
      <c r="D238" s="16" t="n"/>
      <c r="E238" s="16" t="n"/>
      <c r="F238" s="9" t="n"/>
      <c r="G238" s="18" t="n"/>
      <c r="H238" s="16" t="n"/>
      <c r="I238" s="25" t="n"/>
      <c r="J238" s="20">
        <f>IF(OR(G238="",I238=""),"",ROUND(G238*I238,2))</f>
        <v/>
      </c>
      <c r="K238" s="19" t="n"/>
      <c r="L238" s="21">
        <f>IF(OR(J238="",K238=""),"",IF(ABS(J238-K238)&gt;0.01,"MISMATCH","OK"))</f>
        <v/>
      </c>
      <c r="M238" s="16" t="n"/>
      <c r="N238" s="16" t="n"/>
      <c r="O238" s="16" t="n"/>
      <c r="P238" s="9" t="n"/>
      <c r="Q238" s="9" t="n"/>
    </row>
    <row r="239">
      <c r="A239" s="16" t="n"/>
      <c r="B239" s="16" t="n"/>
      <c r="C239" s="16" t="n"/>
      <c r="D239" s="16" t="n"/>
      <c r="E239" s="16" t="n"/>
      <c r="F239" s="9" t="n"/>
      <c r="G239" s="18" t="n"/>
      <c r="H239" s="16" t="n"/>
      <c r="I239" s="25" t="n"/>
      <c r="J239" s="20">
        <f>IF(OR(G239="",I239=""),"",ROUND(G239*I239,2))</f>
        <v/>
      </c>
      <c r="K239" s="19" t="n"/>
      <c r="L239" s="21">
        <f>IF(OR(J239="",K239=""),"",IF(ABS(J239-K239)&gt;0.01,"MISMATCH","OK"))</f>
        <v/>
      </c>
      <c r="M239" s="16" t="n"/>
      <c r="N239" s="16" t="n"/>
      <c r="O239" s="16" t="n"/>
      <c r="P239" s="9" t="n"/>
      <c r="Q239" s="9" t="n"/>
    </row>
    <row r="240">
      <c r="A240" s="16" t="n"/>
      <c r="B240" s="16" t="n"/>
      <c r="C240" s="16" t="n"/>
      <c r="D240" s="16" t="n"/>
      <c r="E240" s="16" t="n"/>
      <c r="F240" s="9" t="n"/>
      <c r="G240" s="18" t="n"/>
      <c r="H240" s="16" t="n"/>
      <c r="I240" s="25" t="n"/>
      <c r="J240" s="20">
        <f>IF(OR(G240="",I240=""),"",ROUND(G240*I240,2))</f>
        <v/>
      </c>
      <c r="K240" s="19" t="n"/>
      <c r="L240" s="21">
        <f>IF(OR(J240="",K240=""),"",IF(ABS(J240-K240)&gt;0.01,"MISMATCH","OK"))</f>
        <v/>
      </c>
      <c r="M240" s="16" t="n"/>
      <c r="N240" s="16" t="n"/>
      <c r="O240" s="16" t="n"/>
      <c r="P240" s="9" t="n"/>
      <c r="Q240" s="9" t="n"/>
    </row>
    <row r="241">
      <c r="A241" s="16" t="n"/>
      <c r="B241" s="16" t="n"/>
      <c r="C241" s="16" t="n"/>
      <c r="D241" s="16" t="n"/>
      <c r="E241" s="16" t="n"/>
      <c r="F241" s="9" t="n"/>
      <c r="G241" s="18" t="n"/>
      <c r="H241" s="16" t="n"/>
      <c r="I241" s="25" t="n"/>
      <c r="J241" s="20">
        <f>IF(OR(G241="",I241=""),"",ROUND(G241*I241,2))</f>
        <v/>
      </c>
      <c r="K241" s="19" t="n"/>
      <c r="L241" s="21">
        <f>IF(OR(J241="",K241=""),"",IF(ABS(J241-K241)&gt;0.01,"MISMATCH","OK"))</f>
        <v/>
      </c>
      <c r="M241" s="16" t="n"/>
      <c r="N241" s="16" t="n"/>
      <c r="O241" s="16" t="n"/>
      <c r="P241" s="9" t="n"/>
      <c r="Q241" s="9" t="n"/>
    </row>
    <row r="242">
      <c r="A242" s="16" t="n"/>
      <c r="B242" s="16" t="n"/>
      <c r="C242" s="16" t="n"/>
      <c r="D242" s="16" t="n"/>
      <c r="E242" s="16" t="n"/>
      <c r="F242" s="9" t="n"/>
      <c r="G242" s="18" t="n"/>
      <c r="H242" s="16" t="n"/>
      <c r="I242" s="25" t="n"/>
      <c r="J242" s="20">
        <f>IF(OR(G242="",I242=""),"",ROUND(G242*I242,2))</f>
        <v/>
      </c>
      <c r="K242" s="19" t="n"/>
      <c r="L242" s="21">
        <f>IF(OR(J242="",K242=""),"",IF(ABS(J242-K242)&gt;0.01,"MISMATCH","OK"))</f>
        <v/>
      </c>
      <c r="M242" s="16" t="n"/>
      <c r="N242" s="16" t="n"/>
      <c r="O242" s="16" t="n"/>
      <c r="P242" s="9" t="n"/>
      <c r="Q242" s="9" t="n"/>
    </row>
    <row r="243">
      <c r="A243" s="16" t="n"/>
      <c r="B243" s="16" t="n"/>
      <c r="C243" s="16" t="n"/>
      <c r="D243" s="16" t="n"/>
      <c r="E243" s="16" t="n"/>
      <c r="F243" s="9" t="n"/>
      <c r="G243" s="18" t="n"/>
      <c r="H243" s="16" t="n"/>
      <c r="I243" s="25" t="n"/>
      <c r="J243" s="20">
        <f>IF(OR(G243="",I243=""),"",ROUND(G243*I243,2))</f>
        <v/>
      </c>
      <c r="K243" s="19" t="n"/>
      <c r="L243" s="21">
        <f>IF(OR(J243="",K243=""),"",IF(ABS(J243-K243)&gt;0.01,"MISMATCH","OK"))</f>
        <v/>
      </c>
      <c r="M243" s="16" t="n"/>
      <c r="N243" s="16" t="n"/>
      <c r="O243" s="16" t="n"/>
      <c r="P243" s="9" t="n"/>
      <c r="Q243" s="9" t="n"/>
    </row>
    <row r="244">
      <c r="A244" s="16" t="n"/>
      <c r="B244" s="16" t="n"/>
      <c r="C244" s="16" t="n"/>
      <c r="D244" s="16" t="n"/>
      <c r="E244" s="16" t="n"/>
      <c r="F244" s="9" t="n"/>
      <c r="G244" s="18" t="n"/>
      <c r="H244" s="16" t="n"/>
      <c r="I244" s="25" t="n"/>
      <c r="J244" s="20">
        <f>IF(OR(G244="",I244=""),"",ROUND(G244*I244,2))</f>
        <v/>
      </c>
      <c r="K244" s="19" t="n"/>
      <c r="L244" s="21">
        <f>IF(OR(J244="",K244=""),"",IF(ABS(J244-K244)&gt;0.01,"MISMATCH","OK"))</f>
        <v/>
      </c>
      <c r="M244" s="16" t="n"/>
      <c r="N244" s="16" t="n"/>
      <c r="O244" s="16" t="n"/>
      <c r="P244" s="9" t="n"/>
      <c r="Q244" s="9" t="n"/>
    </row>
    <row r="245">
      <c r="A245" s="16" t="n"/>
      <c r="B245" s="16" t="n"/>
      <c r="C245" s="16" t="n"/>
      <c r="D245" s="16" t="n"/>
      <c r="E245" s="16" t="n"/>
      <c r="F245" s="9" t="n"/>
      <c r="G245" s="18" t="n"/>
      <c r="H245" s="16" t="n"/>
      <c r="I245" s="25" t="n"/>
      <c r="J245" s="20">
        <f>IF(OR(G245="",I245=""),"",ROUND(G245*I245,2))</f>
        <v/>
      </c>
      <c r="K245" s="19" t="n"/>
      <c r="L245" s="21">
        <f>IF(OR(J245="",K245=""),"",IF(ABS(J245-K245)&gt;0.01,"MISMATCH","OK"))</f>
        <v/>
      </c>
      <c r="M245" s="16" t="n"/>
      <c r="N245" s="16" t="n"/>
      <c r="O245" s="16" t="n"/>
      <c r="P245" s="9" t="n"/>
      <c r="Q245" s="9" t="n"/>
    </row>
    <row r="246">
      <c r="A246" s="16" t="n"/>
      <c r="B246" s="16" t="n"/>
      <c r="C246" s="16" t="n"/>
      <c r="D246" s="16" t="n"/>
      <c r="E246" s="16" t="n"/>
      <c r="F246" s="9" t="n"/>
      <c r="G246" s="18" t="n"/>
      <c r="H246" s="16" t="n"/>
      <c r="I246" s="25" t="n"/>
      <c r="J246" s="20">
        <f>IF(OR(G246="",I246=""),"",ROUND(G246*I246,2))</f>
        <v/>
      </c>
      <c r="K246" s="19" t="n"/>
      <c r="L246" s="21">
        <f>IF(OR(J246="",K246=""),"",IF(ABS(J246-K246)&gt;0.01,"MISMATCH","OK"))</f>
        <v/>
      </c>
      <c r="M246" s="16" t="n"/>
      <c r="N246" s="16" t="n"/>
      <c r="O246" s="16" t="n"/>
      <c r="P246" s="9" t="n"/>
      <c r="Q246" s="9" t="n"/>
    </row>
    <row r="247">
      <c r="A247" s="16" t="n"/>
      <c r="B247" s="16" t="n"/>
      <c r="C247" s="16" t="n"/>
      <c r="D247" s="16" t="n"/>
      <c r="E247" s="16" t="n"/>
      <c r="F247" s="9" t="n"/>
      <c r="G247" s="18" t="n"/>
      <c r="H247" s="16" t="n"/>
      <c r="I247" s="25" t="n"/>
      <c r="J247" s="20">
        <f>IF(OR(G247="",I247=""),"",ROUND(G247*I247,2))</f>
        <v/>
      </c>
      <c r="K247" s="19" t="n"/>
      <c r="L247" s="21">
        <f>IF(OR(J247="",K247=""),"",IF(ABS(J247-K247)&gt;0.01,"MISMATCH","OK"))</f>
        <v/>
      </c>
      <c r="M247" s="16" t="n"/>
      <c r="N247" s="16" t="n"/>
      <c r="O247" s="16" t="n"/>
      <c r="P247" s="9" t="n"/>
      <c r="Q247" s="9" t="n"/>
    </row>
    <row r="248">
      <c r="A248" s="16" t="n"/>
      <c r="B248" s="16" t="n"/>
      <c r="C248" s="16" t="n"/>
      <c r="D248" s="16" t="n"/>
      <c r="E248" s="16" t="n"/>
      <c r="F248" s="9" t="n"/>
      <c r="G248" s="18" t="n"/>
      <c r="H248" s="16" t="n"/>
      <c r="I248" s="25" t="n"/>
      <c r="J248" s="20">
        <f>IF(OR(G248="",I248=""),"",ROUND(G248*I248,2))</f>
        <v/>
      </c>
      <c r="K248" s="19" t="n"/>
      <c r="L248" s="21">
        <f>IF(OR(J248="",K248=""),"",IF(ABS(J248-K248)&gt;0.01,"MISMATCH","OK"))</f>
        <v/>
      </c>
      <c r="M248" s="16" t="n"/>
      <c r="N248" s="16" t="n"/>
      <c r="O248" s="16" t="n"/>
      <c r="P248" s="9" t="n"/>
      <c r="Q248" s="9" t="n"/>
    </row>
    <row r="249">
      <c r="A249" s="16" t="n"/>
      <c r="B249" s="16" t="n"/>
      <c r="C249" s="16" t="n"/>
      <c r="D249" s="16" t="n"/>
      <c r="E249" s="16" t="n"/>
      <c r="F249" s="9" t="n"/>
      <c r="G249" s="18" t="n"/>
      <c r="H249" s="16" t="n"/>
      <c r="I249" s="25" t="n"/>
      <c r="J249" s="20">
        <f>IF(OR(G249="",I249=""),"",ROUND(G249*I249,2))</f>
        <v/>
      </c>
      <c r="K249" s="19" t="n"/>
      <c r="L249" s="21">
        <f>IF(OR(J249="",K249=""),"",IF(ABS(J249-K249)&gt;0.01,"MISMATCH","OK"))</f>
        <v/>
      </c>
      <c r="M249" s="16" t="n"/>
      <c r="N249" s="16" t="n"/>
      <c r="O249" s="16" t="n"/>
      <c r="P249" s="9" t="n"/>
      <c r="Q249" s="9" t="n"/>
    </row>
    <row r="250">
      <c r="A250" s="16" t="n"/>
      <c r="B250" s="16" t="n"/>
      <c r="C250" s="16" t="n"/>
      <c r="D250" s="16" t="n"/>
      <c r="E250" s="16" t="n"/>
      <c r="F250" s="9" t="n"/>
      <c r="G250" s="18" t="n"/>
      <c r="H250" s="16" t="n"/>
      <c r="I250" s="25" t="n"/>
      <c r="J250" s="20">
        <f>IF(OR(G250="",I250=""),"",ROUND(G250*I250,2))</f>
        <v/>
      </c>
      <c r="K250" s="19" t="n"/>
      <c r="L250" s="21">
        <f>IF(OR(J250="",K250=""),"",IF(ABS(J250-K250)&gt;0.01,"MISMATCH","OK"))</f>
        <v/>
      </c>
      <c r="M250" s="16" t="n"/>
      <c r="N250" s="16" t="n"/>
      <c r="O250" s="16" t="n"/>
      <c r="P250" s="9" t="n"/>
      <c r="Q250" s="9" t="n"/>
    </row>
    <row r="251">
      <c r="A251" s="16" t="n"/>
      <c r="B251" s="16" t="n"/>
      <c r="C251" s="16" t="n"/>
      <c r="D251" s="16" t="n"/>
      <c r="E251" s="16" t="n"/>
      <c r="F251" s="9" t="n"/>
      <c r="G251" s="18" t="n"/>
      <c r="H251" s="16" t="n"/>
      <c r="I251" s="25" t="n"/>
      <c r="J251" s="20">
        <f>IF(OR(G251="",I251=""),"",ROUND(G251*I251,2))</f>
        <v/>
      </c>
      <c r="K251" s="19" t="n"/>
      <c r="L251" s="21">
        <f>IF(OR(J251="",K251=""),"",IF(ABS(J251-K251)&gt;0.01,"MISMATCH","OK"))</f>
        <v/>
      </c>
      <c r="M251" s="16" t="n"/>
      <c r="N251" s="16" t="n"/>
      <c r="O251" s="16" t="n"/>
      <c r="P251" s="9" t="n"/>
      <c r="Q251" s="9" t="n"/>
    </row>
    <row r="252">
      <c r="A252" s="16" t="n"/>
      <c r="B252" s="16" t="n"/>
      <c r="C252" s="16" t="n"/>
      <c r="D252" s="16" t="n"/>
      <c r="E252" s="16" t="n"/>
      <c r="F252" s="9" t="n"/>
      <c r="G252" s="18" t="n"/>
      <c r="H252" s="16" t="n"/>
      <c r="I252" s="25" t="n"/>
      <c r="J252" s="20">
        <f>IF(OR(G252="",I252=""),"",ROUND(G252*I252,2))</f>
        <v/>
      </c>
      <c r="K252" s="19" t="n"/>
      <c r="L252" s="21">
        <f>IF(OR(J252="",K252=""),"",IF(ABS(J252-K252)&gt;0.01,"MISMATCH","OK"))</f>
        <v/>
      </c>
      <c r="M252" s="16" t="n"/>
      <c r="N252" s="16" t="n"/>
      <c r="O252" s="16" t="n"/>
      <c r="P252" s="9" t="n"/>
      <c r="Q252" s="9" t="n"/>
    </row>
    <row r="253">
      <c r="A253" s="16" t="n"/>
      <c r="B253" s="16" t="n"/>
      <c r="C253" s="16" t="n"/>
      <c r="D253" s="16" t="n"/>
      <c r="E253" s="16" t="n"/>
      <c r="F253" s="9" t="n"/>
      <c r="G253" s="18" t="n"/>
      <c r="H253" s="16" t="n"/>
      <c r="I253" s="25" t="n"/>
      <c r="J253" s="20">
        <f>IF(OR(G253="",I253=""),"",ROUND(G253*I253,2))</f>
        <v/>
      </c>
      <c r="K253" s="19" t="n"/>
      <c r="L253" s="21">
        <f>IF(OR(J253="",K253=""),"",IF(ABS(J253-K253)&gt;0.01,"MISMATCH","OK"))</f>
        <v/>
      </c>
      <c r="M253" s="16" t="n"/>
      <c r="N253" s="16" t="n"/>
      <c r="O253" s="16" t="n"/>
      <c r="P253" s="9" t="n"/>
      <c r="Q253" s="9" t="n"/>
    </row>
    <row r="254">
      <c r="A254" s="16" t="n"/>
      <c r="B254" s="16" t="n"/>
      <c r="C254" s="16" t="n"/>
      <c r="D254" s="16" t="n"/>
      <c r="E254" s="16" t="n"/>
      <c r="F254" s="9" t="n"/>
      <c r="G254" s="18" t="n"/>
      <c r="H254" s="16" t="n"/>
      <c r="I254" s="25" t="n"/>
      <c r="J254" s="20">
        <f>IF(OR(G254="",I254=""),"",ROUND(G254*I254,2))</f>
        <v/>
      </c>
      <c r="K254" s="19" t="n"/>
      <c r="L254" s="21">
        <f>IF(OR(J254="",K254=""),"",IF(ABS(J254-K254)&gt;0.01,"MISMATCH","OK"))</f>
        <v/>
      </c>
      <c r="M254" s="16" t="n"/>
      <c r="N254" s="16" t="n"/>
      <c r="O254" s="16" t="n"/>
      <c r="P254" s="9" t="n"/>
      <c r="Q254" s="9" t="n"/>
    </row>
    <row r="255">
      <c r="A255" s="16" t="n"/>
      <c r="B255" s="16" t="n"/>
      <c r="C255" s="16" t="n"/>
      <c r="D255" s="16" t="n"/>
      <c r="E255" s="16" t="n"/>
      <c r="F255" s="9" t="n"/>
      <c r="G255" s="18" t="n"/>
      <c r="H255" s="16" t="n"/>
      <c r="I255" s="25" t="n"/>
      <c r="J255" s="20">
        <f>IF(OR(G255="",I255=""),"",ROUND(G255*I255,2))</f>
        <v/>
      </c>
      <c r="K255" s="19" t="n"/>
      <c r="L255" s="21">
        <f>IF(OR(J255="",K255=""),"",IF(ABS(J255-K255)&gt;0.01,"MISMATCH","OK"))</f>
        <v/>
      </c>
      <c r="M255" s="16" t="n"/>
      <c r="N255" s="16" t="n"/>
      <c r="O255" s="16" t="n"/>
      <c r="P255" s="9" t="n"/>
      <c r="Q255" s="9" t="n"/>
    </row>
    <row r="256">
      <c r="A256" s="16" t="n"/>
      <c r="B256" s="16" t="n"/>
      <c r="C256" s="16" t="n"/>
      <c r="D256" s="16" t="n"/>
      <c r="E256" s="16" t="n"/>
      <c r="F256" s="9" t="n"/>
      <c r="G256" s="18" t="n"/>
      <c r="H256" s="16" t="n"/>
      <c r="I256" s="25" t="n"/>
      <c r="J256" s="20">
        <f>IF(OR(G256="",I256=""),"",ROUND(G256*I256,2))</f>
        <v/>
      </c>
      <c r="K256" s="19" t="n"/>
      <c r="L256" s="21">
        <f>IF(OR(J256="",K256=""),"",IF(ABS(J256-K256)&gt;0.01,"MISMATCH","OK"))</f>
        <v/>
      </c>
      <c r="M256" s="16" t="n"/>
      <c r="N256" s="16" t="n"/>
      <c r="O256" s="16" t="n"/>
      <c r="P256" s="9" t="n"/>
      <c r="Q256" s="9" t="n"/>
    </row>
    <row r="257">
      <c r="A257" s="16" t="n"/>
      <c r="B257" s="16" t="n"/>
      <c r="C257" s="16" t="n"/>
      <c r="D257" s="16" t="n"/>
      <c r="E257" s="16" t="n"/>
      <c r="F257" s="9" t="n"/>
      <c r="G257" s="18" t="n"/>
      <c r="H257" s="16" t="n"/>
      <c r="I257" s="25" t="n"/>
      <c r="J257" s="20">
        <f>IF(OR(G257="",I257=""),"",ROUND(G257*I257,2))</f>
        <v/>
      </c>
      <c r="K257" s="19" t="n"/>
      <c r="L257" s="21">
        <f>IF(OR(J257="",K257=""),"",IF(ABS(J257-K257)&gt;0.01,"MISMATCH","OK"))</f>
        <v/>
      </c>
      <c r="M257" s="16" t="n"/>
      <c r="N257" s="16" t="n"/>
      <c r="O257" s="16" t="n"/>
      <c r="P257" s="9" t="n"/>
      <c r="Q257" s="9" t="n"/>
    </row>
    <row r="258">
      <c r="A258" s="16" t="n"/>
      <c r="B258" s="16" t="n"/>
      <c r="C258" s="16" t="n"/>
      <c r="D258" s="16" t="n"/>
      <c r="E258" s="16" t="n"/>
      <c r="F258" s="9" t="n"/>
      <c r="G258" s="18" t="n"/>
      <c r="H258" s="16" t="n"/>
      <c r="I258" s="25" t="n"/>
      <c r="J258" s="20">
        <f>IF(OR(G258="",I258=""),"",ROUND(G258*I258,2))</f>
        <v/>
      </c>
      <c r="K258" s="19" t="n"/>
      <c r="L258" s="21">
        <f>IF(OR(J258="",K258=""),"",IF(ABS(J258-K258)&gt;0.01,"MISMATCH","OK"))</f>
        <v/>
      </c>
      <c r="M258" s="16" t="n"/>
      <c r="N258" s="16" t="n"/>
      <c r="O258" s="16" t="n"/>
      <c r="P258" s="9" t="n"/>
      <c r="Q258" s="9" t="n"/>
    </row>
    <row r="259">
      <c r="A259" s="16" t="n"/>
      <c r="B259" s="16" t="n"/>
      <c r="C259" s="16" t="n"/>
      <c r="D259" s="16" t="n"/>
      <c r="E259" s="16" t="n"/>
      <c r="F259" s="9" t="n"/>
      <c r="G259" s="18" t="n"/>
      <c r="H259" s="16" t="n"/>
      <c r="I259" s="25" t="n"/>
      <c r="J259" s="20">
        <f>IF(OR(G259="",I259=""),"",ROUND(G259*I259,2))</f>
        <v/>
      </c>
      <c r="K259" s="19" t="n"/>
      <c r="L259" s="21">
        <f>IF(OR(J259="",K259=""),"",IF(ABS(J259-K259)&gt;0.01,"MISMATCH","OK"))</f>
        <v/>
      </c>
      <c r="M259" s="16" t="n"/>
      <c r="N259" s="16" t="n"/>
      <c r="O259" s="16" t="n"/>
      <c r="P259" s="9" t="n"/>
      <c r="Q259" s="9" t="n"/>
    </row>
    <row r="260">
      <c r="A260" s="16" t="n"/>
      <c r="B260" s="16" t="n"/>
      <c r="C260" s="16" t="n"/>
      <c r="D260" s="16" t="n"/>
      <c r="E260" s="16" t="n"/>
      <c r="F260" s="9" t="n"/>
      <c r="G260" s="18" t="n"/>
      <c r="H260" s="16" t="n"/>
      <c r="I260" s="25" t="n"/>
      <c r="J260" s="20">
        <f>IF(OR(G260="",I260=""),"",ROUND(G260*I260,2))</f>
        <v/>
      </c>
      <c r="K260" s="19" t="n"/>
      <c r="L260" s="21">
        <f>IF(OR(J260="",K260=""),"",IF(ABS(J260-K260)&gt;0.01,"MISMATCH","OK"))</f>
        <v/>
      </c>
      <c r="M260" s="16" t="n"/>
      <c r="N260" s="16" t="n"/>
      <c r="O260" s="16" t="n"/>
      <c r="P260" s="9" t="n"/>
      <c r="Q260" s="9" t="n"/>
    </row>
    <row r="261">
      <c r="A261" s="16" t="n"/>
      <c r="B261" s="16" t="n"/>
      <c r="C261" s="16" t="n"/>
      <c r="D261" s="16" t="n"/>
      <c r="E261" s="16" t="n"/>
      <c r="F261" s="9" t="n"/>
      <c r="G261" s="18" t="n"/>
      <c r="H261" s="16" t="n"/>
      <c r="I261" s="25" t="n"/>
      <c r="J261" s="20">
        <f>IF(OR(G261="",I261=""),"",ROUND(G261*I261,2))</f>
        <v/>
      </c>
      <c r="K261" s="19" t="n"/>
      <c r="L261" s="21">
        <f>IF(OR(J261="",K261=""),"",IF(ABS(J261-K261)&gt;0.01,"MISMATCH","OK"))</f>
        <v/>
      </c>
      <c r="M261" s="16" t="n"/>
      <c r="N261" s="16" t="n"/>
      <c r="O261" s="16" t="n"/>
      <c r="P261" s="9" t="n"/>
      <c r="Q261" s="9" t="n"/>
    </row>
    <row r="262">
      <c r="A262" s="16" t="n"/>
      <c r="B262" s="16" t="n"/>
      <c r="C262" s="16" t="n"/>
      <c r="D262" s="16" t="n"/>
      <c r="E262" s="16" t="n"/>
      <c r="F262" s="9" t="n"/>
      <c r="G262" s="18" t="n"/>
      <c r="H262" s="16" t="n"/>
      <c r="I262" s="25" t="n"/>
      <c r="J262" s="20">
        <f>IF(OR(G262="",I262=""),"",ROUND(G262*I262,2))</f>
        <v/>
      </c>
      <c r="K262" s="19" t="n"/>
      <c r="L262" s="21">
        <f>IF(OR(J262="",K262=""),"",IF(ABS(J262-K262)&gt;0.01,"MISMATCH","OK"))</f>
        <v/>
      </c>
      <c r="M262" s="16" t="n"/>
      <c r="N262" s="16" t="n"/>
      <c r="O262" s="16" t="n"/>
      <c r="P262" s="9" t="n"/>
      <c r="Q262" s="9" t="n"/>
    </row>
    <row r="263">
      <c r="A263" s="16" t="n"/>
      <c r="B263" s="16" t="n"/>
      <c r="C263" s="16" t="n"/>
      <c r="D263" s="16" t="n"/>
      <c r="E263" s="16" t="n"/>
      <c r="F263" s="9" t="n"/>
      <c r="G263" s="18" t="n"/>
      <c r="H263" s="16" t="n"/>
      <c r="I263" s="25" t="n"/>
      <c r="J263" s="20">
        <f>IF(OR(G263="",I263=""),"",ROUND(G263*I263,2))</f>
        <v/>
      </c>
      <c r="K263" s="19" t="n"/>
      <c r="L263" s="21">
        <f>IF(OR(J263="",K263=""),"",IF(ABS(J263-K263)&gt;0.01,"MISMATCH","OK"))</f>
        <v/>
      </c>
      <c r="M263" s="16" t="n"/>
      <c r="N263" s="16" t="n"/>
      <c r="O263" s="16" t="n"/>
      <c r="P263" s="9" t="n"/>
      <c r="Q263" s="9" t="n"/>
    </row>
    <row r="264">
      <c r="A264" s="16" t="n"/>
      <c r="B264" s="16" t="n"/>
      <c r="C264" s="16" t="n"/>
      <c r="D264" s="16" t="n"/>
      <c r="E264" s="16" t="n"/>
      <c r="F264" s="9" t="n"/>
      <c r="G264" s="18" t="n"/>
      <c r="H264" s="16" t="n"/>
      <c r="I264" s="25" t="n"/>
      <c r="J264" s="20">
        <f>IF(OR(G264="",I264=""),"",ROUND(G264*I264,2))</f>
        <v/>
      </c>
      <c r="K264" s="19" t="n"/>
      <c r="L264" s="21">
        <f>IF(OR(J264="",K264=""),"",IF(ABS(J264-K264)&gt;0.01,"MISMATCH","OK"))</f>
        <v/>
      </c>
      <c r="M264" s="16" t="n"/>
      <c r="N264" s="16" t="n"/>
      <c r="O264" s="16" t="n"/>
      <c r="P264" s="9" t="n"/>
      <c r="Q264" s="9" t="n"/>
    </row>
    <row r="265">
      <c r="A265" s="16" t="n"/>
      <c r="B265" s="16" t="n"/>
      <c r="C265" s="16" t="n"/>
      <c r="D265" s="16" t="n"/>
      <c r="E265" s="16" t="n"/>
      <c r="F265" s="9" t="n"/>
      <c r="G265" s="18" t="n"/>
      <c r="H265" s="16" t="n"/>
      <c r="I265" s="25" t="n"/>
      <c r="J265" s="20">
        <f>IF(OR(G265="",I265=""),"",ROUND(G265*I265,2))</f>
        <v/>
      </c>
      <c r="K265" s="19" t="n"/>
      <c r="L265" s="21">
        <f>IF(OR(J265="",K265=""),"",IF(ABS(J265-K265)&gt;0.01,"MISMATCH","OK"))</f>
        <v/>
      </c>
      <c r="M265" s="16" t="n"/>
      <c r="N265" s="16" t="n"/>
      <c r="O265" s="16" t="n"/>
      <c r="P265" s="9" t="n"/>
      <c r="Q265" s="9" t="n"/>
    </row>
    <row r="266">
      <c r="A266" s="16" t="n"/>
      <c r="B266" s="16" t="n"/>
      <c r="C266" s="16" t="n"/>
      <c r="D266" s="16" t="n"/>
      <c r="E266" s="16" t="n"/>
      <c r="F266" s="9" t="n"/>
      <c r="G266" s="18" t="n"/>
      <c r="H266" s="16" t="n"/>
      <c r="I266" s="25" t="n"/>
      <c r="J266" s="20">
        <f>IF(OR(G266="",I266=""),"",ROUND(G266*I266,2))</f>
        <v/>
      </c>
      <c r="K266" s="19" t="n"/>
      <c r="L266" s="21">
        <f>IF(OR(J266="",K266=""),"",IF(ABS(J266-K266)&gt;0.01,"MISMATCH","OK"))</f>
        <v/>
      </c>
      <c r="M266" s="16" t="n"/>
      <c r="N266" s="16" t="n"/>
      <c r="O266" s="16" t="n"/>
      <c r="P266" s="9" t="n"/>
      <c r="Q266" s="9" t="n"/>
    </row>
    <row r="267">
      <c r="A267" s="16" t="n"/>
      <c r="B267" s="16" t="n"/>
      <c r="C267" s="16" t="n"/>
      <c r="D267" s="16" t="n"/>
      <c r="E267" s="16" t="n"/>
      <c r="F267" s="9" t="n"/>
      <c r="G267" s="18" t="n"/>
      <c r="H267" s="16" t="n"/>
      <c r="I267" s="25" t="n"/>
      <c r="J267" s="20">
        <f>IF(OR(G267="",I267=""),"",ROUND(G267*I267,2))</f>
        <v/>
      </c>
      <c r="K267" s="19" t="n"/>
      <c r="L267" s="21">
        <f>IF(OR(J267="",K267=""),"",IF(ABS(J267-K267)&gt;0.01,"MISMATCH","OK"))</f>
        <v/>
      </c>
      <c r="M267" s="16" t="n"/>
      <c r="N267" s="16" t="n"/>
      <c r="O267" s="16" t="n"/>
      <c r="P267" s="9" t="n"/>
      <c r="Q267" s="9" t="n"/>
    </row>
    <row r="268">
      <c r="A268" s="16" t="n"/>
      <c r="B268" s="16" t="n"/>
      <c r="C268" s="16" t="n"/>
      <c r="D268" s="16" t="n"/>
      <c r="E268" s="16" t="n"/>
      <c r="F268" s="9" t="n"/>
      <c r="G268" s="18" t="n"/>
      <c r="H268" s="16" t="n"/>
      <c r="I268" s="25" t="n"/>
      <c r="J268" s="20">
        <f>IF(OR(G268="",I268=""),"",ROUND(G268*I268,2))</f>
        <v/>
      </c>
      <c r="K268" s="19" t="n"/>
      <c r="L268" s="21">
        <f>IF(OR(J268="",K268=""),"",IF(ABS(J268-K268)&gt;0.01,"MISMATCH","OK"))</f>
        <v/>
      </c>
      <c r="M268" s="16" t="n"/>
      <c r="N268" s="16" t="n"/>
      <c r="O268" s="16" t="n"/>
      <c r="P268" s="9" t="n"/>
      <c r="Q268" s="9" t="n"/>
    </row>
    <row r="269">
      <c r="A269" s="16" t="n"/>
      <c r="B269" s="16" t="n"/>
      <c r="C269" s="16" t="n"/>
      <c r="D269" s="16" t="n"/>
      <c r="E269" s="16" t="n"/>
      <c r="F269" s="9" t="n"/>
      <c r="G269" s="18" t="n"/>
      <c r="H269" s="16" t="n"/>
      <c r="I269" s="25" t="n"/>
      <c r="J269" s="20">
        <f>IF(OR(G269="",I269=""),"",ROUND(G269*I269,2))</f>
        <v/>
      </c>
      <c r="K269" s="19" t="n"/>
      <c r="L269" s="21">
        <f>IF(OR(J269="",K269=""),"",IF(ABS(J269-K269)&gt;0.01,"MISMATCH","OK"))</f>
        <v/>
      </c>
      <c r="M269" s="16" t="n"/>
      <c r="N269" s="16" t="n"/>
      <c r="O269" s="16" t="n"/>
      <c r="P269" s="9" t="n"/>
      <c r="Q269" s="9" t="n"/>
    </row>
    <row r="270">
      <c r="A270" s="16" t="n"/>
      <c r="B270" s="16" t="n"/>
      <c r="C270" s="16" t="n"/>
      <c r="D270" s="16" t="n"/>
      <c r="E270" s="16" t="n"/>
      <c r="F270" s="9" t="n"/>
      <c r="G270" s="18" t="n"/>
      <c r="H270" s="16" t="n"/>
      <c r="I270" s="25" t="n"/>
      <c r="J270" s="20">
        <f>IF(OR(G270="",I270=""),"",ROUND(G270*I270,2))</f>
        <v/>
      </c>
      <c r="K270" s="19" t="n"/>
      <c r="L270" s="21">
        <f>IF(OR(J270="",K270=""),"",IF(ABS(J270-K270)&gt;0.01,"MISMATCH","OK"))</f>
        <v/>
      </c>
      <c r="M270" s="16" t="n"/>
      <c r="N270" s="16" t="n"/>
      <c r="O270" s="16" t="n"/>
      <c r="P270" s="9" t="n"/>
      <c r="Q270" s="9" t="n"/>
    </row>
    <row r="271">
      <c r="A271" s="16" t="n"/>
      <c r="B271" s="16" t="n"/>
      <c r="C271" s="16" t="n"/>
      <c r="D271" s="16" t="n"/>
      <c r="E271" s="16" t="n"/>
      <c r="F271" s="9" t="n"/>
      <c r="G271" s="18" t="n"/>
      <c r="H271" s="16" t="n"/>
      <c r="I271" s="25" t="n"/>
      <c r="J271" s="20">
        <f>IF(OR(G271="",I271=""),"",ROUND(G271*I271,2))</f>
        <v/>
      </c>
      <c r="K271" s="19" t="n"/>
      <c r="L271" s="21">
        <f>IF(OR(J271="",K271=""),"",IF(ABS(J271-K271)&gt;0.01,"MISMATCH","OK"))</f>
        <v/>
      </c>
      <c r="M271" s="16" t="n"/>
      <c r="N271" s="16" t="n"/>
      <c r="O271" s="16" t="n"/>
      <c r="P271" s="9" t="n"/>
      <c r="Q271" s="9" t="n"/>
    </row>
    <row r="272">
      <c r="A272" s="16" t="n"/>
      <c r="B272" s="16" t="n"/>
      <c r="C272" s="16" t="n"/>
      <c r="D272" s="16" t="n"/>
      <c r="E272" s="16" t="n"/>
      <c r="F272" s="9" t="n"/>
      <c r="G272" s="18" t="n"/>
      <c r="H272" s="16" t="n"/>
      <c r="I272" s="25" t="n"/>
      <c r="J272" s="20">
        <f>IF(OR(G272="",I272=""),"",ROUND(G272*I272,2))</f>
        <v/>
      </c>
      <c r="K272" s="19" t="n"/>
      <c r="L272" s="21">
        <f>IF(OR(J272="",K272=""),"",IF(ABS(J272-K272)&gt;0.01,"MISMATCH","OK"))</f>
        <v/>
      </c>
      <c r="M272" s="16" t="n"/>
      <c r="N272" s="16" t="n"/>
      <c r="O272" s="16" t="n"/>
      <c r="P272" s="9" t="n"/>
      <c r="Q272" s="9" t="n"/>
    </row>
    <row r="273">
      <c r="A273" s="16" t="n"/>
      <c r="B273" s="16" t="n"/>
      <c r="C273" s="16" t="n"/>
      <c r="D273" s="16" t="n"/>
      <c r="E273" s="16" t="n"/>
      <c r="F273" s="9" t="n"/>
      <c r="G273" s="18" t="n"/>
      <c r="H273" s="16" t="n"/>
      <c r="I273" s="25" t="n"/>
      <c r="J273" s="20">
        <f>IF(OR(G273="",I273=""),"",ROUND(G273*I273,2))</f>
        <v/>
      </c>
      <c r="K273" s="19" t="n"/>
      <c r="L273" s="21">
        <f>IF(OR(J273="",K273=""),"",IF(ABS(J273-K273)&gt;0.01,"MISMATCH","OK"))</f>
        <v/>
      </c>
      <c r="M273" s="16" t="n"/>
      <c r="N273" s="16" t="n"/>
      <c r="O273" s="16" t="n"/>
      <c r="P273" s="9" t="n"/>
      <c r="Q273" s="9" t="n"/>
    </row>
    <row r="274">
      <c r="A274" s="16" t="n"/>
      <c r="B274" s="16" t="n"/>
      <c r="C274" s="16" t="n"/>
      <c r="D274" s="16" t="n"/>
      <c r="E274" s="16" t="n"/>
      <c r="F274" s="9" t="n"/>
      <c r="G274" s="18" t="n"/>
      <c r="H274" s="16" t="n"/>
      <c r="I274" s="25" t="n"/>
      <c r="J274" s="20">
        <f>IF(OR(G274="",I274=""),"",ROUND(G274*I274,2))</f>
        <v/>
      </c>
      <c r="K274" s="19" t="n"/>
      <c r="L274" s="21">
        <f>IF(OR(J274="",K274=""),"",IF(ABS(J274-K274)&gt;0.01,"MISMATCH","OK"))</f>
        <v/>
      </c>
      <c r="M274" s="16" t="n"/>
      <c r="N274" s="16" t="n"/>
      <c r="O274" s="16" t="n"/>
      <c r="P274" s="9" t="n"/>
      <c r="Q274" s="9" t="n"/>
    </row>
    <row r="275">
      <c r="A275" s="16" t="n"/>
      <c r="B275" s="16" t="n"/>
      <c r="C275" s="16" t="n"/>
      <c r="D275" s="16" t="n"/>
      <c r="E275" s="16" t="n"/>
      <c r="F275" s="9" t="n"/>
      <c r="G275" s="18" t="n"/>
      <c r="H275" s="16" t="n"/>
      <c r="I275" s="25" t="n"/>
      <c r="J275" s="20">
        <f>IF(OR(G275="",I275=""),"",ROUND(G275*I275,2))</f>
        <v/>
      </c>
      <c r="K275" s="19" t="n"/>
      <c r="L275" s="21">
        <f>IF(OR(J275="",K275=""),"",IF(ABS(J275-K275)&gt;0.01,"MISMATCH","OK"))</f>
        <v/>
      </c>
      <c r="M275" s="16" t="n"/>
      <c r="N275" s="16" t="n"/>
      <c r="O275" s="16" t="n"/>
      <c r="P275" s="9" t="n"/>
      <c r="Q275" s="9" t="n"/>
    </row>
    <row r="276">
      <c r="A276" s="16" t="n"/>
      <c r="B276" s="16" t="n"/>
      <c r="C276" s="16" t="n"/>
      <c r="D276" s="16" t="n"/>
      <c r="E276" s="16" t="n"/>
      <c r="F276" s="9" t="n"/>
      <c r="G276" s="18" t="n"/>
      <c r="H276" s="16" t="n"/>
      <c r="I276" s="25" t="n"/>
      <c r="J276" s="20">
        <f>IF(OR(G276="",I276=""),"",ROUND(G276*I276,2))</f>
        <v/>
      </c>
      <c r="K276" s="19" t="n"/>
      <c r="L276" s="21">
        <f>IF(OR(J276="",K276=""),"",IF(ABS(J276-K276)&gt;0.01,"MISMATCH","OK"))</f>
        <v/>
      </c>
      <c r="M276" s="16" t="n"/>
      <c r="N276" s="16" t="n"/>
      <c r="O276" s="16" t="n"/>
      <c r="P276" s="9" t="n"/>
      <c r="Q276" s="9" t="n"/>
    </row>
    <row r="277">
      <c r="A277" s="16" t="n"/>
      <c r="B277" s="16" t="n"/>
      <c r="C277" s="16" t="n"/>
      <c r="D277" s="16" t="n"/>
      <c r="E277" s="16" t="n"/>
      <c r="F277" s="9" t="n"/>
      <c r="G277" s="18" t="n"/>
      <c r="H277" s="16" t="n"/>
      <c r="I277" s="25" t="n"/>
      <c r="J277" s="20">
        <f>IF(OR(G277="",I277=""),"",ROUND(G277*I277,2))</f>
        <v/>
      </c>
      <c r="K277" s="19" t="n"/>
      <c r="L277" s="21">
        <f>IF(OR(J277="",K277=""),"",IF(ABS(J277-K277)&gt;0.01,"MISMATCH","OK"))</f>
        <v/>
      </c>
      <c r="M277" s="16" t="n"/>
      <c r="N277" s="16" t="n"/>
      <c r="O277" s="16" t="n"/>
      <c r="P277" s="9" t="n"/>
      <c r="Q277" s="9" t="n"/>
    </row>
    <row r="278">
      <c r="A278" s="16" t="n"/>
      <c r="B278" s="16" t="n"/>
      <c r="C278" s="16" t="n"/>
      <c r="D278" s="16" t="n"/>
      <c r="E278" s="16" t="n"/>
      <c r="F278" s="9" t="n"/>
      <c r="G278" s="18" t="n"/>
      <c r="H278" s="16" t="n"/>
      <c r="I278" s="25" t="n"/>
      <c r="J278" s="20">
        <f>IF(OR(G278="",I278=""),"",ROUND(G278*I278,2))</f>
        <v/>
      </c>
      <c r="K278" s="19" t="n"/>
      <c r="L278" s="21">
        <f>IF(OR(J278="",K278=""),"",IF(ABS(J278-K278)&gt;0.01,"MISMATCH","OK"))</f>
        <v/>
      </c>
      <c r="M278" s="16" t="n"/>
      <c r="N278" s="16" t="n"/>
      <c r="O278" s="16" t="n"/>
      <c r="P278" s="9" t="n"/>
      <c r="Q278" s="9" t="n"/>
    </row>
    <row r="279">
      <c r="A279" s="16" t="n"/>
      <c r="B279" s="16" t="n"/>
      <c r="C279" s="16" t="n"/>
      <c r="D279" s="16" t="n"/>
      <c r="E279" s="16" t="n"/>
      <c r="F279" s="9" t="n"/>
      <c r="G279" s="18" t="n"/>
      <c r="H279" s="16" t="n"/>
      <c r="I279" s="25" t="n"/>
      <c r="J279" s="20">
        <f>IF(OR(G279="",I279=""),"",ROUND(G279*I279,2))</f>
        <v/>
      </c>
      <c r="K279" s="19" t="n"/>
      <c r="L279" s="21">
        <f>IF(OR(J279="",K279=""),"",IF(ABS(J279-K279)&gt;0.01,"MISMATCH","OK"))</f>
        <v/>
      </c>
      <c r="M279" s="16" t="n"/>
      <c r="N279" s="16" t="n"/>
      <c r="O279" s="16" t="n"/>
      <c r="P279" s="9" t="n"/>
      <c r="Q279" s="9" t="n"/>
    </row>
    <row r="280">
      <c r="A280" s="16" t="n"/>
      <c r="B280" s="16" t="n"/>
      <c r="C280" s="16" t="n"/>
      <c r="D280" s="16" t="n"/>
      <c r="E280" s="16" t="n"/>
      <c r="F280" s="9" t="n"/>
      <c r="G280" s="18" t="n"/>
      <c r="H280" s="16" t="n"/>
      <c r="I280" s="25" t="n"/>
      <c r="J280" s="20">
        <f>IF(OR(G280="",I280=""),"",ROUND(G280*I280,2))</f>
        <v/>
      </c>
      <c r="K280" s="19" t="n"/>
      <c r="L280" s="21">
        <f>IF(OR(J280="",K280=""),"",IF(ABS(J280-K280)&gt;0.01,"MISMATCH","OK"))</f>
        <v/>
      </c>
      <c r="M280" s="16" t="n"/>
      <c r="N280" s="16" t="n"/>
      <c r="O280" s="16" t="n"/>
      <c r="P280" s="9" t="n"/>
      <c r="Q280" s="9" t="n"/>
    </row>
    <row r="281">
      <c r="A281" s="16" t="n"/>
      <c r="B281" s="16" t="n"/>
      <c r="C281" s="16" t="n"/>
      <c r="D281" s="16" t="n"/>
      <c r="E281" s="16" t="n"/>
      <c r="F281" s="9" t="n"/>
      <c r="G281" s="18" t="n"/>
      <c r="H281" s="16" t="n"/>
      <c r="I281" s="25" t="n"/>
      <c r="J281" s="20">
        <f>IF(OR(G281="",I281=""),"",ROUND(G281*I281,2))</f>
        <v/>
      </c>
      <c r="K281" s="19" t="n"/>
      <c r="L281" s="21">
        <f>IF(OR(J281="",K281=""),"",IF(ABS(J281-K281)&gt;0.01,"MISMATCH","OK"))</f>
        <v/>
      </c>
      <c r="M281" s="16" t="n"/>
      <c r="N281" s="16" t="n"/>
      <c r="O281" s="16" t="n"/>
      <c r="P281" s="9" t="n"/>
      <c r="Q281" s="9" t="n"/>
    </row>
    <row r="282">
      <c r="A282" s="16" t="n"/>
      <c r="B282" s="16" t="n"/>
      <c r="C282" s="16" t="n"/>
      <c r="D282" s="16" t="n"/>
      <c r="E282" s="16" t="n"/>
      <c r="F282" s="9" t="n"/>
      <c r="G282" s="18" t="n"/>
      <c r="H282" s="16" t="n"/>
      <c r="I282" s="25" t="n"/>
      <c r="J282" s="20">
        <f>IF(OR(G282="",I282=""),"",ROUND(G282*I282,2))</f>
        <v/>
      </c>
      <c r="K282" s="19" t="n"/>
      <c r="L282" s="21">
        <f>IF(OR(J282="",K282=""),"",IF(ABS(J282-K282)&gt;0.01,"MISMATCH","OK"))</f>
        <v/>
      </c>
      <c r="M282" s="16" t="n"/>
      <c r="N282" s="16" t="n"/>
      <c r="O282" s="16" t="n"/>
      <c r="P282" s="9" t="n"/>
      <c r="Q282" s="9" t="n"/>
    </row>
    <row r="283">
      <c r="A283" s="16" t="n"/>
      <c r="B283" s="16" t="n"/>
      <c r="C283" s="16" t="n"/>
      <c r="D283" s="16" t="n"/>
      <c r="E283" s="16" t="n"/>
      <c r="F283" s="9" t="n"/>
      <c r="G283" s="18" t="n"/>
      <c r="H283" s="16" t="n"/>
      <c r="I283" s="25" t="n"/>
      <c r="J283" s="20">
        <f>IF(OR(G283="",I283=""),"",ROUND(G283*I283,2))</f>
        <v/>
      </c>
      <c r="K283" s="19" t="n"/>
      <c r="L283" s="21">
        <f>IF(OR(J283="",K283=""),"",IF(ABS(J283-K283)&gt;0.01,"MISMATCH","OK"))</f>
        <v/>
      </c>
      <c r="M283" s="16" t="n"/>
      <c r="N283" s="16" t="n"/>
      <c r="O283" s="16" t="n"/>
      <c r="P283" s="9" t="n"/>
      <c r="Q283" s="9" t="n"/>
    </row>
    <row r="284">
      <c r="A284" s="16" t="n"/>
      <c r="B284" s="16" t="n"/>
      <c r="C284" s="16" t="n"/>
      <c r="D284" s="16" t="n"/>
      <c r="E284" s="16" t="n"/>
      <c r="F284" s="9" t="n"/>
      <c r="G284" s="18" t="n"/>
      <c r="H284" s="16" t="n"/>
      <c r="I284" s="25" t="n"/>
      <c r="J284" s="20">
        <f>IF(OR(G284="",I284=""),"",ROUND(G284*I284,2))</f>
        <v/>
      </c>
      <c r="K284" s="19" t="n"/>
      <c r="L284" s="21">
        <f>IF(OR(J284="",K284=""),"",IF(ABS(J284-K284)&gt;0.01,"MISMATCH","OK"))</f>
        <v/>
      </c>
      <c r="M284" s="16" t="n"/>
      <c r="N284" s="16" t="n"/>
      <c r="O284" s="16" t="n"/>
      <c r="P284" s="9" t="n"/>
      <c r="Q284" s="9" t="n"/>
    </row>
    <row r="285">
      <c r="A285" s="16" t="n"/>
      <c r="B285" s="16" t="n"/>
      <c r="C285" s="16" t="n"/>
      <c r="D285" s="16" t="n"/>
      <c r="E285" s="16" t="n"/>
      <c r="F285" s="9" t="n"/>
      <c r="G285" s="18" t="n"/>
      <c r="H285" s="16" t="n"/>
      <c r="I285" s="25" t="n"/>
      <c r="J285" s="20">
        <f>IF(OR(G285="",I285=""),"",ROUND(G285*I285,2))</f>
        <v/>
      </c>
      <c r="K285" s="19" t="n"/>
      <c r="L285" s="21">
        <f>IF(OR(J285="",K285=""),"",IF(ABS(J285-K285)&gt;0.01,"MISMATCH","OK"))</f>
        <v/>
      </c>
      <c r="M285" s="16" t="n"/>
      <c r="N285" s="16" t="n"/>
      <c r="O285" s="16" t="n"/>
      <c r="P285" s="9" t="n"/>
      <c r="Q285" s="9" t="n"/>
    </row>
    <row r="286">
      <c r="A286" s="16" t="n"/>
      <c r="B286" s="16" t="n"/>
      <c r="C286" s="16" t="n"/>
      <c r="D286" s="16" t="n"/>
      <c r="E286" s="16" t="n"/>
      <c r="F286" s="9" t="n"/>
      <c r="G286" s="18" t="n"/>
      <c r="H286" s="16" t="n"/>
      <c r="I286" s="25" t="n"/>
      <c r="J286" s="20">
        <f>IF(OR(G286="",I286=""),"",ROUND(G286*I286,2))</f>
        <v/>
      </c>
      <c r="K286" s="19" t="n"/>
      <c r="L286" s="21">
        <f>IF(OR(J286="",K286=""),"",IF(ABS(J286-K286)&gt;0.01,"MISMATCH","OK"))</f>
        <v/>
      </c>
      <c r="M286" s="16" t="n"/>
      <c r="N286" s="16" t="n"/>
      <c r="O286" s="16" t="n"/>
      <c r="P286" s="9" t="n"/>
      <c r="Q286" s="9" t="n"/>
    </row>
    <row r="287">
      <c r="A287" s="16" t="n"/>
      <c r="B287" s="16" t="n"/>
      <c r="C287" s="16" t="n"/>
      <c r="D287" s="16" t="n"/>
      <c r="E287" s="16" t="n"/>
      <c r="F287" s="9" t="n"/>
      <c r="G287" s="18" t="n"/>
      <c r="H287" s="16" t="n"/>
      <c r="I287" s="25" t="n"/>
      <c r="J287" s="20">
        <f>IF(OR(G287="",I287=""),"",ROUND(G287*I287,2))</f>
        <v/>
      </c>
      <c r="K287" s="19" t="n"/>
      <c r="L287" s="21">
        <f>IF(OR(J287="",K287=""),"",IF(ABS(J287-K287)&gt;0.01,"MISMATCH","OK"))</f>
        <v/>
      </c>
      <c r="M287" s="16" t="n"/>
      <c r="N287" s="16" t="n"/>
      <c r="O287" s="16" t="n"/>
      <c r="P287" s="9" t="n"/>
      <c r="Q287" s="9" t="n"/>
    </row>
    <row r="288">
      <c r="A288" s="16" t="n"/>
      <c r="B288" s="16" t="n"/>
      <c r="C288" s="16" t="n"/>
      <c r="D288" s="16" t="n"/>
      <c r="E288" s="16" t="n"/>
      <c r="F288" s="9" t="n"/>
      <c r="G288" s="18" t="n"/>
      <c r="H288" s="16" t="n"/>
      <c r="I288" s="25" t="n"/>
      <c r="J288" s="20">
        <f>IF(OR(G288="",I288=""),"",ROUND(G288*I288,2))</f>
        <v/>
      </c>
      <c r="K288" s="19" t="n"/>
      <c r="L288" s="21">
        <f>IF(OR(J288="",K288=""),"",IF(ABS(J288-K288)&gt;0.01,"MISMATCH","OK"))</f>
        <v/>
      </c>
      <c r="M288" s="16" t="n"/>
      <c r="N288" s="16" t="n"/>
      <c r="O288" s="16" t="n"/>
      <c r="P288" s="9" t="n"/>
      <c r="Q288" s="9" t="n"/>
    </row>
    <row r="289">
      <c r="A289" s="16" t="n"/>
      <c r="B289" s="16" t="n"/>
      <c r="C289" s="16" t="n"/>
      <c r="D289" s="16" t="n"/>
      <c r="E289" s="16" t="n"/>
      <c r="F289" s="9" t="n"/>
      <c r="G289" s="18" t="n"/>
      <c r="H289" s="16" t="n"/>
      <c r="I289" s="25" t="n"/>
      <c r="J289" s="20">
        <f>IF(OR(G289="",I289=""),"",ROUND(G289*I289,2))</f>
        <v/>
      </c>
      <c r="K289" s="19" t="n"/>
      <c r="L289" s="21">
        <f>IF(OR(J289="",K289=""),"",IF(ABS(J289-K289)&gt;0.01,"MISMATCH","OK"))</f>
        <v/>
      </c>
      <c r="M289" s="16" t="n"/>
      <c r="N289" s="16" t="n"/>
      <c r="O289" s="16" t="n"/>
      <c r="P289" s="9" t="n"/>
      <c r="Q289" s="9" t="n"/>
    </row>
    <row r="290">
      <c r="A290" s="16" t="n"/>
      <c r="B290" s="16" t="n"/>
      <c r="C290" s="16" t="n"/>
      <c r="D290" s="16" t="n"/>
      <c r="E290" s="16" t="n"/>
      <c r="F290" s="9" t="n"/>
      <c r="G290" s="18" t="n"/>
      <c r="H290" s="16" t="n"/>
      <c r="I290" s="25" t="n"/>
      <c r="J290" s="20">
        <f>IF(OR(G290="",I290=""),"",ROUND(G290*I290,2))</f>
        <v/>
      </c>
      <c r="K290" s="19" t="n"/>
      <c r="L290" s="21">
        <f>IF(OR(J290="",K290=""),"",IF(ABS(J290-K290)&gt;0.01,"MISMATCH","OK"))</f>
        <v/>
      </c>
      <c r="M290" s="16" t="n"/>
      <c r="N290" s="16" t="n"/>
      <c r="O290" s="16" t="n"/>
      <c r="P290" s="9" t="n"/>
      <c r="Q290" s="9" t="n"/>
    </row>
    <row r="291">
      <c r="A291" s="16" t="n"/>
      <c r="B291" s="16" t="n"/>
      <c r="C291" s="16" t="n"/>
      <c r="D291" s="16" t="n"/>
      <c r="E291" s="16" t="n"/>
      <c r="F291" s="9" t="n"/>
      <c r="G291" s="18" t="n"/>
      <c r="H291" s="16" t="n"/>
      <c r="I291" s="25" t="n"/>
      <c r="J291" s="20">
        <f>IF(OR(G291="",I291=""),"",ROUND(G291*I291,2))</f>
        <v/>
      </c>
      <c r="K291" s="19" t="n"/>
      <c r="L291" s="21">
        <f>IF(OR(J291="",K291=""),"",IF(ABS(J291-K291)&gt;0.01,"MISMATCH","OK"))</f>
        <v/>
      </c>
      <c r="M291" s="16" t="n"/>
      <c r="N291" s="16" t="n"/>
      <c r="O291" s="16" t="n"/>
      <c r="P291" s="9" t="n"/>
      <c r="Q291" s="9" t="n"/>
    </row>
    <row r="292">
      <c r="A292" s="16" t="n"/>
      <c r="B292" s="16" t="n"/>
      <c r="C292" s="16" t="n"/>
      <c r="D292" s="16" t="n"/>
      <c r="E292" s="16" t="n"/>
      <c r="F292" s="9" t="n"/>
      <c r="G292" s="18" t="n"/>
      <c r="H292" s="16" t="n"/>
      <c r="I292" s="25" t="n"/>
      <c r="J292" s="20">
        <f>IF(OR(G292="",I292=""),"",ROUND(G292*I292,2))</f>
        <v/>
      </c>
      <c r="K292" s="19" t="n"/>
      <c r="L292" s="21">
        <f>IF(OR(J292="",K292=""),"",IF(ABS(J292-K292)&gt;0.01,"MISMATCH","OK"))</f>
        <v/>
      </c>
      <c r="M292" s="16" t="n"/>
      <c r="N292" s="16" t="n"/>
      <c r="O292" s="16" t="n"/>
      <c r="P292" s="9" t="n"/>
      <c r="Q292" s="9" t="n"/>
    </row>
    <row r="293">
      <c r="A293" s="16" t="n"/>
      <c r="B293" s="16" t="n"/>
      <c r="C293" s="16" t="n"/>
      <c r="D293" s="16" t="n"/>
      <c r="E293" s="16" t="n"/>
      <c r="F293" s="9" t="n"/>
      <c r="G293" s="18" t="n"/>
      <c r="H293" s="16" t="n"/>
      <c r="I293" s="25" t="n"/>
      <c r="J293" s="20">
        <f>IF(OR(G293="",I293=""),"",ROUND(G293*I293,2))</f>
        <v/>
      </c>
      <c r="K293" s="19" t="n"/>
      <c r="L293" s="21">
        <f>IF(OR(J293="",K293=""),"",IF(ABS(J293-K293)&gt;0.01,"MISMATCH","OK"))</f>
        <v/>
      </c>
      <c r="M293" s="16" t="n"/>
      <c r="N293" s="16" t="n"/>
      <c r="O293" s="16" t="n"/>
      <c r="P293" s="9" t="n"/>
      <c r="Q293" s="9" t="n"/>
    </row>
    <row r="294">
      <c r="A294" s="16" t="n"/>
      <c r="B294" s="16" t="n"/>
      <c r="C294" s="16" t="n"/>
      <c r="D294" s="16" t="n"/>
      <c r="E294" s="16" t="n"/>
      <c r="F294" s="9" t="n"/>
      <c r="G294" s="18" t="n"/>
      <c r="H294" s="16" t="n"/>
      <c r="I294" s="25" t="n"/>
      <c r="J294" s="20">
        <f>IF(OR(G294="",I294=""),"",ROUND(G294*I294,2))</f>
        <v/>
      </c>
      <c r="K294" s="19" t="n"/>
      <c r="L294" s="21">
        <f>IF(OR(J294="",K294=""),"",IF(ABS(J294-K294)&gt;0.01,"MISMATCH","OK"))</f>
        <v/>
      </c>
      <c r="M294" s="16" t="n"/>
      <c r="N294" s="16" t="n"/>
      <c r="O294" s="16" t="n"/>
      <c r="P294" s="9" t="n"/>
      <c r="Q294" s="9" t="n"/>
    </row>
    <row r="295">
      <c r="A295" s="16" t="n"/>
      <c r="B295" s="16" t="n"/>
      <c r="C295" s="16" t="n"/>
      <c r="D295" s="16" t="n"/>
      <c r="E295" s="16" t="n"/>
      <c r="F295" s="9" t="n"/>
      <c r="G295" s="18" t="n"/>
      <c r="H295" s="16" t="n"/>
      <c r="I295" s="25" t="n"/>
      <c r="J295" s="20">
        <f>IF(OR(G295="",I295=""),"",ROUND(G295*I295,2))</f>
        <v/>
      </c>
      <c r="K295" s="19" t="n"/>
      <c r="L295" s="21">
        <f>IF(OR(J295="",K295=""),"",IF(ABS(J295-K295)&gt;0.01,"MISMATCH","OK"))</f>
        <v/>
      </c>
      <c r="M295" s="16" t="n"/>
      <c r="N295" s="16" t="n"/>
      <c r="O295" s="16" t="n"/>
      <c r="P295" s="9" t="n"/>
      <c r="Q295" s="9" t="n"/>
    </row>
    <row r="296">
      <c r="A296" s="16" t="n"/>
      <c r="B296" s="16" t="n"/>
      <c r="C296" s="16" t="n"/>
      <c r="D296" s="16" t="n"/>
      <c r="E296" s="16" t="n"/>
      <c r="F296" s="9" t="n"/>
      <c r="G296" s="18" t="n"/>
      <c r="H296" s="16" t="n"/>
      <c r="I296" s="25" t="n"/>
      <c r="J296" s="20">
        <f>IF(OR(G296="",I296=""),"",ROUND(G296*I296,2))</f>
        <v/>
      </c>
      <c r="K296" s="19" t="n"/>
      <c r="L296" s="21">
        <f>IF(OR(J296="",K296=""),"",IF(ABS(J296-K296)&gt;0.01,"MISMATCH","OK"))</f>
        <v/>
      </c>
      <c r="M296" s="16" t="n"/>
      <c r="N296" s="16" t="n"/>
      <c r="O296" s="16" t="n"/>
      <c r="P296" s="9" t="n"/>
      <c r="Q296" s="9" t="n"/>
    </row>
    <row r="297">
      <c r="A297" s="16" t="n"/>
      <c r="B297" s="16" t="n"/>
      <c r="C297" s="16" t="n"/>
      <c r="D297" s="16" t="n"/>
      <c r="E297" s="16" t="n"/>
      <c r="F297" s="9" t="n"/>
      <c r="G297" s="18" t="n"/>
      <c r="H297" s="16" t="n"/>
      <c r="I297" s="25" t="n"/>
      <c r="J297" s="20">
        <f>IF(OR(G297="",I297=""),"",ROUND(G297*I297,2))</f>
        <v/>
      </c>
      <c r="K297" s="19" t="n"/>
      <c r="L297" s="21">
        <f>IF(OR(J297="",K297=""),"",IF(ABS(J297-K297)&gt;0.01,"MISMATCH","OK"))</f>
        <v/>
      </c>
      <c r="M297" s="16" t="n"/>
      <c r="N297" s="16" t="n"/>
      <c r="O297" s="16" t="n"/>
      <c r="P297" s="9" t="n"/>
      <c r="Q297" s="9" t="n"/>
    </row>
    <row r="298">
      <c r="A298" s="16" t="n"/>
      <c r="B298" s="16" t="n"/>
      <c r="C298" s="16" t="n"/>
      <c r="D298" s="16" t="n"/>
      <c r="E298" s="16" t="n"/>
      <c r="F298" s="9" t="n"/>
      <c r="G298" s="18" t="n"/>
      <c r="H298" s="16" t="n"/>
      <c r="I298" s="25" t="n"/>
      <c r="J298" s="20">
        <f>IF(OR(G298="",I298=""),"",ROUND(G298*I298,2))</f>
        <v/>
      </c>
      <c r="K298" s="19" t="n"/>
      <c r="L298" s="21">
        <f>IF(OR(J298="",K298=""),"",IF(ABS(J298-K298)&gt;0.01,"MISMATCH","OK"))</f>
        <v/>
      </c>
      <c r="M298" s="16" t="n"/>
      <c r="N298" s="16" t="n"/>
      <c r="O298" s="16" t="n"/>
      <c r="P298" s="9" t="n"/>
      <c r="Q298" s="9" t="n"/>
    </row>
    <row r="299">
      <c r="A299" s="16" t="n"/>
      <c r="B299" s="16" t="n"/>
      <c r="C299" s="16" t="n"/>
      <c r="D299" s="16" t="n"/>
      <c r="E299" s="16" t="n"/>
      <c r="F299" s="9" t="n"/>
      <c r="G299" s="18" t="n"/>
      <c r="H299" s="16" t="n"/>
      <c r="I299" s="25" t="n"/>
      <c r="J299" s="20">
        <f>IF(OR(G299="",I299=""),"",ROUND(G299*I299,2))</f>
        <v/>
      </c>
      <c r="K299" s="19" t="n"/>
      <c r="L299" s="21">
        <f>IF(OR(J299="",K299=""),"",IF(ABS(J299-K299)&gt;0.01,"MISMATCH","OK"))</f>
        <v/>
      </c>
      <c r="M299" s="16" t="n"/>
      <c r="N299" s="16" t="n"/>
      <c r="O299" s="16" t="n"/>
      <c r="P299" s="9" t="n"/>
      <c r="Q299" s="9" t="n"/>
    </row>
    <row r="300">
      <c r="A300" s="16" t="n"/>
      <c r="B300" s="16" t="n"/>
      <c r="C300" s="16" t="n"/>
      <c r="D300" s="16" t="n"/>
      <c r="E300" s="16" t="n"/>
      <c r="F300" s="9" t="n"/>
      <c r="G300" s="18" t="n"/>
      <c r="H300" s="16" t="n"/>
      <c r="I300" s="25" t="n"/>
      <c r="J300" s="20">
        <f>IF(OR(G300="",I300=""),"",ROUND(G300*I300,2))</f>
        <v/>
      </c>
      <c r="K300" s="19" t="n"/>
      <c r="L300" s="21">
        <f>IF(OR(J300="",K300=""),"",IF(ABS(J300-K300)&gt;0.01,"MISMATCH","OK"))</f>
        <v/>
      </c>
      <c r="M300" s="16" t="n"/>
      <c r="N300" s="16" t="n"/>
      <c r="O300" s="16" t="n"/>
      <c r="P300" s="9" t="n"/>
      <c r="Q300" s="9" t="n"/>
    </row>
    <row r="301">
      <c r="A301" s="16" t="n"/>
      <c r="B301" s="16" t="n"/>
      <c r="C301" s="16" t="n"/>
      <c r="D301" s="16" t="n"/>
      <c r="E301" s="16" t="n"/>
      <c r="F301" s="9" t="n"/>
      <c r="G301" s="18" t="n"/>
      <c r="H301" s="16" t="n"/>
      <c r="I301" s="25" t="n"/>
      <c r="J301" s="20">
        <f>IF(OR(G301="",I301=""),"",ROUND(G301*I301,2))</f>
        <v/>
      </c>
      <c r="K301" s="19" t="n"/>
      <c r="L301" s="21">
        <f>IF(OR(J301="",K301=""),"",IF(ABS(J301-K301)&gt;0.01,"MISMATCH","OK"))</f>
        <v/>
      </c>
      <c r="M301" s="16" t="n"/>
      <c r="N301" s="16" t="n"/>
      <c r="O301" s="16" t="n"/>
      <c r="P301" s="9" t="n"/>
      <c r="Q301" s="9" t="n"/>
    </row>
    <row r="302">
      <c r="A302" s="16" t="n"/>
      <c r="B302" s="16" t="n"/>
      <c r="C302" s="16" t="n"/>
      <c r="D302" s="16" t="n"/>
      <c r="E302" s="16" t="n"/>
      <c r="F302" s="9" t="n"/>
      <c r="G302" s="18" t="n"/>
      <c r="H302" s="16" t="n"/>
      <c r="I302" s="25" t="n"/>
      <c r="J302" s="20">
        <f>IF(OR(G302="",I302=""),"",ROUND(G302*I302,2))</f>
        <v/>
      </c>
      <c r="K302" s="19" t="n"/>
      <c r="L302" s="21">
        <f>IF(OR(J302="",K302=""),"",IF(ABS(J302-K302)&gt;0.01,"MISMATCH","OK"))</f>
        <v/>
      </c>
      <c r="M302" s="16" t="n"/>
      <c r="N302" s="16" t="n"/>
      <c r="O302" s="16" t="n"/>
      <c r="P302" s="9" t="n"/>
      <c r="Q302" s="9" t="n"/>
    </row>
    <row r="303">
      <c r="A303" s="16" t="n"/>
      <c r="B303" s="16" t="n"/>
      <c r="C303" s="16" t="n"/>
      <c r="D303" s="16" t="n"/>
      <c r="E303" s="16" t="n"/>
      <c r="F303" s="9" t="n"/>
      <c r="G303" s="18" t="n"/>
      <c r="H303" s="16" t="n"/>
      <c r="I303" s="25" t="n"/>
      <c r="J303" s="20">
        <f>IF(OR(G303="",I303=""),"",ROUND(G303*I303,2))</f>
        <v/>
      </c>
      <c r="K303" s="19" t="n"/>
      <c r="L303" s="21">
        <f>IF(OR(J303="",K303=""),"",IF(ABS(J303-K303)&gt;0.01,"MISMATCH","OK"))</f>
        <v/>
      </c>
      <c r="M303" s="16" t="n"/>
      <c r="N303" s="16" t="n"/>
      <c r="O303" s="16" t="n"/>
      <c r="P303" s="9" t="n"/>
      <c r="Q303" s="9" t="n"/>
    </row>
    <row r="304">
      <c r="A304" s="16" t="n"/>
      <c r="B304" s="16" t="n"/>
      <c r="C304" s="16" t="n"/>
      <c r="D304" s="16" t="n"/>
      <c r="E304" s="16" t="n"/>
      <c r="F304" s="9" t="n"/>
      <c r="G304" s="18" t="n"/>
      <c r="H304" s="16" t="n"/>
      <c r="I304" s="25" t="n"/>
      <c r="J304" s="20">
        <f>IF(OR(G304="",I304=""),"",ROUND(G304*I304,2))</f>
        <v/>
      </c>
      <c r="K304" s="19" t="n"/>
      <c r="L304" s="21">
        <f>IF(OR(J304="",K304=""),"",IF(ABS(J304-K304)&gt;0.01,"MISMATCH","OK"))</f>
        <v/>
      </c>
      <c r="M304" s="16" t="n"/>
      <c r="N304" s="16" t="n"/>
      <c r="O304" s="16" t="n"/>
      <c r="P304" s="9" t="n"/>
      <c r="Q304" s="9" t="n"/>
    </row>
    <row r="305">
      <c r="A305" s="16" t="n"/>
      <c r="B305" s="16" t="n"/>
      <c r="C305" s="16" t="n"/>
      <c r="D305" s="16" t="n"/>
      <c r="E305" s="16" t="n"/>
      <c r="F305" s="9" t="n"/>
      <c r="G305" s="18" t="n"/>
      <c r="H305" s="16" t="n"/>
      <c r="I305" s="25" t="n"/>
      <c r="J305" s="20">
        <f>IF(OR(G305="",I305=""),"",ROUND(G305*I305,2))</f>
        <v/>
      </c>
      <c r="K305" s="19" t="n"/>
      <c r="L305" s="21">
        <f>IF(OR(J305="",K305=""),"",IF(ABS(J305-K305)&gt;0.01,"MISMATCH","OK"))</f>
        <v/>
      </c>
      <c r="M305" s="16" t="n"/>
      <c r="N305" s="16" t="n"/>
      <c r="O305" s="16" t="n"/>
      <c r="P305" s="9" t="n"/>
      <c r="Q305" s="9" t="n"/>
    </row>
    <row r="307">
      <c r="A307" s="8" t="inlineStr">
        <is>
          <t>TOTAL</t>
        </is>
      </c>
      <c r="J307" s="22">
        <f>SUM(J6:J305)</f>
        <v/>
      </c>
      <c r="K307" s="22">
        <f>SUM(K6:K305)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Q305"/>
  <mergeCells count="1">
    <mergeCell ref="A2:Q2"/>
  </mergeCells>
  <conditionalFormatting sqref="L6:L305">
    <cfRule type="cellIs" priority="1" operator="equal" dxfId="1">
      <formula>"MISMATCH"</formula>
    </cfRule>
  </conditionalFormatting>
  <conditionalFormatting sqref="N6:N305">
    <cfRule type="expression" priority="2" dxfId="0">
      <formula>OR(N6="Pending Review",N6="Draft",N6="Needs Review",N6="Suggested")</formula>
    </cfRule>
    <cfRule type="expression" priority="3" dxfId="1">
      <formula>OR(N6="Rejected",N6="Expired")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V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46" customWidth="1" min="4" max="4"/>
    <col width="40" customWidth="1" min="5" max="5"/>
    <col width="8" customWidth="1" min="6" max="6"/>
    <col width="16" customWidth="1" min="7" max="7"/>
    <col width="9" customWidth="1" min="8" max="8"/>
    <col width="24" customWidth="1" min="9" max="9"/>
    <col width="18" customWidth="1" min="10" max="10"/>
    <col width="12" customWidth="1" min="11" max="11"/>
    <col width="12" customWidth="1" min="12" max="12"/>
    <col width="18" customWidth="1" min="13" max="13"/>
    <col width="30" customWidth="1" min="14" max="14"/>
    <col width="11" customWidth="1" min="15" max="15"/>
    <col width="12" customWidth="1" min="16" max="16"/>
    <col width="16" customWidth="1" min="17" max="17"/>
    <col width="24" customWidth="1" min="18" max="18"/>
    <col width="10" customWidth="1" min="19" max="19"/>
    <col width="13" customWidth="1" min="20" max="20"/>
    <col width="13" customWidth="1" min="21" max="21"/>
    <col width="34" customWidth="1" min="22" max="22"/>
  </cols>
  <sheetData>
    <row r="1">
      <c r="A1" s="4" t="inlineStr">
        <is>
          <t>Labour Library</t>
        </is>
      </c>
    </row>
    <row r="2" ht="48" customHeight="1">
      <c r="A2" s="3" t="inlineStr">
        <is>
          <t>Resource definitions with their current APPROVED rate (blue, read-only). Enter a proposed rate in the yellow columns: it is imported as a Draft proposal and needs review/approval in the application. A blank rate means the rate is MISSING - it is never treated as zero.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cost_code</t>
        </is>
      </c>
      <c r="C4" t="inlineStr">
        <is>
          <t>category</t>
        </is>
      </c>
      <c r="D4" t="inlineStr">
        <is>
          <t>description</t>
        </is>
      </c>
      <c r="E4" t="inlineStr">
        <is>
          <t>specification</t>
        </is>
      </c>
      <c r="F4" t="inlineStr">
        <is>
          <t>unit</t>
        </is>
      </c>
      <c r="G4" t="inlineStr">
        <is>
          <t>rate</t>
        </is>
      </c>
      <c r="H4" t="inlineStr">
        <is>
          <t>currency</t>
        </is>
      </c>
      <c r="I4" t="inlineStr">
        <is>
          <t>rate_type</t>
        </is>
      </c>
      <c r="J4" t="inlineStr">
        <is>
          <t>rate_status</t>
        </is>
      </c>
      <c r="K4" t="inlineStr">
        <is>
          <t>price_date</t>
        </is>
      </c>
      <c r="L4" t="inlineStr">
        <is>
          <t>valid_until</t>
        </is>
      </c>
      <c r="M4" t="inlineStr">
        <is>
          <t>supplier</t>
        </is>
      </c>
      <c r="N4" t="inlineStr">
        <is>
          <t>evidence</t>
        </is>
      </c>
      <c r="O4" t="inlineStr">
        <is>
          <t>confidence</t>
        </is>
      </c>
      <c r="P4" t="inlineStr">
        <is>
          <t>region</t>
        </is>
      </c>
      <c r="Q4" t="inlineStr">
        <is>
          <t>new_rate</t>
        </is>
      </c>
      <c r="R4" t="inlineStr">
        <is>
          <t>new_rate_type</t>
        </is>
      </c>
      <c r="S4" t="inlineStr">
        <is>
          <t>new_currency</t>
        </is>
      </c>
      <c r="T4" t="inlineStr">
        <is>
          <t>new_price_date</t>
        </is>
      </c>
      <c r="U4" t="inlineStr">
        <is>
          <t>new_valid_until</t>
        </is>
      </c>
      <c r="V4" t="inlineStr">
        <is>
          <t>new_evidence</t>
        </is>
      </c>
    </row>
    <row r="5" ht="34" customHeight="1">
      <c r="A5" s="15" t="inlineStr">
        <is>
          <t>Resource ID</t>
        </is>
      </c>
      <c r="B5" s="15" t="inlineStr">
        <is>
          <t>Cost code</t>
        </is>
      </c>
      <c r="C5" s="15" t="inlineStr">
        <is>
          <t>Category</t>
        </is>
      </c>
      <c r="D5" s="15" t="inlineStr">
        <is>
          <t>Description</t>
        </is>
      </c>
      <c r="E5" s="15" t="inlineStr">
        <is>
          <t>Specification</t>
        </is>
      </c>
      <c r="F5" s="15" t="inlineStr">
        <is>
          <t>Unit</t>
        </is>
      </c>
      <c r="G5" s="15" t="inlineStr">
        <is>
          <t>Current approved rate</t>
        </is>
      </c>
      <c r="H5" s="15" t="inlineStr">
        <is>
          <t>Currency</t>
        </is>
      </c>
      <c r="I5" s="15" t="inlineStr">
        <is>
          <t>Rate type</t>
        </is>
      </c>
      <c r="J5" s="15" t="inlineStr">
        <is>
          <t>Rate status</t>
        </is>
      </c>
      <c r="K5" s="15" t="inlineStr">
        <is>
          <t>Price date</t>
        </is>
      </c>
      <c r="L5" s="15" t="inlineStr">
        <is>
          <t>Valid until</t>
        </is>
      </c>
      <c r="M5" s="15" t="inlineStr">
        <is>
          <t>Supplier</t>
        </is>
      </c>
      <c r="N5" s="15" t="inlineStr">
        <is>
          <t>Source / evidence</t>
        </is>
      </c>
      <c r="O5" s="15" t="inlineStr">
        <is>
          <t>Confidence</t>
        </is>
      </c>
      <c r="P5" s="15" t="inlineStr">
        <is>
          <t>Region</t>
        </is>
      </c>
      <c r="Q5" s="15" t="inlineStr">
        <is>
          <t>PROPOSED new rate</t>
        </is>
      </c>
      <c r="R5" s="15" t="inlineStr">
        <is>
          <t>Proposed rate type</t>
        </is>
      </c>
      <c r="S5" s="15" t="inlineStr">
        <is>
          <t>Proposed currency</t>
        </is>
      </c>
      <c r="T5" s="15" t="inlineStr">
        <is>
          <t>Proposed price date</t>
        </is>
      </c>
      <c r="U5" s="15" t="inlineStr">
        <is>
          <t>Proposed valid until</t>
        </is>
      </c>
      <c r="V5" s="15" t="inlineStr">
        <is>
          <t>Proposed source / evidence</t>
        </is>
      </c>
    </row>
    <row r="6">
      <c r="A6" s="16" t="n"/>
      <c r="B6" s="17" t="n"/>
      <c r="C6" s="17" t="n"/>
      <c r="D6" s="10" t="n"/>
      <c r="E6" s="10" t="n"/>
      <c r="F6" s="17" t="n"/>
      <c r="G6" s="19" t="n"/>
      <c r="H6" s="16" t="n"/>
      <c r="I6" s="16" t="n"/>
      <c r="J6" s="16" t="n"/>
      <c r="K6" s="26" t="n"/>
      <c r="L6" s="26" t="n"/>
      <c r="M6" s="16" t="n"/>
      <c r="N6" s="9" t="n"/>
      <c r="O6" s="16" t="n"/>
      <c r="P6" s="16" t="n"/>
      <c r="Q6" s="24" t="n"/>
      <c r="R6" s="17" t="n"/>
      <c r="S6" s="17" t="n"/>
      <c r="T6" s="27" t="n"/>
      <c r="U6" s="27" t="n"/>
      <c r="V6" s="10" t="n"/>
    </row>
    <row r="7">
      <c r="A7" s="16" t="n"/>
      <c r="B7" s="17" t="n"/>
      <c r="C7" s="17" t="n"/>
      <c r="D7" s="10" t="n"/>
      <c r="E7" s="10" t="n"/>
      <c r="F7" s="17" t="n"/>
      <c r="G7" s="19" t="n"/>
      <c r="H7" s="16" t="n"/>
      <c r="I7" s="16" t="n"/>
      <c r="J7" s="16" t="n"/>
      <c r="K7" s="26" t="n"/>
      <c r="L7" s="26" t="n"/>
      <c r="M7" s="16" t="n"/>
      <c r="N7" s="9" t="n"/>
      <c r="O7" s="16" t="n"/>
      <c r="P7" s="16" t="n"/>
      <c r="Q7" s="24" t="n"/>
      <c r="R7" s="17" t="n"/>
      <c r="S7" s="17" t="n"/>
      <c r="T7" s="27" t="n"/>
      <c r="U7" s="27" t="n"/>
      <c r="V7" s="10" t="n"/>
    </row>
    <row r="8">
      <c r="A8" s="16" t="n"/>
      <c r="B8" s="17" t="n"/>
      <c r="C8" s="17" t="n"/>
      <c r="D8" s="10" t="n"/>
      <c r="E8" s="10" t="n"/>
      <c r="F8" s="17" t="n"/>
      <c r="G8" s="19" t="n"/>
      <c r="H8" s="16" t="n"/>
      <c r="I8" s="16" t="n"/>
      <c r="J8" s="16" t="n"/>
      <c r="K8" s="26" t="n"/>
      <c r="L8" s="26" t="n"/>
      <c r="M8" s="16" t="n"/>
      <c r="N8" s="9" t="n"/>
      <c r="O8" s="16" t="n"/>
      <c r="P8" s="16" t="n"/>
      <c r="Q8" s="24" t="n"/>
      <c r="R8" s="17" t="n"/>
      <c r="S8" s="17" t="n"/>
      <c r="T8" s="27" t="n"/>
      <c r="U8" s="27" t="n"/>
      <c r="V8" s="10" t="n"/>
    </row>
    <row r="9">
      <c r="A9" s="16" t="n"/>
      <c r="B9" s="17" t="n"/>
      <c r="C9" s="17" t="n"/>
      <c r="D9" s="10" t="n"/>
      <c r="E9" s="10" t="n"/>
      <c r="F9" s="17" t="n"/>
      <c r="G9" s="19" t="n"/>
      <c r="H9" s="16" t="n"/>
      <c r="I9" s="16" t="n"/>
      <c r="J9" s="16" t="n"/>
      <c r="K9" s="26" t="n"/>
      <c r="L9" s="26" t="n"/>
      <c r="M9" s="16" t="n"/>
      <c r="N9" s="9" t="n"/>
      <c r="O9" s="16" t="n"/>
      <c r="P9" s="16" t="n"/>
      <c r="Q9" s="24" t="n"/>
      <c r="R9" s="17" t="n"/>
      <c r="S9" s="17" t="n"/>
      <c r="T9" s="27" t="n"/>
      <c r="U9" s="27" t="n"/>
      <c r="V9" s="10" t="n"/>
    </row>
    <row r="10">
      <c r="A10" s="16" t="n"/>
      <c r="B10" s="17" t="n"/>
      <c r="C10" s="17" t="n"/>
      <c r="D10" s="10" t="n"/>
      <c r="E10" s="10" t="n"/>
      <c r="F10" s="17" t="n"/>
      <c r="G10" s="19" t="n"/>
      <c r="H10" s="16" t="n"/>
      <c r="I10" s="16" t="n"/>
      <c r="J10" s="16" t="n"/>
      <c r="K10" s="26" t="n"/>
      <c r="L10" s="26" t="n"/>
      <c r="M10" s="16" t="n"/>
      <c r="N10" s="9" t="n"/>
      <c r="O10" s="16" t="n"/>
      <c r="P10" s="16" t="n"/>
      <c r="Q10" s="24" t="n"/>
      <c r="R10" s="17" t="n"/>
      <c r="S10" s="17" t="n"/>
      <c r="T10" s="27" t="n"/>
      <c r="U10" s="27" t="n"/>
      <c r="V10" s="10" t="n"/>
    </row>
    <row r="11">
      <c r="A11" s="16" t="n"/>
      <c r="B11" s="17" t="n"/>
      <c r="C11" s="17" t="n"/>
      <c r="D11" s="10" t="n"/>
      <c r="E11" s="10" t="n"/>
      <c r="F11" s="17" t="n"/>
      <c r="G11" s="19" t="n"/>
      <c r="H11" s="16" t="n"/>
      <c r="I11" s="16" t="n"/>
      <c r="J11" s="16" t="n"/>
      <c r="K11" s="26" t="n"/>
      <c r="L11" s="26" t="n"/>
      <c r="M11" s="16" t="n"/>
      <c r="N11" s="9" t="n"/>
      <c r="O11" s="16" t="n"/>
      <c r="P11" s="16" t="n"/>
      <c r="Q11" s="24" t="n"/>
      <c r="R11" s="17" t="n"/>
      <c r="S11" s="17" t="n"/>
      <c r="T11" s="27" t="n"/>
      <c r="U11" s="27" t="n"/>
      <c r="V11" s="10" t="n"/>
    </row>
    <row r="12">
      <c r="A12" s="16" t="n"/>
      <c r="B12" s="17" t="n"/>
      <c r="C12" s="17" t="n"/>
      <c r="D12" s="10" t="n"/>
      <c r="E12" s="10" t="n"/>
      <c r="F12" s="17" t="n"/>
      <c r="G12" s="19" t="n"/>
      <c r="H12" s="16" t="n"/>
      <c r="I12" s="16" t="n"/>
      <c r="J12" s="16" t="n"/>
      <c r="K12" s="26" t="n"/>
      <c r="L12" s="26" t="n"/>
      <c r="M12" s="16" t="n"/>
      <c r="N12" s="9" t="n"/>
      <c r="O12" s="16" t="n"/>
      <c r="P12" s="16" t="n"/>
      <c r="Q12" s="24" t="n"/>
      <c r="R12" s="17" t="n"/>
      <c r="S12" s="17" t="n"/>
      <c r="T12" s="27" t="n"/>
      <c r="U12" s="27" t="n"/>
      <c r="V12" s="10" t="n"/>
    </row>
    <row r="13">
      <c r="A13" s="16" t="n"/>
      <c r="B13" s="17" t="n"/>
      <c r="C13" s="17" t="n"/>
      <c r="D13" s="10" t="n"/>
      <c r="E13" s="10" t="n"/>
      <c r="F13" s="17" t="n"/>
      <c r="G13" s="19" t="n"/>
      <c r="H13" s="16" t="n"/>
      <c r="I13" s="16" t="n"/>
      <c r="J13" s="16" t="n"/>
      <c r="K13" s="26" t="n"/>
      <c r="L13" s="26" t="n"/>
      <c r="M13" s="16" t="n"/>
      <c r="N13" s="9" t="n"/>
      <c r="O13" s="16" t="n"/>
      <c r="P13" s="16" t="n"/>
      <c r="Q13" s="24" t="n"/>
      <c r="R13" s="17" t="n"/>
      <c r="S13" s="17" t="n"/>
      <c r="T13" s="27" t="n"/>
      <c r="U13" s="27" t="n"/>
      <c r="V13" s="10" t="n"/>
    </row>
    <row r="14">
      <c r="A14" s="16" t="n"/>
      <c r="B14" s="17" t="n"/>
      <c r="C14" s="17" t="n"/>
      <c r="D14" s="10" t="n"/>
      <c r="E14" s="10" t="n"/>
      <c r="F14" s="17" t="n"/>
      <c r="G14" s="19" t="n"/>
      <c r="H14" s="16" t="n"/>
      <c r="I14" s="16" t="n"/>
      <c r="J14" s="16" t="n"/>
      <c r="K14" s="26" t="n"/>
      <c r="L14" s="26" t="n"/>
      <c r="M14" s="16" t="n"/>
      <c r="N14" s="9" t="n"/>
      <c r="O14" s="16" t="n"/>
      <c r="P14" s="16" t="n"/>
      <c r="Q14" s="24" t="n"/>
      <c r="R14" s="17" t="n"/>
      <c r="S14" s="17" t="n"/>
      <c r="T14" s="27" t="n"/>
      <c r="U14" s="27" t="n"/>
      <c r="V14" s="10" t="n"/>
    </row>
    <row r="15">
      <c r="A15" s="16" t="n"/>
      <c r="B15" s="17" t="n"/>
      <c r="C15" s="17" t="n"/>
      <c r="D15" s="10" t="n"/>
      <c r="E15" s="10" t="n"/>
      <c r="F15" s="17" t="n"/>
      <c r="G15" s="19" t="n"/>
      <c r="H15" s="16" t="n"/>
      <c r="I15" s="16" t="n"/>
      <c r="J15" s="16" t="n"/>
      <c r="K15" s="26" t="n"/>
      <c r="L15" s="26" t="n"/>
      <c r="M15" s="16" t="n"/>
      <c r="N15" s="9" t="n"/>
      <c r="O15" s="16" t="n"/>
      <c r="P15" s="16" t="n"/>
      <c r="Q15" s="24" t="n"/>
      <c r="R15" s="17" t="n"/>
      <c r="S15" s="17" t="n"/>
      <c r="T15" s="27" t="n"/>
      <c r="U15" s="27" t="n"/>
      <c r="V15" s="10" t="n"/>
    </row>
    <row r="16">
      <c r="A16" s="16" t="n"/>
      <c r="B16" s="17" t="n"/>
      <c r="C16" s="17" t="n"/>
      <c r="D16" s="10" t="n"/>
      <c r="E16" s="10" t="n"/>
      <c r="F16" s="17" t="n"/>
      <c r="G16" s="19" t="n"/>
      <c r="H16" s="16" t="n"/>
      <c r="I16" s="16" t="n"/>
      <c r="J16" s="16" t="n"/>
      <c r="K16" s="26" t="n"/>
      <c r="L16" s="26" t="n"/>
      <c r="M16" s="16" t="n"/>
      <c r="N16" s="9" t="n"/>
      <c r="O16" s="16" t="n"/>
      <c r="P16" s="16" t="n"/>
      <c r="Q16" s="24" t="n"/>
      <c r="R16" s="17" t="n"/>
      <c r="S16" s="17" t="n"/>
      <c r="T16" s="27" t="n"/>
      <c r="U16" s="27" t="n"/>
      <c r="V16" s="10" t="n"/>
    </row>
    <row r="17">
      <c r="A17" s="16" t="n"/>
      <c r="B17" s="17" t="n"/>
      <c r="C17" s="17" t="n"/>
      <c r="D17" s="10" t="n"/>
      <c r="E17" s="10" t="n"/>
      <c r="F17" s="17" t="n"/>
      <c r="G17" s="19" t="n"/>
      <c r="H17" s="16" t="n"/>
      <c r="I17" s="16" t="n"/>
      <c r="J17" s="16" t="n"/>
      <c r="K17" s="26" t="n"/>
      <c r="L17" s="26" t="n"/>
      <c r="M17" s="16" t="n"/>
      <c r="N17" s="9" t="n"/>
      <c r="O17" s="16" t="n"/>
      <c r="P17" s="16" t="n"/>
      <c r="Q17" s="24" t="n"/>
      <c r="R17" s="17" t="n"/>
      <c r="S17" s="17" t="n"/>
      <c r="T17" s="27" t="n"/>
      <c r="U17" s="27" t="n"/>
      <c r="V17" s="10" t="n"/>
    </row>
    <row r="18">
      <c r="A18" s="16" t="n"/>
      <c r="B18" s="17" t="n"/>
      <c r="C18" s="17" t="n"/>
      <c r="D18" s="10" t="n"/>
      <c r="E18" s="10" t="n"/>
      <c r="F18" s="17" t="n"/>
      <c r="G18" s="19" t="n"/>
      <c r="H18" s="16" t="n"/>
      <c r="I18" s="16" t="n"/>
      <c r="J18" s="16" t="n"/>
      <c r="K18" s="26" t="n"/>
      <c r="L18" s="26" t="n"/>
      <c r="M18" s="16" t="n"/>
      <c r="N18" s="9" t="n"/>
      <c r="O18" s="16" t="n"/>
      <c r="P18" s="16" t="n"/>
      <c r="Q18" s="24" t="n"/>
      <c r="R18" s="17" t="n"/>
      <c r="S18" s="17" t="n"/>
      <c r="T18" s="27" t="n"/>
      <c r="U18" s="27" t="n"/>
      <c r="V18" s="10" t="n"/>
    </row>
    <row r="19">
      <c r="A19" s="16" t="n"/>
      <c r="B19" s="17" t="n"/>
      <c r="C19" s="17" t="n"/>
      <c r="D19" s="10" t="n"/>
      <c r="E19" s="10" t="n"/>
      <c r="F19" s="17" t="n"/>
      <c r="G19" s="19" t="n"/>
      <c r="H19" s="16" t="n"/>
      <c r="I19" s="16" t="n"/>
      <c r="J19" s="16" t="n"/>
      <c r="K19" s="26" t="n"/>
      <c r="L19" s="26" t="n"/>
      <c r="M19" s="16" t="n"/>
      <c r="N19" s="9" t="n"/>
      <c r="O19" s="16" t="n"/>
      <c r="P19" s="16" t="n"/>
      <c r="Q19" s="24" t="n"/>
      <c r="R19" s="17" t="n"/>
      <c r="S19" s="17" t="n"/>
      <c r="T19" s="27" t="n"/>
      <c r="U19" s="27" t="n"/>
      <c r="V19" s="10" t="n"/>
    </row>
    <row r="20">
      <c r="A20" s="16" t="n"/>
      <c r="B20" s="17" t="n"/>
      <c r="C20" s="17" t="n"/>
      <c r="D20" s="10" t="n"/>
      <c r="E20" s="10" t="n"/>
      <c r="F20" s="17" t="n"/>
      <c r="G20" s="19" t="n"/>
      <c r="H20" s="16" t="n"/>
      <c r="I20" s="16" t="n"/>
      <c r="J20" s="16" t="n"/>
      <c r="K20" s="26" t="n"/>
      <c r="L20" s="26" t="n"/>
      <c r="M20" s="16" t="n"/>
      <c r="N20" s="9" t="n"/>
      <c r="O20" s="16" t="n"/>
      <c r="P20" s="16" t="n"/>
      <c r="Q20" s="24" t="n"/>
      <c r="R20" s="17" t="n"/>
      <c r="S20" s="17" t="n"/>
      <c r="T20" s="27" t="n"/>
      <c r="U20" s="27" t="n"/>
      <c r="V20" s="10" t="n"/>
    </row>
    <row r="21">
      <c r="A21" s="16" t="n"/>
      <c r="B21" s="17" t="n"/>
      <c r="C21" s="17" t="n"/>
      <c r="D21" s="10" t="n"/>
      <c r="E21" s="10" t="n"/>
      <c r="F21" s="17" t="n"/>
      <c r="G21" s="19" t="n"/>
      <c r="H21" s="16" t="n"/>
      <c r="I21" s="16" t="n"/>
      <c r="J21" s="16" t="n"/>
      <c r="K21" s="26" t="n"/>
      <c r="L21" s="26" t="n"/>
      <c r="M21" s="16" t="n"/>
      <c r="N21" s="9" t="n"/>
      <c r="O21" s="16" t="n"/>
      <c r="P21" s="16" t="n"/>
      <c r="Q21" s="24" t="n"/>
      <c r="R21" s="17" t="n"/>
      <c r="S21" s="17" t="n"/>
      <c r="T21" s="27" t="n"/>
      <c r="U21" s="27" t="n"/>
      <c r="V21" s="10" t="n"/>
    </row>
    <row r="22">
      <c r="A22" s="16" t="n"/>
      <c r="B22" s="17" t="n"/>
      <c r="C22" s="17" t="n"/>
      <c r="D22" s="10" t="n"/>
      <c r="E22" s="10" t="n"/>
      <c r="F22" s="17" t="n"/>
      <c r="G22" s="19" t="n"/>
      <c r="H22" s="16" t="n"/>
      <c r="I22" s="16" t="n"/>
      <c r="J22" s="16" t="n"/>
      <c r="K22" s="26" t="n"/>
      <c r="L22" s="26" t="n"/>
      <c r="M22" s="16" t="n"/>
      <c r="N22" s="9" t="n"/>
      <c r="O22" s="16" t="n"/>
      <c r="P22" s="16" t="n"/>
      <c r="Q22" s="24" t="n"/>
      <c r="R22" s="17" t="n"/>
      <c r="S22" s="17" t="n"/>
      <c r="T22" s="27" t="n"/>
      <c r="U22" s="27" t="n"/>
      <c r="V22" s="10" t="n"/>
    </row>
    <row r="23">
      <c r="A23" s="16" t="n"/>
      <c r="B23" s="17" t="n"/>
      <c r="C23" s="17" t="n"/>
      <c r="D23" s="10" t="n"/>
      <c r="E23" s="10" t="n"/>
      <c r="F23" s="17" t="n"/>
      <c r="G23" s="19" t="n"/>
      <c r="H23" s="16" t="n"/>
      <c r="I23" s="16" t="n"/>
      <c r="J23" s="16" t="n"/>
      <c r="K23" s="26" t="n"/>
      <c r="L23" s="26" t="n"/>
      <c r="M23" s="16" t="n"/>
      <c r="N23" s="9" t="n"/>
      <c r="O23" s="16" t="n"/>
      <c r="P23" s="16" t="n"/>
      <c r="Q23" s="24" t="n"/>
      <c r="R23" s="17" t="n"/>
      <c r="S23" s="17" t="n"/>
      <c r="T23" s="27" t="n"/>
      <c r="U23" s="27" t="n"/>
      <c r="V23" s="10" t="n"/>
    </row>
    <row r="24">
      <c r="A24" s="16" t="n"/>
      <c r="B24" s="17" t="n"/>
      <c r="C24" s="17" t="n"/>
      <c r="D24" s="10" t="n"/>
      <c r="E24" s="10" t="n"/>
      <c r="F24" s="17" t="n"/>
      <c r="G24" s="19" t="n"/>
      <c r="H24" s="16" t="n"/>
      <c r="I24" s="16" t="n"/>
      <c r="J24" s="16" t="n"/>
      <c r="K24" s="26" t="n"/>
      <c r="L24" s="26" t="n"/>
      <c r="M24" s="16" t="n"/>
      <c r="N24" s="9" t="n"/>
      <c r="O24" s="16" t="n"/>
      <c r="P24" s="16" t="n"/>
      <c r="Q24" s="24" t="n"/>
      <c r="R24" s="17" t="n"/>
      <c r="S24" s="17" t="n"/>
      <c r="T24" s="27" t="n"/>
      <c r="U24" s="27" t="n"/>
      <c r="V24" s="10" t="n"/>
    </row>
    <row r="25">
      <c r="A25" s="16" t="n"/>
      <c r="B25" s="17" t="n"/>
      <c r="C25" s="17" t="n"/>
      <c r="D25" s="10" t="n"/>
      <c r="E25" s="10" t="n"/>
      <c r="F25" s="17" t="n"/>
      <c r="G25" s="19" t="n"/>
      <c r="H25" s="16" t="n"/>
      <c r="I25" s="16" t="n"/>
      <c r="J25" s="16" t="n"/>
      <c r="K25" s="26" t="n"/>
      <c r="L25" s="26" t="n"/>
      <c r="M25" s="16" t="n"/>
      <c r="N25" s="9" t="n"/>
      <c r="O25" s="16" t="n"/>
      <c r="P25" s="16" t="n"/>
      <c r="Q25" s="24" t="n"/>
      <c r="R25" s="17" t="n"/>
      <c r="S25" s="17" t="n"/>
      <c r="T25" s="27" t="n"/>
      <c r="U25" s="27" t="n"/>
      <c r="V25" s="10" t="n"/>
    </row>
    <row r="26">
      <c r="A26" s="16" t="n"/>
      <c r="B26" s="17" t="n"/>
      <c r="C26" s="17" t="n"/>
      <c r="D26" s="10" t="n"/>
      <c r="E26" s="10" t="n"/>
      <c r="F26" s="17" t="n"/>
      <c r="G26" s="19" t="n"/>
      <c r="H26" s="16" t="n"/>
      <c r="I26" s="16" t="n"/>
      <c r="J26" s="16" t="n"/>
      <c r="K26" s="26" t="n"/>
      <c r="L26" s="26" t="n"/>
      <c r="M26" s="16" t="n"/>
      <c r="N26" s="9" t="n"/>
      <c r="O26" s="16" t="n"/>
      <c r="P26" s="16" t="n"/>
      <c r="Q26" s="24" t="n"/>
      <c r="R26" s="17" t="n"/>
      <c r="S26" s="17" t="n"/>
      <c r="T26" s="27" t="n"/>
      <c r="U26" s="27" t="n"/>
      <c r="V26" s="10" t="n"/>
    </row>
    <row r="27">
      <c r="A27" s="16" t="n"/>
      <c r="B27" s="17" t="n"/>
      <c r="C27" s="17" t="n"/>
      <c r="D27" s="10" t="n"/>
      <c r="E27" s="10" t="n"/>
      <c r="F27" s="17" t="n"/>
      <c r="G27" s="19" t="n"/>
      <c r="H27" s="16" t="n"/>
      <c r="I27" s="16" t="n"/>
      <c r="J27" s="16" t="n"/>
      <c r="K27" s="26" t="n"/>
      <c r="L27" s="26" t="n"/>
      <c r="M27" s="16" t="n"/>
      <c r="N27" s="9" t="n"/>
      <c r="O27" s="16" t="n"/>
      <c r="P27" s="16" t="n"/>
      <c r="Q27" s="24" t="n"/>
      <c r="R27" s="17" t="n"/>
      <c r="S27" s="17" t="n"/>
      <c r="T27" s="27" t="n"/>
      <c r="U27" s="27" t="n"/>
      <c r="V27" s="10" t="n"/>
    </row>
    <row r="28">
      <c r="A28" s="16" t="n"/>
      <c r="B28" s="17" t="n"/>
      <c r="C28" s="17" t="n"/>
      <c r="D28" s="10" t="n"/>
      <c r="E28" s="10" t="n"/>
      <c r="F28" s="17" t="n"/>
      <c r="G28" s="19" t="n"/>
      <c r="H28" s="16" t="n"/>
      <c r="I28" s="16" t="n"/>
      <c r="J28" s="16" t="n"/>
      <c r="K28" s="26" t="n"/>
      <c r="L28" s="26" t="n"/>
      <c r="M28" s="16" t="n"/>
      <c r="N28" s="9" t="n"/>
      <c r="O28" s="16" t="n"/>
      <c r="P28" s="16" t="n"/>
      <c r="Q28" s="24" t="n"/>
      <c r="R28" s="17" t="n"/>
      <c r="S28" s="17" t="n"/>
      <c r="T28" s="27" t="n"/>
      <c r="U28" s="27" t="n"/>
      <c r="V28" s="10" t="n"/>
    </row>
    <row r="29">
      <c r="A29" s="16" t="n"/>
      <c r="B29" s="17" t="n"/>
      <c r="C29" s="17" t="n"/>
      <c r="D29" s="10" t="n"/>
      <c r="E29" s="10" t="n"/>
      <c r="F29" s="17" t="n"/>
      <c r="G29" s="19" t="n"/>
      <c r="H29" s="16" t="n"/>
      <c r="I29" s="16" t="n"/>
      <c r="J29" s="16" t="n"/>
      <c r="K29" s="26" t="n"/>
      <c r="L29" s="26" t="n"/>
      <c r="M29" s="16" t="n"/>
      <c r="N29" s="9" t="n"/>
      <c r="O29" s="16" t="n"/>
      <c r="P29" s="16" t="n"/>
      <c r="Q29" s="24" t="n"/>
      <c r="R29" s="17" t="n"/>
      <c r="S29" s="17" t="n"/>
      <c r="T29" s="27" t="n"/>
      <c r="U29" s="27" t="n"/>
      <c r="V29" s="10" t="n"/>
    </row>
    <row r="30">
      <c r="A30" s="16" t="n"/>
      <c r="B30" s="17" t="n"/>
      <c r="C30" s="17" t="n"/>
      <c r="D30" s="10" t="n"/>
      <c r="E30" s="10" t="n"/>
      <c r="F30" s="17" t="n"/>
      <c r="G30" s="19" t="n"/>
      <c r="H30" s="16" t="n"/>
      <c r="I30" s="16" t="n"/>
      <c r="J30" s="16" t="n"/>
      <c r="K30" s="26" t="n"/>
      <c r="L30" s="26" t="n"/>
      <c r="M30" s="16" t="n"/>
      <c r="N30" s="9" t="n"/>
      <c r="O30" s="16" t="n"/>
      <c r="P30" s="16" t="n"/>
      <c r="Q30" s="24" t="n"/>
      <c r="R30" s="17" t="n"/>
      <c r="S30" s="17" t="n"/>
      <c r="T30" s="27" t="n"/>
      <c r="U30" s="27" t="n"/>
      <c r="V30" s="10" t="n"/>
    </row>
    <row r="31">
      <c r="A31" s="16" t="n"/>
      <c r="B31" s="17" t="n"/>
      <c r="C31" s="17" t="n"/>
      <c r="D31" s="10" t="n"/>
      <c r="E31" s="10" t="n"/>
      <c r="F31" s="17" t="n"/>
      <c r="G31" s="19" t="n"/>
      <c r="H31" s="16" t="n"/>
      <c r="I31" s="16" t="n"/>
      <c r="J31" s="16" t="n"/>
      <c r="K31" s="26" t="n"/>
      <c r="L31" s="26" t="n"/>
      <c r="M31" s="16" t="n"/>
      <c r="N31" s="9" t="n"/>
      <c r="O31" s="16" t="n"/>
      <c r="P31" s="16" t="n"/>
      <c r="Q31" s="24" t="n"/>
      <c r="R31" s="17" t="n"/>
      <c r="S31" s="17" t="n"/>
      <c r="T31" s="27" t="n"/>
      <c r="U31" s="27" t="n"/>
      <c r="V31" s="10" t="n"/>
    </row>
    <row r="32">
      <c r="A32" s="16" t="n"/>
      <c r="B32" s="17" t="n"/>
      <c r="C32" s="17" t="n"/>
      <c r="D32" s="10" t="n"/>
      <c r="E32" s="10" t="n"/>
      <c r="F32" s="17" t="n"/>
      <c r="G32" s="19" t="n"/>
      <c r="H32" s="16" t="n"/>
      <c r="I32" s="16" t="n"/>
      <c r="J32" s="16" t="n"/>
      <c r="K32" s="26" t="n"/>
      <c r="L32" s="26" t="n"/>
      <c r="M32" s="16" t="n"/>
      <c r="N32" s="9" t="n"/>
      <c r="O32" s="16" t="n"/>
      <c r="P32" s="16" t="n"/>
      <c r="Q32" s="24" t="n"/>
      <c r="R32" s="17" t="n"/>
      <c r="S32" s="17" t="n"/>
      <c r="T32" s="27" t="n"/>
      <c r="U32" s="27" t="n"/>
      <c r="V32" s="10" t="n"/>
    </row>
    <row r="33">
      <c r="A33" s="16" t="n"/>
      <c r="B33" s="17" t="n"/>
      <c r="C33" s="17" t="n"/>
      <c r="D33" s="10" t="n"/>
      <c r="E33" s="10" t="n"/>
      <c r="F33" s="17" t="n"/>
      <c r="G33" s="19" t="n"/>
      <c r="H33" s="16" t="n"/>
      <c r="I33" s="16" t="n"/>
      <c r="J33" s="16" t="n"/>
      <c r="K33" s="26" t="n"/>
      <c r="L33" s="26" t="n"/>
      <c r="M33" s="16" t="n"/>
      <c r="N33" s="9" t="n"/>
      <c r="O33" s="16" t="n"/>
      <c r="P33" s="16" t="n"/>
      <c r="Q33" s="24" t="n"/>
      <c r="R33" s="17" t="n"/>
      <c r="S33" s="17" t="n"/>
      <c r="T33" s="27" t="n"/>
      <c r="U33" s="27" t="n"/>
      <c r="V33" s="10" t="n"/>
    </row>
    <row r="34">
      <c r="A34" s="16" t="n"/>
      <c r="B34" s="17" t="n"/>
      <c r="C34" s="17" t="n"/>
      <c r="D34" s="10" t="n"/>
      <c r="E34" s="10" t="n"/>
      <c r="F34" s="17" t="n"/>
      <c r="G34" s="19" t="n"/>
      <c r="H34" s="16" t="n"/>
      <c r="I34" s="16" t="n"/>
      <c r="J34" s="16" t="n"/>
      <c r="K34" s="26" t="n"/>
      <c r="L34" s="26" t="n"/>
      <c r="M34" s="16" t="n"/>
      <c r="N34" s="9" t="n"/>
      <c r="O34" s="16" t="n"/>
      <c r="P34" s="16" t="n"/>
      <c r="Q34" s="24" t="n"/>
      <c r="R34" s="17" t="n"/>
      <c r="S34" s="17" t="n"/>
      <c r="T34" s="27" t="n"/>
      <c r="U34" s="27" t="n"/>
      <c r="V34" s="10" t="n"/>
    </row>
    <row r="35">
      <c r="A35" s="16" t="n"/>
      <c r="B35" s="17" t="n"/>
      <c r="C35" s="17" t="n"/>
      <c r="D35" s="10" t="n"/>
      <c r="E35" s="10" t="n"/>
      <c r="F35" s="17" t="n"/>
      <c r="G35" s="19" t="n"/>
      <c r="H35" s="16" t="n"/>
      <c r="I35" s="16" t="n"/>
      <c r="J35" s="16" t="n"/>
      <c r="K35" s="26" t="n"/>
      <c r="L35" s="26" t="n"/>
      <c r="M35" s="16" t="n"/>
      <c r="N35" s="9" t="n"/>
      <c r="O35" s="16" t="n"/>
      <c r="P35" s="16" t="n"/>
      <c r="Q35" s="24" t="n"/>
      <c r="R35" s="17" t="n"/>
      <c r="S35" s="17" t="n"/>
      <c r="T35" s="27" t="n"/>
      <c r="U35" s="27" t="n"/>
      <c r="V35" s="10" t="n"/>
    </row>
    <row r="36">
      <c r="A36" s="16" t="n"/>
      <c r="B36" s="17" t="n"/>
      <c r="C36" s="17" t="n"/>
      <c r="D36" s="10" t="n"/>
      <c r="E36" s="10" t="n"/>
      <c r="F36" s="17" t="n"/>
      <c r="G36" s="19" t="n"/>
      <c r="H36" s="16" t="n"/>
      <c r="I36" s="16" t="n"/>
      <c r="J36" s="16" t="n"/>
      <c r="K36" s="26" t="n"/>
      <c r="L36" s="26" t="n"/>
      <c r="M36" s="16" t="n"/>
      <c r="N36" s="9" t="n"/>
      <c r="O36" s="16" t="n"/>
      <c r="P36" s="16" t="n"/>
      <c r="Q36" s="24" t="n"/>
      <c r="R36" s="17" t="n"/>
      <c r="S36" s="17" t="n"/>
      <c r="T36" s="27" t="n"/>
      <c r="U36" s="27" t="n"/>
      <c r="V36" s="10" t="n"/>
    </row>
    <row r="37">
      <c r="A37" s="16" t="n"/>
      <c r="B37" s="17" t="n"/>
      <c r="C37" s="17" t="n"/>
      <c r="D37" s="10" t="n"/>
      <c r="E37" s="10" t="n"/>
      <c r="F37" s="17" t="n"/>
      <c r="G37" s="19" t="n"/>
      <c r="H37" s="16" t="n"/>
      <c r="I37" s="16" t="n"/>
      <c r="J37" s="16" t="n"/>
      <c r="K37" s="26" t="n"/>
      <c r="L37" s="26" t="n"/>
      <c r="M37" s="16" t="n"/>
      <c r="N37" s="9" t="n"/>
      <c r="O37" s="16" t="n"/>
      <c r="P37" s="16" t="n"/>
      <c r="Q37" s="24" t="n"/>
      <c r="R37" s="17" t="n"/>
      <c r="S37" s="17" t="n"/>
      <c r="T37" s="27" t="n"/>
      <c r="U37" s="27" t="n"/>
      <c r="V37" s="10" t="n"/>
    </row>
    <row r="38">
      <c r="A38" s="16" t="n"/>
      <c r="B38" s="17" t="n"/>
      <c r="C38" s="17" t="n"/>
      <c r="D38" s="10" t="n"/>
      <c r="E38" s="10" t="n"/>
      <c r="F38" s="17" t="n"/>
      <c r="G38" s="19" t="n"/>
      <c r="H38" s="16" t="n"/>
      <c r="I38" s="16" t="n"/>
      <c r="J38" s="16" t="n"/>
      <c r="K38" s="26" t="n"/>
      <c r="L38" s="26" t="n"/>
      <c r="M38" s="16" t="n"/>
      <c r="N38" s="9" t="n"/>
      <c r="O38" s="16" t="n"/>
      <c r="P38" s="16" t="n"/>
      <c r="Q38" s="24" t="n"/>
      <c r="R38" s="17" t="n"/>
      <c r="S38" s="17" t="n"/>
      <c r="T38" s="27" t="n"/>
      <c r="U38" s="27" t="n"/>
      <c r="V38" s="10" t="n"/>
    </row>
    <row r="39">
      <c r="A39" s="16" t="n"/>
      <c r="B39" s="17" t="n"/>
      <c r="C39" s="17" t="n"/>
      <c r="D39" s="10" t="n"/>
      <c r="E39" s="10" t="n"/>
      <c r="F39" s="17" t="n"/>
      <c r="G39" s="19" t="n"/>
      <c r="H39" s="16" t="n"/>
      <c r="I39" s="16" t="n"/>
      <c r="J39" s="16" t="n"/>
      <c r="K39" s="26" t="n"/>
      <c r="L39" s="26" t="n"/>
      <c r="M39" s="16" t="n"/>
      <c r="N39" s="9" t="n"/>
      <c r="O39" s="16" t="n"/>
      <c r="P39" s="16" t="n"/>
      <c r="Q39" s="24" t="n"/>
      <c r="R39" s="17" t="n"/>
      <c r="S39" s="17" t="n"/>
      <c r="T39" s="27" t="n"/>
      <c r="U39" s="27" t="n"/>
      <c r="V39" s="10" t="n"/>
    </row>
    <row r="40">
      <c r="A40" s="16" t="n"/>
      <c r="B40" s="17" t="n"/>
      <c r="C40" s="17" t="n"/>
      <c r="D40" s="10" t="n"/>
      <c r="E40" s="10" t="n"/>
      <c r="F40" s="17" t="n"/>
      <c r="G40" s="19" t="n"/>
      <c r="H40" s="16" t="n"/>
      <c r="I40" s="16" t="n"/>
      <c r="J40" s="16" t="n"/>
      <c r="K40" s="26" t="n"/>
      <c r="L40" s="26" t="n"/>
      <c r="M40" s="16" t="n"/>
      <c r="N40" s="9" t="n"/>
      <c r="O40" s="16" t="n"/>
      <c r="P40" s="16" t="n"/>
      <c r="Q40" s="24" t="n"/>
      <c r="R40" s="17" t="n"/>
      <c r="S40" s="17" t="n"/>
      <c r="T40" s="27" t="n"/>
      <c r="U40" s="27" t="n"/>
      <c r="V40" s="10" t="n"/>
    </row>
    <row r="41">
      <c r="A41" s="16" t="n"/>
      <c r="B41" s="17" t="n"/>
      <c r="C41" s="17" t="n"/>
      <c r="D41" s="10" t="n"/>
      <c r="E41" s="10" t="n"/>
      <c r="F41" s="17" t="n"/>
      <c r="G41" s="19" t="n"/>
      <c r="H41" s="16" t="n"/>
      <c r="I41" s="16" t="n"/>
      <c r="J41" s="16" t="n"/>
      <c r="K41" s="26" t="n"/>
      <c r="L41" s="26" t="n"/>
      <c r="M41" s="16" t="n"/>
      <c r="N41" s="9" t="n"/>
      <c r="O41" s="16" t="n"/>
      <c r="P41" s="16" t="n"/>
      <c r="Q41" s="24" t="n"/>
      <c r="R41" s="17" t="n"/>
      <c r="S41" s="17" t="n"/>
      <c r="T41" s="27" t="n"/>
      <c r="U41" s="27" t="n"/>
      <c r="V41" s="10" t="n"/>
    </row>
    <row r="42">
      <c r="A42" s="16" t="n"/>
      <c r="B42" s="17" t="n"/>
      <c r="C42" s="17" t="n"/>
      <c r="D42" s="10" t="n"/>
      <c r="E42" s="10" t="n"/>
      <c r="F42" s="17" t="n"/>
      <c r="G42" s="19" t="n"/>
      <c r="H42" s="16" t="n"/>
      <c r="I42" s="16" t="n"/>
      <c r="J42" s="16" t="n"/>
      <c r="K42" s="26" t="n"/>
      <c r="L42" s="26" t="n"/>
      <c r="M42" s="16" t="n"/>
      <c r="N42" s="9" t="n"/>
      <c r="O42" s="16" t="n"/>
      <c r="P42" s="16" t="n"/>
      <c r="Q42" s="24" t="n"/>
      <c r="R42" s="17" t="n"/>
      <c r="S42" s="17" t="n"/>
      <c r="T42" s="27" t="n"/>
      <c r="U42" s="27" t="n"/>
      <c r="V42" s="10" t="n"/>
    </row>
    <row r="43">
      <c r="A43" s="16" t="n"/>
      <c r="B43" s="17" t="n"/>
      <c r="C43" s="17" t="n"/>
      <c r="D43" s="10" t="n"/>
      <c r="E43" s="10" t="n"/>
      <c r="F43" s="17" t="n"/>
      <c r="G43" s="19" t="n"/>
      <c r="H43" s="16" t="n"/>
      <c r="I43" s="16" t="n"/>
      <c r="J43" s="16" t="n"/>
      <c r="K43" s="26" t="n"/>
      <c r="L43" s="26" t="n"/>
      <c r="M43" s="16" t="n"/>
      <c r="N43" s="9" t="n"/>
      <c r="O43" s="16" t="n"/>
      <c r="P43" s="16" t="n"/>
      <c r="Q43" s="24" t="n"/>
      <c r="R43" s="17" t="n"/>
      <c r="S43" s="17" t="n"/>
      <c r="T43" s="27" t="n"/>
      <c r="U43" s="27" t="n"/>
      <c r="V43" s="10" t="n"/>
    </row>
    <row r="44">
      <c r="A44" s="16" t="n"/>
      <c r="B44" s="17" t="n"/>
      <c r="C44" s="17" t="n"/>
      <c r="D44" s="10" t="n"/>
      <c r="E44" s="10" t="n"/>
      <c r="F44" s="17" t="n"/>
      <c r="G44" s="19" t="n"/>
      <c r="H44" s="16" t="n"/>
      <c r="I44" s="16" t="n"/>
      <c r="J44" s="16" t="n"/>
      <c r="K44" s="26" t="n"/>
      <c r="L44" s="26" t="n"/>
      <c r="M44" s="16" t="n"/>
      <c r="N44" s="9" t="n"/>
      <c r="O44" s="16" t="n"/>
      <c r="P44" s="16" t="n"/>
      <c r="Q44" s="24" t="n"/>
      <c r="R44" s="17" t="n"/>
      <c r="S44" s="17" t="n"/>
      <c r="T44" s="27" t="n"/>
      <c r="U44" s="27" t="n"/>
      <c r="V44" s="10" t="n"/>
    </row>
    <row r="45">
      <c r="A45" s="16" t="n"/>
      <c r="B45" s="17" t="n"/>
      <c r="C45" s="17" t="n"/>
      <c r="D45" s="10" t="n"/>
      <c r="E45" s="10" t="n"/>
      <c r="F45" s="17" t="n"/>
      <c r="G45" s="19" t="n"/>
      <c r="H45" s="16" t="n"/>
      <c r="I45" s="16" t="n"/>
      <c r="J45" s="16" t="n"/>
      <c r="K45" s="26" t="n"/>
      <c r="L45" s="26" t="n"/>
      <c r="M45" s="16" t="n"/>
      <c r="N45" s="9" t="n"/>
      <c r="O45" s="16" t="n"/>
      <c r="P45" s="16" t="n"/>
      <c r="Q45" s="24" t="n"/>
      <c r="R45" s="17" t="n"/>
      <c r="S45" s="17" t="n"/>
      <c r="T45" s="27" t="n"/>
      <c r="U45" s="27" t="n"/>
      <c r="V45" s="10" t="n"/>
    </row>
    <row r="46">
      <c r="A46" s="16" t="n"/>
      <c r="B46" s="17" t="n"/>
      <c r="C46" s="17" t="n"/>
      <c r="D46" s="10" t="n"/>
      <c r="E46" s="10" t="n"/>
      <c r="F46" s="17" t="n"/>
      <c r="G46" s="19" t="n"/>
      <c r="H46" s="16" t="n"/>
      <c r="I46" s="16" t="n"/>
      <c r="J46" s="16" t="n"/>
      <c r="K46" s="26" t="n"/>
      <c r="L46" s="26" t="n"/>
      <c r="M46" s="16" t="n"/>
      <c r="N46" s="9" t="n"/>
      <c r="O46" s="16" t="n"/>
      <c r="P46" s="16" t="n"/>
      <c r="Q46" s="24" t="n"/>
      <c r="R46" s="17" t="n"/>
      <c r="S46" s="17" t="n"/>
      <c r="T46" s="27" t="n"/>
      <c r="U46" s="27" t="n"/>
      <c r="V46" s="10" t="n"/>
    </row>
    <row r="47">
      <c r="A47" s="16" t="n"/>
      <c r="B47" s="17" t="n"/>
      <c r="C47" s="17" t="n"/>
      <c r="D47" s="10" t="n"/>
      <c r="E47" s="10" t="n"/>
      <c r="F47" s="17" t="n"/>
      <c r="G47" s="19" t="n"/>
      <c r="H47" s="16" t="n"/>
      <c r="I47" s="16" t="n"/>
      <c r="J47" s="16" t="n"/>
      <c r="K47" s="26" t="n"/>
      <c r="L47" s="26" t="n"/>
      <c r="M47" s="16" t="n"/>
      <c r="N47" s="9" t="n"/>
      <c r="O47" s="16" t="n"/>
      <c r="P47" s="16" t="n"/>
      <c r="Q47" s="24" t="n"/>
      <c r="R47" s="17" t="n"/>
      <c r="S47" s="17" t="n"/>
      <c r="T47" s="27" t="n"/>
      <c r="U47" s="27" t="n"/>
      <c r="V47" s="10" t="n"/>
    </row>
    <row r="48">
      <c r="A48" s="16" t="n"/>
      <c r="B48" s="17" t="n"/>
      <c r="C48" s="17" t="n"/>
      <c r="D48" s="10" t="n"/>
      <c r="E48" s="10" t="n"/>
      <c r="F48" s="17" t="n"/>
      <c r="G48" s="19" t="n"/>
      <c r="H48" s="16" t="n"/>
      <c r="I48" s="16" t="n"/>
      <c r="J48" s="16" t="n"/>
      <c r="K48" s="26" t="n"/>
      <c r="L48" s="26" t="n"/>
      <c r="M48" s="16" t="n"/>
      <c r="N48" s="9" t="n"/>
      <c r="O48" s="16" t="n"/>
      <c r="P48" s="16" t="n"/>
      <c r="Q48" s="24" t="n"/>
      <c r="R48" s="17" t="n"/>
      <c r="S48" s="17" t="n"/>
      <c r="T48" s="27" t="n"/>
      <c r="U48" s="27" t="n"/>
      <c r="V48" s="10" t="n"/>
    </row>
    <row r="49">
      <c r="A49" s="16" t="n"/>
      <c r="B49" s="17" t="n"/>
      <c r="C49" s="17" t="n"/>
      <c r="D49" s="10" t="n"/>
      <c r="E49" s="10" t="n"/>
      <c r="F49" s="17" t="n"/>
      <c r="G49" s="19" t="n"/>
      <c r="H49" s="16" t="n"/>
      <c r="I49" s="16" t="n"/>
      <c r="J49" s="16" t="n"/>
      <c r="K49" s="26" t="n"/>
      <c r="L49" s="26" t="n"/>
      <c r="M49" s="16" t="n"/>
      <c r="N49" s="9" t="n"/>
      <c r="O49" s="16" t="n"/>
      <c r="P49" s="16" t="n"/>
      <c r="Q49" s="24" t="n"/>
      <c r="R49" s="17" t="n"/>
      <c r="S49" s="17" t="n"/>
      <c r="T49" s="27" t="n"/>
      <c r="U49" s="27" t="n"/>
      <c r="V49" s="10" t="n"/>
    </row>
    <row r="50">
      <c r="A50" s="16" t="n"/>
      <c r="B50" s="17" t="n"/>
      <c r="C50" s="17" t="n"/>
      <c r="D50" s="10" t="n"/>
      <c r="E50" s="10" t="n"/>
      <c r="F50" s="17" t="n"/>
      <c r="G50" s="19" t="n"/>
      <c r="H50" s="16" t="n"/>
      <c r="I50" s="16" t="n"/>
      <c r="J50" s="16" t="n"/>
      <c r="K50" s="26" t="n"/>
      <c r="L50" s="26" t="n"/>
      <c r="M50" s="16" t="n"/>
      <c r="N50" s="9" t="n"/>
      <c r="O50" s="16" t="n"/>
      <c r="P50" s="16" t="n"/>
      <c r="Q50" s="24" t="n"/>
      <c r="R50" s="17" t="n"/>
      <c r="S50" s="17" t="n"/>
      <c r="T50" s="27" t="n"/>
      <c r="U50" s="27" t="n"/>
      <c r="V50" s="10" t="n"/>
    </row>
    <row r="51">
      <c r="A51" s="16" t="n"/>
      <c r="B51" s="17" t="n"/>
      <c r="C51" s="17" t="n"/>
      <c r="D51" s="10" t="n"/>
      <c r="E51" s="10" t="n"/>
      <c r="F51" s="17" t="n"/>
      <c r="G51" s="19" t="n"/>
      <c r="H51" s="16" t="n"/>
      <c r="I51" s="16" t="n"/>
      <c r="J51" s="16" t="n"/>
      <c r="K51" s="26" t="n"/>
      <c r="L51" s="26" t="n"/>
      <c r="M51" s="16" t="n"/>
      <c r="N51" s="9" t="n"/>
      <c r="O51" s="16" t="n"/>
      <c r="P51" s="16" t="n"/>
      <c r="Q51" s="24" t="n"/>
      <c r="R51" s="17" t="n"/>
      <c r="S51" s="17" t="n"/>
      <c r="T51" s="27" t="n"/>
      <c r="U51" s="27" t="n"/>
      <c r="V51" s="10" t="n"/>
    </row>
    <row r="52">
      <c r="A52" s="16" t="n"/>
      <c r="B52" s="17" t="n"/>
      <c r="C52" s="17" t="n"/>
      <c r="D52" s="10" t="n"/>
      <c r="E52" s="10" t="n"/>
      <c r="F52" s="17" t="n"/>
      <c r="G52" s="19" t="n"/>
      <c r="H52" s="16" t="n"/>
      <c r="I52" s="16" t="n"/>
      <c r="J52" s="16" t="n"/>
      <c r="K52" s="26" t="n"/>
      <c r="L52" s="26" t="n"/>
      <c r="M52" s="16" t="n"/>
      <c r="N52" s="9" t="n"/>
      <c r="O52" s="16" t="n"/>
      <c r="P52" s="16" t="n"/>
      <c r="Q52" s="24" t="n"/>
      <c r="R52" s="17" t="n"/>
      <c r="S52" s="17" t="n"/>
      <c r="T52" s="27" t="n"/>
      <c r="U52" s="27" t="n"/>
      <c r="V52" s="10" t="n"/>
    </row>
    <row r="53">
      <c r="A53" s="16" t="n"/>
      <c r="B53" s="17" t="n"/>
      <c r="C53" s="17" t="n"/>
      <c r="D53" s="10" t="n"/>
      <c r="E53" s="10" t="n"/>
      <c r="F53" s="17" t="n"/>
      <c r="G53" s="19" t="n"/>
      <c r="H53" s="16" t="n"/>
      <c r="I53" s="16" t="n"/>
      <c r="J53" s="16" t="n"/>
      <c r="K53" s="26" t="n"/>
      <c r="L53" s="26" t="n"/>
      <c r="M53" s="16" t="n"/>
      <c r="N53" s="9" t="n"/>
      <c r="O53" s="16" t="n"/>
      <c r="P53" s="16" t="n"/>
      <c r="Q53" s="24" t="n"/>
      <c r="R53" s="17" t="n"/>
      <c r="S53" s="17" t="n"/>
      <c r="T53" s="27" t="n"/>
      <c r="U53" s="27" t="n"/>
      <c r="V53" s="10" t="n"/>
    </row>
    <row r="54">
      <c r="A54" s="16" t="n"/>
      <c r="B54" s="17" t="n"/>
      <c r="C54" s="17" t="n"/>
      <c r="D54" s="10" t="n"/>
      <c r="E54" s="10" t="n"/>
      <c r="F54" s="17" t="n"/>
      <c r="G54" s="19" t="n"/>
      <c r="H54" s="16" t="n"/>
      <c r="I54" s="16" t="n"/>
      <c r="J54" s="16" t="n"/>
      <c r="K54" s="26" t="n"/>
      <c r="L54" s="26" t="n"/>
      <c r="M54" s="16" t="n"/>
      <c r="N54" s="9" t="n"/>
      <c r="O54" s="16" t="n"/>
      <c r="P54" s="16" t="n"/>
      <c r="Q54" s="24" t="n"/>
      <c r="R54" s="17" t="n"/>
      <c r="S54" s="17" t="n"/>
      <c r="T54" s="27" t="n"/>
      <c r="U54" s="27" t="n"/>
      <c r="V54" s="10" t="n"/>
    </row>
    <row r="55">
      <c r="A55" s="16" t="n"/>
      <c r="B55" s="17" t="n"/>
      <c r="C55" s="17" t="n"/>
      <c r="D55" s="10" t="n"/>
      <c r="E55" s="10" t="n"/>
      <c r="F55" s="17" t="n"/>
      <c r="G55" s="19" t="n"/>
      <c r="H55" s="16" t="n"/>
      <c r="I55" s="16" t="n"/>
      <c r="J55" s="16" t="n"/>
      <c r="K55" s="26" t="n"/>
      <c r="L55" s="26" t="n"/>
      <c r="M55" s="16" t="n"/>
      <c r="N55" s="9" t="n"/>
      <c r="O55" s="16" t="n"/>
      <c r="P55" s="16" t="n"/>
      <c r="Q55" s="24" t="n"/>
      <c r="R55" s="17" t="n"/>
      <c r="S55" s="17" t="n"/>
      <c r="T55" s="27" t="n"/>
      <c r="U55" s="27" t="n"/>
      <c r="V55" s="10" t="n"/>
    </row>
    <row r="56">
      <c r="A56" s="16" t="n"/>
      <c r="B56" s="17" t="n"/>
      <c r="C56" s="17" t="n"/>
      <c r="D56" s="10" t="n"/>
      <c r="E56" s="10" t="n"/>
      <c r="F56" s="17" t="n"/>
      <c r="G56" s="19" t="n"/>
      <c r="H56" s="16" t="n"/>
      <c r="I56" s="16" t="n"/>
      <c r="J56" s="16" t="n"/>
      <c r="K56" s="26" t="n"/>
      <c r="L56" s="26" t="n"/>
      <c r="M56" s="16" t="n"/>
      <c r="N56" s="9" t="n"/>
      <c r="O56" s="16" t="n"/>
      <c r="P56" s="16" t="n"/>
      <c r="Q56" s="24" t="n"/>
      <c r="R56" s="17" t="n"/>
      <c r="S56" s="17" t="n"/>
      <c r="T56" s="27" t="n"/>
      <c r="U56" s="27" t="n"/>
      <c r="V56" s="10" t="n"/>
    </row>
    <row r="57">
      <c r="A57" s="16" t="n"/>
      <c r="B57" s="17" t="n"/>
      <c r="C57" s="17" t="n"/>
      <c r="D57" s="10" t="n"/>
      <c r="E57" s="10" t="n"/>
      <c r="F57" s="17" t="n"/>
      <c r="G57" s="19" t="n"/>
      <c r="H57" s="16" t="n"/>
      <c r="I57" s="16" t="n"/>
      <c r="J57" s="16" t="n"/>
      <c r="K57" s="26" t="n"/>
      <c r="L57" s="26" t="n"/>
      <c r="M57" s="16" t="n"/>
      <c r="N57" s="9" t="n"/>
      <c r="O57" s="16" t="n"/>
      <c r="P57" s="16" t="n"/>
      <c r="Q57" s="24" t="n"/>
      <c r="R57" s="17" t="n"/>
      <c r="S57" s="17" t="n"/>
      <c r="T57" s="27" t="n"/>
      <c r="U57" s="27" t="n"/>
      <c r="V57" s="10" t="n"/>
    </row>
    <row r="58">
      <c r="A58" s="16" t="n"/>
      <c r="B58" s="17" t="n"/>
      <c r="C58" s="17" t="n"/>
      <c r="D58" s="10" t="n"/>
      <c r="E58" s="10" t="n"/>
      <c r="F58" s="17" t="n"/>
      <c r="G58" s="19" t="n"/>
      <c r="H58" s="16" t="n"/>
      <c r="I58" s="16" t="n"/>
      <c r="J58" s="16" t="n"/>
      <c r="K58" s="26" t="n"/>
      <c r="L58" s="26" t="n"/>
      <c r="M58" s="16" t="n"/>
      <c r="N58" s="9" t="n"/>
      <c r="O58" s="16" t="n"/>
      <c r="P58" s="16" t="n"/>
      <c r="Q58" s="24" t="n"/>
      <c r="R58" s="17" t="n"/>
      <c r="S58" s="17" t="n"/>
      <c r="T58" s="27" t="n"/>
      <c r="U58" s="27" t="n"/>
      <c r="V58" s="10" t="n"/>
    </row>
    <row r="59">
      <c r="A59" s="16" t="n"/>
      <c r="B59" s="17" t="n"/>
      <c r="C59" s="17" t="n"/>
      <c r="D59" s="10" t="n"/>
      <c r="E59" s="10" t="n"/>
      <c r="F59" s="17" t="n"/>
      <c r="G59" s="19" t="n"/>
      <c r="H59" s="16" t="n"/>
      <c r="I59" s="16" t="n"/>
      <c r="J59" s="16" t="n"/>
      <c r="K59" s="26" t="n"/>
      <c r="L59" s="26" t="n"/>
      <c r="M59" s="16" t="n"/>
      <c r="N59" s="9" t="n"/>
      <c r="O59" s="16" t="n"/>
      <c r="P59" s="16" t="n"/>
      <c r="Q59" s="24" t="n"/>
      <c r="R59" s="17" t="n"/>
      <c r="S59" s="17" t="n"/>
      <c r="T59" s="27" t="n"/>
      <c r="U59" s="27" t="n"/>
      <c r="V59" s="10" t="n"/>
    </row>
    <row r="60">
      <c r="A60" s="16" t="n"/>
      <c r="B60" s="17" t="n"/>
      <c r="C60" s="17" t="n"/>
      <c r="D60" s="10" t="n"/>
      <c r="E60" s="10" t="n"/>
      <c r="F60" s="17" t="n"/>
      <c r="G60" s="19" t="n"/>
      <c r="H60" s="16" t="n"/>
      <c r="I60" s="16" t="n"/>
      <c r="J60" s="16" t="n"/>
      <c r="K60" s="26" t="n"/>
      <c r="L60" s="26" t="n"/>
      <c r="M60" s="16" t="n"/>
      <c r="N60" s="9" t="n"/>
      <c r="O60" s="16" t="n"/>
      <c r="P60" s="16" t="n"/>
      <c r="Q60" s="24" t="n"/>
      <c r="R60" s="17" t="n"/>
      <c r="S60" s="17" t="n"/>
      <c r="T60" s="27" t="n"/>
      <c r="U60" s="27" t="n"/>
      <c r="V60" s="10" t="n"/>
    </row>
    <row r="61">
      <c r="A61" s="16" t="n"/>
      <c r="B61" s="17" t="n"/>
      <c r="C61" s="17" t="n"/>
      <c r="D61" s="10" t="n"/>
      <c r="E61" s="10" t="n"/>
      <c r="F61" s="17" t="n"/>
      <c r="G61" s="19" t="n"/>
      <c r="H61" s="16" t="n"/>
      <c r="I61" s="16" t="n"/>
      <c r="J61" s="16" t="n"/>
      <c r="K61" s="26" t="n"/>
      <c r="L61" s="26" t="n"/>
      <c r="M61" s="16" t="n"/>
      <c r="N61" s="9" t="n"/>
      <c r="O61" s="16" t="n"/>
      <c r="P61" s="16" t="n"/>
      <c r="Q61" s="24" t="n"/>
      <c r="R61" s="17" t="n"/>
      <c r="S61" s="17" t="n"/>
      <c r="T61" s="27" t="n"/>
      <c r="U61" s="27" t="n"/>
      <c r="V61" s="10" t="n"/>
    </row>
    <row r="62">
      <c r="A62" s="16" t="n"/>
      <c r="B62" s="17" t="n"/>
      <c r="C62" s="17" t="n"/>
      <c r="D62" s="10" t="n"/>
      <c r="E62" s="10" t="n"/>
      <c r="F62" s="17" t="n"/>
      <c r="G62" s="19" t="n"/>
      <c r="H62" s="16" t="n"/>
      <c r="I62" s="16" t="n"/>
      <c r="J62" s="16" t="n"/>
      <c r="K62" s="26" t="n"/>
      <c r="L62" s="26" t="n"/>
      <c r="M62" s="16" t="n"/>
      <c r="N62" s="9" t="n"/>
      <c r="O62" s="16" t="n"/>
      <c r="P62" s="16" t="n"/>
      <c r="Q62" s="24" t="n"/>
      <c r="R62" s="17" t="n"/>
      <c r="S62" s="17" t="n"/>
      <c r="T62" s="27" t="n"/>
      <c r="U62" s="27" t="n"/>
      <c r="V62" s="10" t="n"/>
    </row>
    <row r="63">
      <c r="A63" s="16" t="n"/>
      <c r="B63" s="17" t="n"/>
      <c r="C63" s="17" t="n"/>
      <c r="D63" s="10" t="n"/>
      <c r="E63" s="10" t="n"/>
      <c r="F63" s="17" t="n"/>
      <c r="G63" s="19" t="n"/>
      <c r="H63" s="16" t="n"/>
      <c r="I63" s="16" t="n"/>
      <c r="J63" s="16" t="n"/>
      <c r="K63" s="26" t="n"/>
      <c r="L63" s="26" t="n"/>
      <c r="M63" s="16" t="n"/>
      <c r="N63" s="9" t="n"/>
      <c r="O63" s="16" t="n"/>
      <c r="P63" s="16" t="n"/>
      <c r="Q63" s="24" t="n"/>
      <c r="R63" s="17" t="n"/>
      <c r="S63" s="17" t="n"/>
      <c r="T63" s="27" t="n"/>
      <c r="U63" s="27" t="n"/>
      <c r="V63" s="10" t="n"/>
    </row>
    <row r="64">
      <c r="A64" s="16" t="n"/>
      <c r="B64" s="17" t="n"/>
      <c r="C64" s="17" t="n"/>
      <c r="D64" s="10" t="n"/>
      <c r="E64" s="10" t="n"/>
      <c r="F64" s="17" t="n"/>
      <c r="G64" s="19" t="n"/>
      <c r="H64" s="16" t="n"/>
      <c r="I64" s="16" t="n"/>
      <c r="J64" s="16" t="n"/>
      <c r="K64" s="26" t="n"/>
      <c r="L64" s="26" t="n"/>
      <c r="M64" s="16" t="n"/>
      <c r="N64" s="9" t="n"/>
      <c r="O64" s="16" t="n"/>
      <c r="P64" s="16" t="n"/>
      <c r="Q64" s="24" t="n"/>
      <c r="R64" s="17" t="n"/>
      <c r="S64" s="17" t="n"/>
      <c r="T64" s="27" t="n"/>
      <c r="U64" s="27" t="n"/>
      <c r="V64" s="10" t="n"/>
    </row>
    <row r="65">
      <c r="A65" s="16" t="n"/>
      <c r="B65" s="17" t="n"/>
      <c r="C65" s="17" t="n"/>
      <c r="D65" s="10" t="n"/>
      <c r="E65" s="10" t="n"/>
      <c r="F65" s="17" t="n"/>
      <c r="G65" s="19" t="n"/>
      <c r="H65" s="16" t="n"/>
      <c r="I65" s="16" t="n"/>
      <c r="J65" s="16" t="n"/>
      <c r="K65" s="26" t="n"/>
      <c r="L65" s="26" t="n"/>
      <c r="M65" s="16" t="n"/>
      <c r="N65" s="9" t="n"/>
      <c r="O65" s="16" t="n"/>
      <c r="P65" s="16" t="n"/>
      <c r="Q65" s="24" t="n"/>
      <c r="R65" s="17" t="n"/>
      <c r="S65" s="17" t="n"/>
      <c r="T65" s="27" t="n"/>
      <c r="U65" s="27" t="n"/>
      <c r="V65" s="10" t="n"/>
    </row>
    <row r="66">
      <c r="A66" s="16" t="n"/>
      <c r="B66" s="17" t="n"/>
      <c r="C66" s="17" t="n"/>
      <c r="D66" s="10" t="n"/>
      <c r="E66" s="10" t="n"/>
      <c r="F66" s="17" t="n"/>
      <c r="G66" s="19" t="n"/>
      <c r="H66" s="16" t="n"/>
      <c r="I66" s="16" t="n"/>
      <c r="J66" s="16" t="n"/>
      <c r="K66" s="26" t="n"/>
      <c r="L66" s="26" t="n"/>
      <c r="M66" s="16" t="n"/>
      <c r="N66" s="9" t="n"/>
      <c r="O66" s="16" t="n"/>
      <c r="P66" s="16" t="n"/>
      <c r="Q66" s="24" t="n"/>
      <c r="R66" s="17" t="n"/>
      <c r="S66" s="17" t="n"/>
      <c r="T66" s="27" t="n"/>
      <c r="U66" s="27" t="n"/>
      <c r="V66" s="10" t="n"/>
    </row>
    <row r="67">
      <c r="A67" s="16" t="n"/>
      <c r="B67" s="17" t="n"/>
      <c r="C67" s="17" t="n"/>
      <c r="D67" s="10" t="n"/>
      <c r="E67" s="10" t="n"/>
      <c r="F67" s="17" t="n"/>
      <c r="G67" s="19" t="n"/>
      <c r="H67" s="16" t="n"/>
      <c r="I67" s="16" t="n"/>
      <c r="J67" s="16" t="n"/>
      <c r="K67" s="26" t="n"/>
      <c r="L67" s="26" t="n"/>
      <c r="M67" s="16" t="n"/>
      <c r="N67" s="9" t="n"/>
      <c r="O67" s="16" t="n"/>
      <c r="P67" s="16" t="n"/>
      <c r="Q67" s="24" t="n"/>
      <c r="R67" s="17" t="n"/>
      <c r="S67" s="17" t="n"/>
      <c r="T67" s="27" t="n"/>
      <c r="U67" s="27" t="n"/>
      <c r="V67" s="10" t="n"/>
    </row>
    <row r="68">
      <c r="A68" s="16" t="n"/>
      <c r="B68" s="17" t="n"/>
      <c r="C68" s="17" t="n"/>
      <c r="D68" s="10" t="n"/>
      <c r="E68" s="10" t="n"/>
      <c r="F68" s="17" t="n"/>
      <c r="G68" s="19" t="n"/>
      <c r="H68" s="16" t="n"/>
      <c r="I68" s="16" t="n"/>
      <c r="J68" s="16" t="n"/>
      <c r="K68" s="26" t="n"/>
      <c r="L68" s="26" t="n"/>
      <c r="M68" s="16" t="n"/>
      <c r="N68" s="9" t="n"/>
      <c r="O68" s="16" t="n"/>
      <c r="P68" s="16" t="n"/>
      <c r="Q68" s="24" t="n"/>
      <c r="R68" s="17" t="n"/>
      <c r="S68" s="17" t="n"/>
      <c r="T68" s="27" t="n"/>
      <c r="U68" s="27" t="n"/>
      <c r="V68" s="10" t="n"/>
    </row>
    <row r="69">
      <c r="A69" s="16" t="n"/>
      <c r="B69" s="17" t="n"/>
      <c r="C69" s="17" t="n"/>
      <c r="D69" s="10" t="n"/>
      <c r="E69" s="10" t="n"/>
      <c r="F69" s="17" t="n"/>
      <c r="G69" s="19" t="n"/>
      <c r="H69" s="16" t="n"/>
      <c r="I69" s="16" t="n"/>
      <c r="J69" s="16" t="n"/>
      <c r="K69" s="26" t="n"/>
      <c r="L69" s="26" t="n"/>
      <c r="M69" s="16" t="n"/>
      <c r="N69" s="9" t="n"/>
      <c r="O69" s="16" t="n"/>
      <c r="P69" s="16" t="n"/>
      <c r="Q69" s="24" t="n"/>
      <c r="R69" s="17" t="n"/>
      <c r="S69" s="17" t="n"/>
      <c r="T69" s="27" t="n"/>
      <c r="U69" s="27" t="n"/>
      <c r="V69" s="10" t="n"/>
    </row>
    <row r="70">
      <c r="A70" s="16" t="n"/>
      <c r="B70" s="17" t="n"/>
      <c r="C70" s="17" t="n"/>
      <c r="D70" s="10" t="n"/>
      <c r="E70" s="10" t="n"/>
      <c r="F70" s="17" t="n"/>
      <c r="G70" s="19" t="n"/>
      <c r="H70" s="16" t="n"/>
      <c r="I70" s="16" t="n"/>
      <c r="J70" s="16" t="n"/>
      <c r="K70" s="26" t="n"/>
      <c r="L70" s="26" t="n"/>
      <c r="M70" s="16" t="n"/>
      <c r="N70" s="9" t="n"/>
      <c r="O70" s="16" t="n"/>
      <c r="P70" s="16" t="n"/>
      <c r="Q70" s="24" t="n"/>
      <c r="R70" s="17" t="n"/>
      <c r="S70" s="17" t="n"/>
      <c r="T70" s="27" t="n"/>
      <c r="U70" s="27" t="n"/>
      <c r="V70" s="10" t="n"/>
    </row>
    <row r="71">
      <c r="A71" s="16" t="n"/>
      <c r="B71" s="17" t="n"/>
      <c r="C71" s="17" t="n"/>
      <c r="D71" s="10" t="n"/>
      <c r="E71" s="10" t="n"/>
      <c r="F71" s="17" t="n"/>
      <c r="G71" s="19" t="n"/>
      <c r="H71" s="16" t="n"/>
      <c r="I71" s="16" t="n"/>
      <c r="J71" s="16" t="n"/>
      <c r="K71" s="26" t="n"/>
      <c r="L71" s="26" t="n"/>
      <c r="M71" s="16" t="n"/>
      <c r="N71" s="9" t="n"/>
      <c r="O71" s="16" t="n"/>
      <c r="P71" s="16" t="n"/>
      <c r="Q71" s="24" t="n"/>
      <c r="R71" s="17" t="n"/>
      <c r="S71" s="17" t="n"/>
      <c r="T71" s="27" t="n"/>
      <c r="U71" s="27" t="n"/>
      <c r="V71" s="10" t="n"/>
    </row>
    <row r="72">
      <c r="A72" s="16" t="n"/>
      <c r="B72" s="17" t="n"/>
      <c r="C72" s="17" t="n"/>
      <c r="D72" s="10" t="n"/>
      <c r="E72" s="10" t="n"/>
      <c r="F72" s="17" t="n"/>
      <c r="G72" s="19" t="n"/>
      <c r="H72" s="16" t="n"/>
      <c r="I72" s="16" t="n"/>
      <c r="J72" s="16" t="n"/>
      <c r="K72" s="26" t="n"/>
      <c r="L72" s="26" t="n"/>
      <c r="M72" s="16" t="n"/>
      <c r="N72" s="9" t="n"/>
      <c r="O72" s="16" t="n"/>
      <c r="P72" s="16" t="n"/>
      <c r="Q72" s="24" t="n"/>
      <c r="R72" s="17" t="n"/>
      <c r="S72" s="17" t="n"/>
      <c r="T72" s="27" t="n"/>
      <c r="U72" s="27" t="n"/>
      <c r="V72" s="10" t="n"/>
    </row>
    <row r="73">
      <c r="A73" s="16" t="n"/>
      <c r="B73" s="17" t="n"/>
      <c r="C73" s="17" t="n"/>
      <c r="D73" s="10" t="n"/>
      <c r="E73" s="10" t="n"/>
      <c r="F73" s="17" t="n"/>
      <c r="G73" s="19" t="n"/>
      <c r="H73" s="16" t="n"/>
      <c r="I73" s="16" t="n"/>
      <c r="J73" s="16" t="n"/>
      <c r="K73" s="26" t="n"/>
      <c r="L73" s="26" t="n"/>
      <c r="M73" s="16" t="n"/>
      <c r="N73" s="9" t="n"/>
      <c r="O73" s="16" t="n"/>
      <c r="P73" s="16" t="n"/>
      <c r="Q73" s="24" t="n"/>
      <c r="R73" s="17" t="n"/>
      <c r="S73" s="17" t="n"/>
      <c r="T73" s="27" t="n"/>
      <c r="U73" s="27" t="n"/>
      <c r="V73" s="10" t="n"/>
    </row>
    <row r="74">
      <c r="A74" s="16" t="n"/>
      <c r="B74" s="17" t="n"/>
      <c r="C74" s="17" t="n"/>
      <c r="D74" s="10" t="n"/>
      <c r="E74" s="10" t="n"/>
      <c r="F74" s="17" t="n"/>
      <c r="G74" s="19" t="n"/>
      <c r="H74" s="16" t="n"/>
      <c r="I74" s="16" t="n"/>
      <c r="J74" s="16" t="n"/>
      <c r="K74" s="26" t="n"/>
      <c r="L74" s="26" t="n"/>
      <c r="M74" s="16" t="n"/>
      <c r="N74" s="9" t="n"/>
      <c r="O74" s="16" t="n"/>
      <c r="P74" s="16" t="n"/>
      <c r="Q74" s="24" t="n"/>
      <c r="R74" s="17" t="n"/>
      <c r="S74" s="17" t="n"/>
      <c r="T74" s="27" t="n"/>
      <c r="U74" s="27" t="n"/>
      <c r="V74" s="10" t="n"/>
    </row>
    <row r="75">
      <c r="A75" s="16" t="n"/>
      <c r="B75" s="17" t="n"/>
      <c r="C75" s="17" t="n"/>
      <c r="D75" s="10" t="n"/>
      <c r="E75" s="10" t="n"/>
      <c r="F75" s="17" t="n"/>
      <c r="G75" s="19" t="n"/>
      <c r="H75" s="16" t="n"/>
      <c r="I75" s="16" t="n"/>
      <c r="J75" s="16" t="n"/>
      <c r="K75" s="26" t="n"/>
      <c r="L75" s="26" t="n"/>
      <c r="M75" s="16" t="n"/>
      <c r="N75" s="9" t="n"/>
      <c r="O75" s="16" t="n"/>
      <c r="P75" s="16" t="n"/>
      <c r="Q75" s="24" t="n"/>
      <c r="R75" s="17" t="n"/>
      <c r="S75" s="17" t="n"/>
      <c r="T75" s="27" t="n"/>
      <c r="U75" s="27" t="n"/>
      <c r="V75" s="10" t="n"/>
    </row>
    <row r="76">
      <c r="A76" s="16" t="n"/>
      <c r="B76" s="17" t="n"/>
      <c r="C76" s="17" t="n"/>
      <c r="D76" s="10" t="n"/>
      <c r="E76" s="10" t="n"/>
      <c r="F76" s="17" t="n"/>
      <c r="G76" s="19" t="n"/>
      <c r="H76" s="16" t="n"/>
      <c r="I76" s="16" t="n"/>
      <c r="J76" s="16" t="n"/>
      <c r="K76" s="26" t="n"/>
      <c r="L76" s="26" t="n"/>
      <c r="M76" s="16" t="n"/>
      <c r="N76" s="9" t="n"/>
      <c r="O76" s="16" t="n"/>
      <c r="P76" s="16" t="n"/>
      <c r="Q76" s="24" t="n"/>
      <c r="R76" s="17" t="n"/>
      <c r="S76" s="17" t="n"/>
      <c r="T76" s="27" t="n"/>
      <c r="U76" s="27" t="n"/>
      <c r="V76" s="10" t="n"/>
    </row>
    <row r="77">
      <c r="A77" s="16" t="n"/>
      <c r="B77" s="17" t="n"/>
      <c r="C77" s="17" t="n"/>
      <c r="D77" s="10" t="n"/>
      <c r="E77" s="10" t="n"/>
      <c r="F77" s="17" t="n"/>
      <c r="G77" s="19" t="n"/>
      <c r="H77" s="16" t="n"/>
      <c r="I77" s="16" t="n"/>
      <c r="J77" s="16" t="n"/>
      <c r="K77" s="26" t="n"/>
      <c r="L77" s="26" t="n"/>
      <c r="M77" s="16" t="n"/>
      <c r="N77" s="9" t="n"/>
      <c r="O77" s="16" t="n"/>
      <c r="P77" s="16" t="n"/>
      <c r="Q77" s="24" t="n"/>
      <c r="R77" s="17" t="n"/>
      <c r="S77" s="17" t="n"/>
      <c r="T77" s="27" t="n"/>
      <c r="U77" s="27" t="n"/>
      <c r="V77" s="10" t="n"/>
    </row>
    <row r="78">
      <c r="A78" s="16" t="n"/>
      <c r="B78" s="17" t="n"/>
      <c r="C78" s="17" t="n"/>
      <c r="D78" s="10" t="n"/>
      <c r="E78" s="10" t="n"/>
      <c r="F78" s="17" t="n"/>
      <c r="G78" s="19" t="n"/>
      <c r="H78" s="16" t="n"/>
      <c r="I78" s="16" t="n"/>
      <c r="J78" s="16" t="n"/>
      <c r="K78" s="26" t="n"/>
      <c r="L78" s="26" t="n"/>
      <c r="M78" s="16" t="n"/>
      <c r="N78" s="9" t="n"/>
      <c r="O78" s="16" t="n"/>
      <c r="P78" s="16" t="n"/>
      <c r="Q78" s="24" t="n"/>
      <c r="R78" s="17" t="n"/>
      <c r="S78" s="17" t="n"/>
      <c r="T78" s="27" t="n"/>
      <c r="U78" s="27" t="n"/>
      <c r="V78" s="10" t="n"/>
    </row>
    <row r="79">
      <c r="A79" s="16" t="n"/>
      <c r="B79" s="17" t="n"/>
      <c r="C79" s="17" t="n"/>
      <c r="D79" s="10" t="n"/>
      <c r="E79" s="10" t="n"/>
      <c r="F79" s="17" t="n"/>
      <c r="G79" s="19" t="n"/>
      <c r="H79" s="16" t="n"/>
      <c r="I79" s="16" t="n"/>
      <c r="J79" s="16" t="n"/>
      <c r="K79" s="26" t="n"/>
      <c r="L79" s="26" t="n"/>
      <c r="M79" s="16" t="n"/>
      <c r="N79" s="9" t="n"/>
      <c r="O79" s="16" t="n"/>
      <c r="P79" s="16" t="n"/>
      <c r="Q79" s="24" t="n"/>
      <c r="R79" s="17" t="n"/>
      <c r="S79" s="17" t="n"/>
      <c r="T79" s="27" t="n"/>
      <c r="U79" s="27" t="n"/>
      <c r="V79" s="10" t="n"/>
    </row>
    <row r="80">
      <c r="A80" s="16" t="n"/>
      <c r="B80" s="17" t="n"/>
      <c r="C80" s="17" t="n"/>
      <c r="D80" s="10" t="n"/>
      <c r="E80" s="10" t="n"/>
      <c r="F80" s="17" t="n"/>
      <c r="G80" s="19" t="n"/>
      <c r="H80" s="16" t="n"/>
      <c r="I80" s="16" t="n"/>
      <c r="J80" s="16" t="n"/>
      <c r="K80" s="26" t="n"/>
      <c r="L80" s="26" t="n"/>
      <c r="M80" s="16" t="n"/>
      <c r="N80" s="9" t="n"/>
      <c r="O80" s="16" t="n"/>
      <c r="P80" s="16" t="n"/>
      <c r="Q80" s="24" t="n"/>
      <c r="R80" s="17" t="n"/>
      <c r="S80" s="17" t="n"/>
      <c r="T80" s="27" t="n"/>
      <c r="U80" s="27" t="n"/>
      <c r="V80" s="10" t="n"/>
    </row>
    <row r="81">
      <c r="A81" s="16" t="n"/>
      <c r="B81" s="17" t="n"/>
      <c r="C81" s="17" t="n"/>
      <c r="D81" s="10" t="n"/>
      <c r="E81" s="10" t="n"/>
      <c r="F81" s="17" t="n"/>
      <c r="G81" s="19" t="n"/>
      <c r="H81" s="16" t="n"/>
      <c r="I81" s="16" t="n"/>
      <c r="J81" s="16" t="n"/>
      <c r="K81" s="26" t="n"/>
      <c r="L81" s="26" t="n"/>
      <c r="M81" s="16" t="n"/>
      <c r="N81" s="9" t="n"/>
      <c r="O81" s="16" t="n"/>
      <c r="P81" s="16" t="n"/>
      <c r="Q81" s="24" t="n"/>
      <c r="R81" s="17" t="n"/>
      <c r="S81" s="17" t="n"/>
      <c r="T81" s="27" t="n"/>
      <c r="U81" s="27" t="n"/>
      <c r="V81" s="10" t="n"/>
    </row>
    <row r="82">
      <c r="A82" s="16" t="n"/>
      <c r="B82" s="17" t="n"/>
      <c r="C82" s="17" t="n"/>
      <c r="D82" s="10" t="n"/>
      <c r="E82" s="10" t="n"/>
      <c r="F82" s="17" t="n"/>
      <c r="G82" s="19" t="n"/>
      <c r="H82" s="16" t="n"/>
      <c r="I82" s="16" t="n"/>
      <c r="J82" s="16" t="n"/>
      <c r="K82" s="26" t="n"/>
      <c r="L82" s="26" t="n"/>
      <c r="M82" s="16" t="n"/>
      <c r="N82" s="9" t="n"/>
      <c r="O82" s="16" t="n"/>
      <c r="P82" s="16" t="n"/>
      <c r="Q82" s="24" t="n"/>
      <c r="R82" s="17" t="n"/>
      <c r="S82" s="17" t="n"/>
      <c r="T82" s="27" t="n"/>
      <c r="U82" s="27" t="n"/>
      <c r="V82" s="10" t="n"/>
    </row>
    <row r="83">
      <c r="A83" s="16" t="n"/>
      <c r="B83" s="17" t="n"/>
      <c r="C83" s="17" t="n"/>
      <c r="D83" s="10" t="n"/>
      <c r="E83" s="10" t="n"/>
      <c r="F83" s="17" t="n"/>
      <c r="G83" s="19" t="n"/>
      <c r="H83" s="16" t="n"/>
      <c r="I83" s="16" t="n"/>
      <c r="J83" s="16" t="n"/>
      <c r="K83" s="26" t="n"/>
      <c r="L83" s="26" t="n"/>
      <c r="M83" s="16" t="n"/>
      <c r="N83" s="9" t="n"/>
      <c r="O83" s="16" t="n"/>
      <c r="P83" s="16" t="n"/>
      <c r="Q83" s="24" t="n"/>
      <c r="R83" s="17" t="n"/>
      <c r="S83" s="17" t="n"/>
      <c r="T83" s="27" t="n"/>
      <c r="U83" s="27" t="n"/>
      <c r="V83" s="10" t="n"/>
    </row>
    <row r="84">
      <c r="A84" s="16" t="n"/>
      <c r="B84" s="17" t="n"/>
      <c r="C84" s="17" t="n"/>
      <c r="D84" s="10" t="n"/>
      <c r="E84" s="10" t="n"/>
      <c r="F84" s="17" t="n"/>
      <c r="G84" s="19" t="n"/>
      <c r="H84" s="16" t="n"/>
      <c r="I84" s="16" t="n"/>
      <c r="J84" s="16" t="n"/>
      <c r="K84" s="26" t="n"/>
      <c r="L84" s="26" t="n"/>
      <c r="M84" s="16" t="n"/>
      <c r="N84" s="9" t="n"/>
      <c r="O84" s="16" t="n"/>
      <c r="P84" s="16" t="n"/>
      <c r="Q84" s="24" t="n"/>
      <c r="R84" s="17" t="n"/>
      <c r="S84" s="17" t="n"/>
      <c r="T84" s="27" t="n"/>
      <c r="U84" s="27" t="n"/>
      <c r="V84" s="10" t="n"/>
    </row>
    <row r="85">
      <c r="A85" s="16" t="n"/>
      <c r="B85" s="17" t="n"/>
      <c r="C85" s="17" t="n"/>
      <c r="D85" s="10" t="n"/>
      <c r="E85" s="10" t="n"/>
      <c r="F85" s="17" t="n"/>
      <c r="G85" s="19" t="n"/>
      <c r="H85" s="16" t="n"/>
      <c r="I85" s="16" t="n"/>
      <c r="J85" s="16" t="n"/>
      <c r="K85" s="26" t="n"/>
      <c r="L85" s="26" t="n"/>
      <c r="M85" s="16" t="n"/>
      <c r="N85" s="9" t="n"/>
      <c r="O85" s="16" t="n"/>
      <c r="P85" s="16" t="n"/>
      <c r="Q85" s="24" t="n"/>
      <c r="R85" s="17" t="n"/>
      <c r="S85" s="17" t="n"/>
      <c r="T85" s="27" t="n"/>
      <c r="U85" s="27" t="n"/>
      <c r="V85" s="10" t="n"/>
    </row>
    <row r="86">
      <c r="A86" s="16" t="n"/>
      <c r="B86" s="17" t="n"/>
      <c r="C86" s="17" t="n"/>
      <c r="D86" s="10" t="n"/>
      <c r="E86" s="10" t="n"/>
      <c r="F86" s="17" t="n"/>
      <c r="G86" s="19" t="n"/>
      <c r="H86" s="16" t="n"/>
      <c r="I86" s="16" t="n"/>
      <c r="J86" s="16" t="n"/>
      <c r="K86" s="26" t="n"/>
      <c r="L86" s="26" t="n"/>
      <c r="M86" s="16" t="n"/>
      <c r="N86" s="9" t="n"/>
      <c r="O86" s="16" t="n"/>
      <c r="P86" s="16" t="n"/>
      <c r="Q86" s="24" t="n"/>
      <c r="R86" s="17" t="n"/>
      <c r="S86" s="17" t="n"/>
      <c r="T86" s="27" t="n"/>
      <c r="U86" s="27" t="n"/>
      <c r="V86" s="10" t="n"/>
    </row>
    <row r="87">
      <c r="A87" s="16" t="n"/>
      <c r="B87" s="17" t="n"/>
      <c r="C87" s="17" t="n"/>
      <c r="D87" s="10" t="n"/>
      <c r="E87" s="10" t="n"/>
      <c r="F87" s="17" t="n"/>
      <c r="G87" s="19" t="n"/>
      <c r="H87" s="16" t="n"/>
      <c r="I87" s="16" t="n"/>
      <c r="J87" s="16" t="n"/>
      <c r="K87" s="26" t="n"/>
      <c r="L87" s="26" t="n"/>
      <c r="M87" s="16" t="n"/>
      <c r="N87" s="9" t="n"/>
      <c r="O87" s="16" t="n"/>
      <c r="P87" s="16" t="n"/>
      <c r="Q87" s="24" t="n"/>
      <c r="R87" s="17" t="n"/>
      <c r="S87" s="17" t="n"/>
      <c r="T87" s="27" t="n"/>
      <c r="U87" s="27" t="n"/>
      <c r="V87" s="10" t="n"/>
    </row>
    <row r="88">
      <c r="A88" s="16" t="n"/>
      <c r="B88" s="17" t="n"/>
      <c r="C88" s="17" t="n"/>
      <c r="D88" s="10" t="n"/>
      <c r="E88" s="10" t="n"/>
      <c r="F88" s="17" t="n"/>
      <c r="G88" s="19" t="n"/>
      <c r="H88" s="16" t="n"/>
      <c r="I88" s="16" t="n"/>
      <c r="J88" s="16" t="n"/>
      <c r="K88" s="26" t="n"/>
      <c r="L88" s="26" t="n"/>
      <c r="M88" s="16" t="n"/>
      <c r="N88" s="9" t="n"/>
      <c r="O88" s="16" t="n"/>
      <c r="P88" s="16" t="n"/>
      <c r="Q88" s="24" t="n"/>
      <c r="R88" s="17" t="n"/>
      <c r="S88" s="17" t="n"/>
      <c r="T88" s="27" t="n"/>
      <c r="U88" s="27" t="n"/>
      <c r="V88" s="10" t="n"/>
    </row>
    <row r="89">
      <c r="A89" s="16" t="n"/>
      <c r="B89" s="17" t="n"/>
      <c r="C89" s="17" t="n"/>
      <c r="D89" s="10" t="n"/>
      <c r="E89" s="10" t="n"/>
      <c r="F89" s="17" t="n"/>
      <c r="G89" s="19" t="n"/>
      <c r="H89" s="16" t="n"/>
      <c r="I89" s="16" t="n"/>
      <c r="J89" s="16" t="n"/>
      <c r="K89" s="26" t="n"/>
      <c r="L89" s="26" t="n"/>
      <c r="M89" s="16" t="n"/>
      <c r="N89" s="9" t="n"/>
      <c r="O89" s="16" t="n"/>
      <c r="P89" s="16" t="n"/>
      <c r="Q89" s="24" t="n"/>
      <c r="R89" s="17" t="n"/>
      <c r="S89" s="17" t="n"/>
      <c r="T89" s="27" t="n"/>
      <c r="U89" s="27" t="n"/>
      <c r="V89" s="10" t="n"/>
    </row>
    <row r="90">
      <c r="A90" s="16" t="n"/>
      <c r="B90" s="17" t="n"/>
      <c r="C90" s="17" t="n"/>
      <c r="D90" s="10" t="n"/>
      <c r="E90" s="10" t="n"/>
      <c r="F90" s="17" t="n"/>
      <c r="G90" s="19" t="n"/>
      <c r="H90" s="16" t="n"/>
      <c r="I90" s="16" t="n"/>
      <c r="J90" s="16" t="n"/>
      <c r="K90" s="26" t="n"/>
      <c r="L90" s="26" t="n"/>
      <c r="M90" s="16" t="n"/>
      <c r="N90" s="9" t="n"/>
      <c r="O90" s="16" t="n"/>
      <c r="P90" s="16" t="n"/>
      <c r="Q90" s="24" t="n"/>
      <c r="R90" s="17" t="n"/>
      <c r="S90" s="17" t="n"/>
      <c r="T90" s="27" t="n"/>
      <c r="U90" s="27" t="n"/>
      <c r="V90" s="10" t="n"/>
    </row>
    <row r="91">
      <c r="A91" s="16" t="n"/>
      <c r="B91" s="17" t="n"/>
      <c r="C91" s="17" t="n"/>
      <c r="D91" s="10" t="n"/>
      <c r="E91" s="10" t="n"/>
      <c r="F91" s="17" t="n"/>
      <c r="G91" s="19" t="n"/>
      <c r="H91" s="16" t="n"/>
      <c r="I91" s="16" t="n"/>
      <c r="J91" s="16" t="n"/>
      <c r="K91" s="26" t="n"/>
      <c r="L91" s="26" t="n"/>
      <c r="M91" s="16" t="n"/>
      <c r="N91" s="9" t="n"/>
      <c r="O91" s="16" t="n"/>
      <c r="P91" s="16" t="n"/>
      <c r="Q91" s="24" t="n"/>
      <c r="R91" s="17" t="n"/>
      <c r="S91" s="17" t="n"/>
      <c r="T91" s="27" t="n"/>
      <c r="U91" s="27" t="n"/>
      <c r="V91" s="10" t="n"/>
    </row>
    <row r="92">
      <c r="A92" s="16" t="n"/>
      <c r="B92" s="17" t="n"/>
      <c r="C92" s="17" t="n"/>
      <c r="D92" s="10" t="n"/>
      <c r="E92" s="10" t="n"/>
      <c r="F92" s="17" t="n"/>
      <c r="G92" s="19" t="n"/>
      <c r="H92" s="16" t="n"/>
      <c r="I92" s="16" t="n"/>
      <c r="J92" s="16" t="n"/>
      <c r="K92" s="26" t="n"/>
      <c r="L92" s="26" t="n"/>
      <c r="M92" s="16" t="n"/>
      <c r="N92" s="9" t="n"/>
      <c r="O92" s="16" t="n"/>
      <c r="P92" s="16" t="n"/>
      <c r="Q92" s="24" t="n"/>
      <c r="R92" s="17" t="n"/>
      <c r="S92" s="17" t="n"/>
      <c r="T92" s="27" t="n"/>
      <c r="U92" s="27" t="n"/>
      <c r="V92" s="10" t="n"/>
    </row>
    <row r="93">
      <c r="A93" s="16" t="n"/>
      <c r="B93" s="17" t="n"/>
      <c r="C93" s="17" t="n"/>
      <c r="D93" s="10" t="n"/>
      <c r="E93" s="10" t="n"/>
      <c r="F93" s="17" t="n"/>
      <c r="G93" s="19" t="n"/>
      <c r="H93" s="16" t="n"/>
      <c r="I93" s="16" t="n"/>
      <c r="J93" s="16" t="n"/>
      <c r="K93" s="26" t="n"/>
      <c r="L93" s="26" t="n"/>
      <c r="M93" s="16" t="n"/>
      <c r="N93" s="9" t="n"/>
      <c r="O93" s="16" t="n"/>
      <c r="P93" s="16" t="n"/>
      <c r="Q93" s="24" t="n"/>
      <c r="R93" s="17" t="n"/>
      <c r="S93" s="17" t="n"/>
      <c r="T93" s="27" t="n"/>
      <c r="U93" s="27" t="n"/>
      <c r="V93" s="10" t="n"/>
    </row>
    <row r="94">
      <c r="A94" s="16" t="n"/>
      <c r="B94" s="17" t="n"/>
      <c r="C94" s="17" t="n"/>
      <c r="D94" s="10" t="n"/>
      <c r="E94" s="10" t="n"/>
      <c r="F94" s="17" t="n"/>
      <c r="G94" s="19" t="n"/>
      <c r="H94" s="16" t="n"/>
      <c r="I94" s="16" t="n"/>
      <c r="J94" s="16" t="n"/>
      <c r="K94" s="26" t="n"/>
      <c r="L94" s="26" t="n"/>
      <c r="M94" s="16" t="n"/>
      <c r="N94" s="9" t="n"/>
      <c r="O94" s="16" t="n"/>
      <c r="P94" s="16" t="n"/>
      <c r="Q94" s="24" t="n"/>
      <c r="R94" s="17" t="n"/>
      <c r="S94" s="17" t="n"/>
      <c r="T94" s="27" t="n"/>
      <c r="U94" s="27" t="n"/>
      <c r="V94" s="10" t="n"/>
    </row>
    <row r="95">
      <c r="A95" s="16" t="n"/>
      <c r="B95" s="17" t="n"/>
      <c r="C95" s="17" t="n"/>
      <c r="D95" s="10" t="n"/>
      <c r="E95" s="10" t="n"/>
      <c r="F95" s="17" t="n"/>
      <c r="G95" s="19" t="n"/>
      <c r="H95" s="16" t="n"/>
      <c r="I95" s="16" t="n"/>
      <c r="J95" s="16" t="n"/>
      <c r="K95" s="26" t="n"/>
      <c r="L95" s="26" t="n"/>
      <c r="M95" s="16" t="n"/>
      <c r="N95" s="9" t="n"/>
      <c r="O95" s="16" t="n"/>
      <c r="P95" s="16" t="n"/>
      <c r="Q95" s="24" t="n"/>
      <c r="R95" s="17" t="n"/>
      <c r="S95" s="17" t="n"/>
      <c r="T95" s="27" t="n"/>
      <c r="U95" s="27" t="n"/>
      <c r="V95" s="10" t="n"/>
    </row>
    <row r="96">
      <c r="A96" s="16" t="n"/>
      <c r="B96" s="17" t="n"/>
      <c r="C96" s="17" t="n"/>
      <c r="D96" s="10" t="n"/>
      <c r="E96" s="10" t="n"/>
      <c r="F96" s="17" t="n"/>
      <c r="G96" s="19" t="n"/>
      <c r="H96" s="16" t="n"/>
      <c r="I96" s="16" t="n"/>
      <c r="J96" s="16" t="n"/>
      <c r="K96" s="26" t="n"/>
      <c r="L96" s="26" t="n"/>
      <c r="M96" s="16" t="n"/>
      <c r="N96" s="9" t="n"/>
      <c r="O96" s="16" t="n"/>
      <c r="P96" s="16" t="n"/>
      <c r="Q96" s="24" t="n"/>
      <c r="R96" s="17" t="n"/>
      <c r="S96" s="17" t="n"/>
      <c r="T96" s="27" t="n"/>
      <c r="U96" s="27" t="n"/>
      <c r="V96" s="10" t="n"/>
    </row>
    <row r="97">
      <c r="A97" s="16" t="n"/>
      <c r="B97" s="17" t="n"/>
      <c r="C97" s="17" t="n"/>
      <c r="D97" s="10" t="n"/>
      <c r="E97" s="10" t="n"/>
      <c r="F97" s="17" t="n"/>
      <c r="G97" s="19" t="n"/>
      <c r="H97" s="16" t="n"/>
      <c r="I97" s="16" t="n"/>
      <c r="J97" s="16" t="n"/>
      <c r="K97" s="26" t="n"/>
      <c r="L97" s="26" t="n"/>
      <c r="M97" s="16" t="n"/>
      <c r="N97" s="9" t="n"/>
      <c r="O97" s="16" t="n"/>
      <c r="P97" s="16" t="n"/>
      <c r="Q97" s="24" t="n"/>
      <c r="R97" s="17" t="n"/>
      <c r="S97" s="17" t="n"/>
      <c r="T97" s="27" t="n"/>
      <c r="U97" s="27" t="n"/>
      <c r="V97" s="10" t="n"/>
    </row>
    <row r="98">
      <c r="A98" s="16" t="n"/>
      <c r="B98" s="17" t="n"/>
      <c r="C98" s="17" t="n"/>
      <c r="D98" s="10" t="n"/>
      <c r="E98" s="10" t="n"/>
      <c r="F98" s="17" t="n"/>
      <c r="G98" s="19" t="n"/>
      <c r="H98" s="16" t="n"/>
      <c r="I98" s="16" t="n"/>
      <c r="J98" s="16" t="n"/>
      <c r="K98" s="26" t="n"/>
      <c r="L98" s="26" t="n"/>
      <c r="M98" s="16" t="n"/>
      <c r="N98" s="9" t="n"/>
      <c r="O98" s="16" t="n"/>
      <c r="P98" s="16" t="n"/>
      <c r="Q98" s="24" t="n"/>
      <c r="R98" s="17" t="n"/>
      <c r="S98" s="17" t="n"/>
      <c r="T98" s="27" t="n"/>
      <c r="U98" s="27" t="n"/>
      <c r="V98" s="10" t="n"/>
    </row>
    <row r="99">
      <c r="A99" s="16" t="n"/>
      <c r="B99" s="17" t="n"/>
      <c r="C99" s="17" t="n"/>
      <c r="D99" s="10" t="n"/>
      <c r="E99" s="10" t="n"/>
      <c r="F99" s="17" t="n"/>
      <c r="G99" s="19" t="n"/>
      <c r="H99" s="16" t="n"/>
      <c r="I99" s="16" t="n"/>
      <c r="J99" s="16" t="n"/>
      <c r="K99" s="26" t="n"/>
      <c r="L99" s="26" t="n"/>
      <c r="M99" s="16" t="n"/>
      <c r="N99" s="9" t="n"/>
      <c r="O99" s="16" t="n"/>
      <c r="P99" s="16" t="n"/>
      <c r="Q99" s="24" t="n"/>
      <c r="R99" s="17" t="n"/>
      <c r="S99" s="17" t="n"/>
      <c r="T99" s="27" t="n"/>
      <c r="U99" s="27" t="n"/>
      <c r="V99" s="10" t="n"/>
    </row>
    <row r="100">
      <c r="A100" s="16" t="n"/>
      <c r="B100" s="17" t="n"/>
      <c r="C100" s="17" t="n"/>
      <c r="D100" s="10" t="n"/>
      <c r="E100" s="10" t="n"/>
      <c r="F100" s="17" t="n"/>
      <c r="G100" s="19" t="n"/>
      <c r="H100" s="16" t="n"/>
      <c r="I100" s="16" t="n"/>
      <c r="J100" s="16" t="n"/>
      <c r="K100" s="26" t="n"/>
      <c r="L100" s="26" t="n"/>
      <c r="M100" s="16" t="n"/>
      <c r="N100" s="9" t="n"/>
      <c r="O100" s="16" t="n"/>
      <c r="P100" s="16" t="n"/>
      <c r="Q100" s="24" t="n"/>
      <c r="R100" s="17" t="n"/>
      <c r="S100" s="17" t="n"/>
      <c r="T100" s="27" t="n"/>
      <c r="U100" s="27" t="n"/>
      <c r="V100" s="10" t="n"/>
    </row>
    <row r="101">
      <c r="A101" s="16" t="n"/>
      <c r="B101" s="17" t="n"/>
      <c r="C101" s="17" t="n"/>
      <c r="D101" s="10" t="n"/>
      <c r="E101" s="10" t="n"/>
      <c r="F101" s="17" t="n"/>
      <c r="G101" s="19" t="n"/>
      <c r="H101" s="16" t="n"/>
      <c r="I101" s="16" t="n"/>
      <c r="J101" s="16" t="n"/>
      <c r="K101" s="26" t="n"/>
      <c r="L101" s="26" t="n"/>
      <c r="M101" s="16" t="n"/>
      <c r="N101" s="9" t="n"/>
      <c r="O101" s="16" t="n"/>
      <c r="P101" s="16" t="n"/>
      <c r="Q101" s="24" t="n"/>
      <c r="R101" s="17" t="n"/>
      <c r="S101" s="17" t="n"/>
      <c r="T101" s="27" t="n"/>
      <c r="U101" s="27" t="n"/>
      <c r="V101" s="10" t="n"/>
    </row>
    <row r="102">
      <c r="A102" s="16" t="n"/>
      <c r="B102" s="17" t="n"/>
      <c r="C102" s="17" t="n"/>
      <c r="D102" s="10" t="n"/>
      <c r="E102" s="10" t="n"/>
      <c r="F102" s="17" t="n"/>
      <c r="G102" s="19" t="n"/>
      <c r="H102" s="16" t="n"/>
      <c r="I102" s="16" t="n"/>
      <c r="J102" s="16" t="n"/>
      <c r="K102" s="26" t="n"/>
      <c r="L102" s="26" t="n"/>
      <c r="M102" s="16" t="n"/>
      <c r="N102" s="9" t="n"/>
      <c r="O102" s="16" t="n"/>
      <c r="P102" s="16" t="n"/>
      <c r="Q102" s="24" t="n"/>
      <c r="R102" s="17" t="n"/>
      <c r="S102" s="17" t="n"/>
      <c r="T102" s="27" t="n"/>
      <c r="U102" s="27" t="n"/>
      <c r="V102" s="10" t="n"/>
    </row>
    <row r="103">
      <c r="A103" s="16" t="n"/>
      <c r="B103" s="17" t="n"/>
      <c r="C103" s="17" t="n"/>
      <c r="D103" s="10" t="n"/>
      <c r="E103" s="10" t="n"/>
      <c r="F103" s="17" t="n"/>
      <c r="G103" s="19" t="n"/>
      <c r="H103" s="16" t="n"/>
      <c r="I103" s="16" t="n"/>
      <c r="J103" s="16" t="n"/>
      <c r="K103" s="26" t="n"/>
      <c r="L103" s="26" t="n"/>
      <c r="M103" s="16" t="n"/>
      <c r="N103" s="9" t="n"/>
      <c r="O103" s="16" t="n"/>
      <c r="P103" s="16" t="n"/>
      <c r="Q103" s="24" t="n"/>
      <c r="R103" s="17" t="n"/>
      <c r="S103" s="17" t="n"/>
      <c r="T103" s="27" t="n"/>
      <c r="U103" s="27" t="n"/>
      <c r="V103" s="10" t="n"/>
    </row>
    <row r="104">
      <c r="A104" s="16" t="n"/>
      <c r="B104" s="17" t="n"/>
      <c r="C104" s="17" t="n"/>
      <c r="D104" s="10" t="n"/>
      <c r="E104" s="10" t="n"/>
      <c r="F104" s="17" t="n"/>
      <c r="G104" s="19" t="n"/>
      <c r="H104" s="16" t="n"/>
      <c r="I104" s="16" t="n"/>
      <c r="J104" s="16" t="n"/>
      <c r="K104" s="26" t="n"/>
      <c r="L104" s="26" t="n"/>
      <c r="M104" s="16" t="n"/>
      <c r="N104" s="9" t="n"/>
      <c r="O104" s="16" t="n"/>
      <c r="P104" s="16" t="n"/>
      <c r="Q104" s="24" t="n"/>
      <c r="R104" s="17" t="n"/>
      <c r="S104" s="17" t="n"/>
      <c r="T104" s="27" t="n"/>
      <c r="U104" s="27" t="n"/>
      <c r="V104" s="10" t="n"/>
    </row>
    <row r="105">
      <c r="A105" s="16" t="n"/>
      <c r="B105" s="17" t="n"/>
      <c r="C105" s="17" t="n"/>
      <c r="D105" s="10" t="n"/>
      <c r="E105" s="10" t="n"/>
      <c r="F105" s="17" t="n"/>
      <c r="G105" s="19" t="n"/>
      <c r="H105" s="16" t="n"/>
      <c r="I105" s="16" t="n"/>
      <c r="J105" s="16" t="n"/>
      <c r="K105" s="26" t="n"/>
      <c r="L105" s="26" t="n"/>
      <c r="M105" s="16" t="n"/>
      <c r="N105" s="9" t="n"/>
      <c r="O105" s="16" t="n"/>
      <c r="P105" s="16" t="n"/>
      <c r="Q105" s="24" t="n"/>
      <c r="R105" s="17" t="n"/>
      <c r="S105" s="17" t="n"/>
      <c r="T105" s="27" t="n"/>
      <c r="U105" s="27" t="n"/>
      <c r="V105" s="10" t="n"/>
    </row>
    <row r="106">
      <c r="A106" s="16" t="n"/>
      <c r="B106" s="17" t="n"/>
      <c r="C106" s="17" t="n"/>
      <c r="D106" s="10" t="n"/>
      <c r="E106" s="10" t="n"/>
      <c r="F106" s="17" t="n"/>
      <c r="G106" s="19" t="n"/>
      <c r="H106" s="16" t="n"/>
      <c r="I106" s="16" t="n"/>
      <c r="J106" s="16" t="n"/>
      <c r="K106" s="26" t="n"/>
      <c r="L106" s="26" t="n"/>
      <c r="M106" s="16" t="n"/>
      <c r="N106" s="9" t="n"/>
      <c r="O106" s="16" t="n"/>
      <c r="P106" s="16" t="n"/>
      <c r="Q106" s="24" t="n"/>
      <c r="R106" s="17" t="n"/>
      <c r="S106" s="17" t="n"/>
      <c r="T106" s="27" t="n"/>
      <c r="U106" s="27" t="n"/>
      <c r="V106" s="10" t="n"/>
    </row>
    <row r="107">
      <c r="A107" s="16" t="n"/>
      <c r="B107" s="17" t="n"/>
      <c r="C107" s="17" t="n"/>
      <c r="D107" s="10" t="n"/>
      <c r="E107" s="10" t="n"/>
      <c r="F107" s="17" t="n"/>
      <c r="G107" s="19" t="n"/>
      <c r="H107" s="16" t="n"/>
      <c r="I107" s="16" t="n"/>
      <c r="J107" s="16" t="n"/>
      <c r="K107" s="26" t="n"/>
      <c r="L107" s="26" t="n"/>
      <c r="M107" s="16" t="n"/>
      <c r="N107" s="9" t="n"/>
      <c r="O107" s="16" t="n"/>
      <c r="P107" s="16" t="n"/>
      <c r="Q107" s="24" t="n"/>
      <c r="R107" s="17" t="n"/>
      <c r="S107" s="17" t="n"/>
      <c r="T107" s="27" t="n"/>
      <c r="U107" s="27" t="n"/>
      <c r="V107" s="10" t="n"/>
    </row>
    <row r="108">
      <c r="A108" s="16" t="n"/>
      <c r="B108" s="17" t="n"/>
      <c r="C108" s="17" t="n"/>
      <c r="D108" s="10" t="n"/>
      <c r="E108" s="10" t="n"/>
      <c r="F108" s="17" t="n"/>
      <c r="G108" s="19" t="n"/>
      <c r="H108" s="16" t="n"/>
      <c r="I108" s="16" t="n"/>
      <c r="J108" s="16" t="n"/>
      <c r="K108" s="26" t="n"/>
      <c r="L108" s="26" t="n"/>
      <c r="M108" s="16" t="n"/>
      <c r="N108" s="9" t="n"/>
      <c r="O108" s="16" t="n"/>
      <c r="P108" s="16" t="n"/>
      <c r="Q108" s="24" t="n"/>
      <c r="R108" s="17" t="n"/>
      <c r="S108" s="17" t="n"/>
      <c r="T108" s="27" t="n"/>
      <c r="U108" s="27" t="n"/>
      <c r="V108" s="10" t="n"/>
    </row>
    <row r="109">
      <c r="A109" s="16" t="n"/>
      <c r="B109" s="17" t="n"/>
      <c r="C109" s="17" t="n"/>
      <c r="D109" s="10" t="n"/>
      <c r="E109" s="10" t="n"/>
      <c r="F109" s="17" t="n"/>
      <c r="G109" s="19" t="n"/>
      <c r="H109" s="16" t="n"/>
      <c r="I109" s="16" t="n"/>
      <c r="J109" s="16" t="n"/>
      <c r="K109" s="26" t="n"/>
      <c r="L109" s="26" t="n"/>
      <c r="M109" s="16" t="n"/>
      <c r="N109" s="9" t="n"/>
      <c r="O109" s="16" t="n"/>
      <c r="P109" s="16" t="n"/>
      <c r="Q109" s="24" t="n"/>
      <c r="R109" s="17" t="n"/>
      <c r="S109" s="17" t="n"/>
      <c r="T109" s="27" t="n"/>
      <c r="U109" s="27" t="n"/>
      <c r="V109" s="10" t="n"/>
    </row>
    <row r="110">
      <c r="A110" s="16" t="n"/>
      <c r="B110" s="17" t="n"/>
      <c r="C110" s="17" t="n"/>
      <c r="D110" s="10" t="n"/>
      <c r="E110" s="10" t="n"/>
      <c r="F110" s="17" t="n"/>
      <c r="G110" s="19" t="n"/>
      <c r="H110" s="16" t="n"/>
      <c r="I110" s="16" t="n"/>
      <c r="J110" s="16" t="n"/>
      <c r="K110" s="26" t="n"/>
      <c r="L110" s="26" t="n"/>
      <c r="M110" s="16" t="n"/>
      <c r="N110" s="9" t="n"/>
      <c r="O110" s="16" t="n"/>
      <c r="P110" s="16" t="n"/>
      <c r="Q110" s="24" t="n"/>
      <c r="R110" s="17" t="n"/>
      <c r="S110" s="17" t="n"/>
      <c r="T110" s="27" t="n"/>
      <c r="U110" s="27" t="n"/>
      <c r="V110" s="10" t="n"/>
    </row>
    <row r="111">
      <c r="A111" s="16" t="n"/>
      <c r="B111" s="17" t="n"/>
      <c r="C111" s="17" t="n"/>
      <c r="D111" s="10" t="n"/>
      <c r="E111" s="10" t="n"/>
      <c r="F111" s="17" t="n"/>
      <c r="G111" s="19" t="n"/>
      <c r="H111" s="16" t="n"/>
      <c r="I111" s="16" t="n"/>
      <c r="J111" s="16" t="n"/>
      <c r="K111" s="26" t="n"/>
      <c r="L111" s="26" t="n"/>
      <c r="M111" s="16" t="n"/>
      <c r="N111" s="9" t="n"/>
      <c r="O111" s="16" t="n"/>
      <c r="P111" s="16" t="n"/>
      <c r="Q111" s="24" t="n"/>
      <c r="R111" s="17" t="n"/>
      <c r="S111" s="17" t="n"/>
      <c r="T111" s="27" t="n"/>
      <c r="U111" s="27" t="n"/>
      <c r="V111" s="10" t="n"/>
    </row>
    <row r="112">
      <c r="A112" s="16" t="n"/>
      <c r="B112" s="17" t="n"/>
      <c r="C112" s="17" t="n"/>
      <c r="D112" s="10" t="n"/>
      <c r="E112" s="10" t="n"/>
      <c r="F112" s="17" t="n"/>
      <c r="G112" s="19" t="n"/>
      <c r="H112" s="16" t="n"/>
      <c r="I112" s="16" t="n"/>
      <c r="J112" s="16" t="n"/>
      <c r="K112" s="26" t="n"/>
      <c r="L112" s="26" t="n"/>
      <c r="M112" s="16" t="n"/>
      <c r="N112" s="9" t="n"/>
      <c r="O112" s="16" t="n"/>
      <c r="P112" s="16" t="n"/>
      <c r="Q112" s="24" t="n"/>
      <c r="R112" s="17" t="n"/>
      <c r="S112" s="17" t="n"/>
      <c r="T112" s="27" t="n"/>
      <c r="U112" s="27" t="n"/>
      <c r="V112" s="10" t="n"/>
    </row>
    <row r="113">
      <c r="A113" s="16" t="n"/>
      <c r="B113" s="17" t="n"/>
      <c r="C113" s="17" t="n"/>
      <c r="D113" s="10" t="n"/>
      <c r="E113" s="10" t="n"/>
      <c r="F113" s="17" t="n"/>
      <c r="G113" s="19" t="n"/>
      <c r="H113" s="16" t="n"/>
      <c r="I113" s="16" t="n"/>
      <c r="J113" s="16" t="n"/>
      <c r="K113" s="26" t="n"/>
      <c r="L113" s="26" t="n"/>
      <c r="M113" s="16" t="n"/>
      <c r="N113" s="9" t="n"/>
      <c r="O113" s="16" t="n"/>
      <c r="P113" s="16" t="n"/>
      <c r="Q113" s="24" t="n"/>
      <c r="R113" s="17" t="n"/>
      <c r="S113" s="17" t="n"/>
      <c r="T113" s="27" t="n"/>
      <c r="U113" s="27" t="n"/>
      <c r="V113" s="10" t="n"/>
    </row>
    <row r="114">
      <c r="A114" s="16" t="n"/>
      <c r="B114" s="17" t="n"/>
      <c r="C114" s="17" t="n"/>
      <c r="D114" s="10" t="n"/>
      <c r="E114" s="10" t="n"/>
      <c r="F114" s="17" t="n"/>
      <c r="G114" s="19" t="n"/>
      <c r="H114" s="16" t="n"/>
      <c r="I114" s="16" t="n"/>
      <c r="J114" s="16" t="n"/>
      <c r="K114" s="26" t="n"/>
      <c r="L114" s="26" t="n"/>
      <c r="M114" s="16" t="n"/>
      <c r="N114" s="9" t="n"/>
      <c r="O114" s="16" t="n"/>
      <c r="P114" s="16" t="n"/>
      <c r="Q114" s="24" t="n"/>
      <c r="R114" s="17" t="n"/>
      <c r="S114" s="17" t="n"/>
      <c r="T114" s="27" t="n"/>
      <c r="U114" s="27" t="n"/>
      <c r="V114" s="10" t="n"/>
    </row>
    <row r="115">
      <c r="A115" s="16" t="n"/>
      <c r="B115" s="17" t="n"/>
      <c r="C115" s="17" t="n"/>
      <c r="D115" s="10" t="n"/>
      <c r="E115" s="10" t="n"/>
      <c r="F115" s="17" t="n"/>
      <c r="G115" s="19" t="n"/>
      <c r="H115" s="16" t="n"/>
      <c r="I115" s="16" t="n"/>
      <c r="J115" s="16" t="n"/>
      <c r="K115" s="26" t="n"/>
      <c r="L115" s="26" t="n"/>
      <c r="M115" s="16" t="n"/>
      <c r="N115" s="9" t="n"/>
      <c r="O115" s="16" t="n"/>
      <c r="P115" s="16" t="n"/>
      <c r="Q115" s="24" t="n"/>
      <c r="R115" s="17" t="n"/>
      <c r="S115" s="17" t="n"/>
      <c r="T115" s="27" t="n"/>
      <c r="U115" s="27" t="n"/>
      <c r="V115" s="10" t="n"/>
    </row>
    <row r="116">
      <c r="A116" s="16" t="n"/>
      <c r="B116" s="17" t="n"/>
      <c r="C116" s="17" t="n"/>
      <c r="D116" s="10" t="n"/>
      <c r="E116" s="10" t="n"/>
      <c r="F116" s="17" t="n"/>
      <c r="G116" s="19" t="n"/>
      <c r="H116" s="16" t="n"/>
      <c r="I116" s="16" t="n"/>
      <c r="J116" s="16" t="n"/>
      <c r="K116" s="26" t="n"/>
      <c r="L116" s="26" t="n"/>
      <c r="M116" s="16" t="n"/>
      <c r="N116" s="9" t="n"/>
      <c r="O116" s="16" t="n"/>
      <c r="P116" s="16" t="n"/>
      <c r="Q116" s="24" t="n"/>
      <c r="R116" s="17" t="n"/>
      <c r="S116" s="17" t="n"/>
      <c r="T116" s="27" t="n"/>
      <c r="U116" s="27" t="n"/>
      <c r="V116" s="10" t="n"/>
    </row>
    <row r="117">
      <c r="A117" s="16" t="n"/>
      <c r="B117" s="17" t="n"/>
      <c r="C117" s="17" t="n"/>
      <c r="D117" s="10" t="n"/>
      <c r="E117" s="10" t="n"/>
      <c r="F117" s="17" t="n"/>
      <c r="G117" s="19" t="n"/>
      <c r="H117" s="16" t="n"/>
      <c r="I117" s="16" t="n"/>
      <c r="J117" s="16" t="n"/>
      <c r="K117" s="26" t="n"/>
      <c r="L117" s="26" t="n"/>
      <c r="M117" s="16" t="n"/>
      <c r="N117" s="9" t="n"/>
      <c r="O117" s="16" t="n"/>
      <c r="P117" s="16" t="n"/>
      <c r="Q117" s="24" t="n"/>
      <c r="R117" s="17" t="n"/>
      <c r="S117" s="17" t="n"/>
      <c r="T117" s="27" t="n"/>
      <c r="U117" s="27" t="n"/>
      <c r="V117" s="10" t="n"/>
    </row>
    <row r="118">
      <c r="A118" s="16" t="n"/>
      <c r="B118" s="17" t="n"/>
      <c r="C118" s="17" t="n"/>
      <c r="D118" s="10" t="n"/>
      <c r="E118" s="10" t="n"/>
      <c r="F118" s="17" t="n"/>
      <c r="G118" s="19" t="n"/>
      <c r="H118" s="16" t="n"/>
      <c r="I118" s="16" t="n"/>
      <c r="J118" s="16" t="n"/>
      <c r="K118" s="26" t="n"/>
      <c r="L118" s="26" t="n"/>
      <c r="M118" s="16" t="n"/>
      <c r="N118" s="9" t="n"/>
      <c r="O118" s="16" t="n"/>
      <c r="P118" s="16" t="n"/>
      <c r="Q118" s="24" t="n"/>
      <c r="R118" s="17" t="n"/>
      <c r="S118" s="17" t="n"/>
      <c r="T118" s="27" t="n"/>
      <c r="U118" s="27" t="n"/>
      <c r="V118" s="10" t="n"/>
    </row>
    <row r="119">
      <c r="A119" s="16" t="n"/>
      <c r="B119" s="17" t="n"/>
      <c r="C119" s="17" t="n"/>
      <c r="D119" s="10" t="n"/>
      <c r="E119" s="10" t="n"/>
      <c r="F119" s="17" t="n"/>
      <c r="G119" s="19" t="n"/>
      <c r="H119" s="16" t="n"/>
      <c r="I119" s="16" t="n"/>
      <c r="J119" s="16" t="n"/>
      <c r="K119" s="26" t="n"/>
      <c r="L119" s="26" t="n"/>
      <c r="M119" s="16" t="n"/>
      <c r="N119" s="9" t="n"/>
      <c r="O119" s="16" t="n"/>
      <c r="P119" s="16" t="n"/>
      <c r="Q119" s="24" t="n"/>
      <c r="R119" s="17" t="n"/>
      <c r="S119" s="17" t="n"/>
      <c r="T119" s="27" t="n"/>
      <c r="U119" s="27" t="n"/>
      <c r="V119" s="10" t="n"/>
    </row>
    <row r="120">
      <c r="A120" s="16" t="n"/>
      <c r="B120" s="17" t="n"/>
      <c r="C120" s="17" t="n"/>
      <c r="D120" s="10" t="n"/>
      <c r="E120" s="10" t="n"/>
      <c r="F120" s="17" t="n"/>
      <c r="G120" s="19" t="n"/>
      <c r="H120" s="16" t="n"/>
      <c r="I120" s="16" t="n"/>
      <c r="J120" s="16" t="n"/>
      <c r="K120" s="26" t="n"/>
      <c r="L120" s="26" t="n"/>
      <c r="M120" s="16" t="n"/>
      <c r="N120" s="9" t="n"/>
      <c r="O120" s="16" t="n"/>
      <c r="P120" s="16" t="n"/>
      <c r="Q120" s="24" t="n"/>
      <c r="R120" s="17" t="n"/>
      <c r="S120" s="17" t="n"/>
      <c r="T120" s="27" t="n"/>
      <c r="U120" s="27" t="n"/>
      <c r="V120" s="10" t="n"/>
    </row>
    <row r="121">
      <c r="A121" s="16" t="n"/>
      <c r="B121" s="17" t="n"/>
      <c r="C121" s="17" t="n"/>
      <c r="D121" s="10" t="n"/>
      <c r="E121" s="10" t="n"/>
      <c r="F121" s="17" t="n"/>
      <c r="G121" s="19" t="n"/>
      <c r="H121" s="16" t="n"/>
      <c r="I121" s="16" t="n"/>
      <c r="J121" s="16" t="n"/>
      <c r="K121" s="26" t="n"/>
      <c r="L121" s="26" t="n"/>
      <c r="M121" s="16" t="n"/>
      <c r="N121" s="9" t="n"/>
      <c r="O121" s="16" t="n"/>
      <c r="P121" s="16" t="n"/>
      <c r="Q121" s="24" t="n"/>
      <c r="R121" s="17" t="n"/>
      <c r="S121" s="17" t="n"/>
      <c r="T121" s="27" t="n"/>
      <c r="U121" s="27" t="n"/>
      <c r="V121" s="10" t="n"/>
    </row>
    <row r="122">
      <c r="A122" s="16" t="n"/>
      <c r="B122" s="17" t="n"/>
      <c r="C122" s="17" t="n"/>
      <c r="D122" s="10" t="n"/>
      <c r="E122" s="10" t="n"/>
      <c r="F122" s="17" t="n"/>
      <c r="G122" s="19" t="n"/>
      <c r="H122" s="16" t="n"/>
      <c r="I122" s="16" t="n"/>
      <c r="J122" s="16" t="n"/>
      <c r="K122" s="26" t="n"/>
      <c r="L122" s="26" t="n"/>
      <c r="M122" s="16" t="n"/>
      <c r="N122" s="9" t="n"/>
      <c r="O122" s="16" t="n"/>
      <c r="P122" s="16" t="n"/>
      <c r="Q122" s="24" t="n"/>
      <c r="R122" s="17" t="n"/>
      <c r="S122" s="17" t="n"/>
      <c r="T122" s="27" t="n"/>
      <c r="U122" s="27" t="n"/>
      <c r="V122" s="10" t="n"/>
    </row>
    <row r="123">
      <c r="A123" s="16" t="n"/>
      <c r="B123" s="17" t="n"/>
      <c r="C123" s="17" t="n"/>
      <c r="D123" s="10" t="n"/>
      <c r="E123" s="10" t="n"/>
      <c r="F123" s="17" t="n"/>
      <c r="G123" s="19" t="n"/>
      <c r="H123" s="16" t="n"/>
      <c r="I123" s="16" t="n"/>
      <c r="J123" s="16" t="n"/>
      <c r="K123" s="26" t="n"/>
      <c r="L123" s="26" t="n"/>
      <c r="M123" s="16" t="n"/>
      <c r="N123" s="9" t="n"/>
      <c r="O123" s="16" t="n"/>
      <c r="P123" s="16" t="n"/>
      <c r="Q123" s="24" t="n"/>
      <c r="R123" s="17" t="n"/>
      <c r="S123" s="17" t="n"/>
      <c r="T123" s="27" t="n"/>
      <c r="U123" s="27" t="n"/>
      <c r="V123" s="10" t="n"/>
    </row>
    <row r="124">
      <c r="A124" s="16" t="n"/>
      <c r="B124" s="17" t="n"/>
      <c r="C124" s="17" t="n"/>
      <c r="D124" s="10" t="n"/>
      <c r="E124" s="10" t="n"/>
      <c r="F124" s="17" t="n"/>
      <c r="G124" s="19" t="n"/>
      <c r="H124" s="16" t="n"/>
      <c r="I124" s="16" t="n"/>
      <c r="J124" s="16" t="n"/>
      <c r="K124" s="26" t="n"/>
      <c r="L124" s="26" t="n"/>
      <c r="M124" s="16" t="n"/>
      <c r="N124" s="9" t="n"/>
      <c r="O124" s="16" t="n"/>
      <c r="P124" s="16" t="n"/>
      <c r="Q124" s="24" t="n"/>
      <c r="R124" s="17" t="n"/>
      <c r="S124" s="17" t="n"/>
      <c r="T124" s="27" t="n"/>
      <c r="U124" s="27" t="n"/>
      <c r="V124" s="10" t="n"/>
    </row>
    <row r="125">
      <c r="A125" s="16" t="n"/>
      <c r="B125" s="17" t="n"/>
      <c r="C125" s="17" t="n"/>
      <c r="D125" s="10" t="n"/>
      <c r="E125" s="10" t="n"/>
      <c r="F125" s="17" t="n"/>
      <c r="G125" s="19" t="n"/>
      <c r="H125" s="16" t="n"/>
      <c r="I125" s="16" t="n"/>
      <c r="J125" s="16" t="n"/>
      <c r="K125" s="26" t="n"/>
      <c r="L125" s="26" t="n"/>
      <c r="M125" s="16" t="n"/>
      <c r="N125" s="9" t="n"/>
      <c r="O125" s="16" t="n"/>
      <c r="P125" s="16" t="n"/>
      <c r="Q125" s="24" t="n"/>
      <c r="R125" s="17" t="n"/>
      <c r="S125" s="17" t="n"/>
      <c r="T125" s="27" t="n"/>
      <c r="U125" s="27" t="n"/>
      <c r="V125" s="10" t="n"/>
    </row>
    <row r="126">
      <c r="A126" s="16" t="n"/>
      <c r="B126" s="17" t="n"/>
      <c r="C126" s="17" t="n"/>
      <c r="D126" s="10" t="n"/>
      <c r="E126" s="10" t="n"/>
      <c r="F126" s="17" t="n"/>
      <c r="G126" s="19" t="n"/>
      <c r="H126" s="16" t="n"/>
      <c r="I126" s="16" t="n"/>
      <c r="J126" s="16" t="n"/>
      <c r="K126" s="26" t="n"/>
      <c r="L126" s="26" t="n"/>
      <c r="M126" s="16" t="n"/>
      <c r="N126" s="9" t="n"/>
      <c r="O126" s="16" t="n"/>
      <c r="P126" s="16" t="n"/>
      <c r="Q126" s="24" t="n"/>
      <c r="R126" s="17" t="n"/>
      <c r="S126" s="17" t="n"/>
      <c r="T126" s="27" t="n"/>
      <c r="U126" s="27" t="n"/>
      <c r="V126" s="10" t="n"/>
    </row>
    <row r="127">
      <c r="A127" s="16" t="n"/>
      <c r="B127" s="17" t="n"/>
      <c r="C127" s="17" t="n"/>
      <c r="D127" s="10" t="n"/>
      <c r="E127" s="10" t="n"/>
      <c r="F127" s="17" t="n"/>
      <c r="G127" s="19" t="n"/>
      <c r="H127" s="16" t="n"/>
      <c r="I127" s="16" t="n"/>
      <c r="J127" s="16" t="n"/>
      <c r="K127" s="26" t="n"/>
      <c r="L127" s="26" t="n"/>
      <c r="M127" s="16" t="n"/>
      <c r="N127" s="9" t="n"/>
      <c r="O127" s="16" t="n"/>
      <c r="P127" s="16" t="n"/>
      <c r="Q127" s="24" t="n"/>
      <c r="R127" s="17" t="n"/>
      <c r="S127" s="17" t="n"/>
      <c r="T127" s="27" t="n"/>
      <c r="U127" s="27" t="n"/>
      <c r="V127" s="10" t="n"/>
    </row>
    <row r="128">
      <c r="A128" s="16" t="n"/>
      <c r="B128" s="17" t="n"/>
      <c r="C128" s="17" t="n"/>
      <c r="D128" s="10" t="n"/>
      <c r="E128" s="10" t="n"/>
      <c r="F128" s="17" t="n"/>
      <c r="G128" s="19" t="n"/>
      <c r="H128" s="16" t="n"/>
      <c r="I128" s="16" t="n"/>
      <c r="J128" s="16" t="n"/>
      <c r="K128" s="26" t="n"/>
      <c r="L128" s="26" t="n"/>
      <c r="M128" s="16" t="n"/>
      <c r="N128" s="9" t="n"/>
      <c r="O128" s="16" t="n"/>
      <c r="P128" s="16" t="n"/>
      <c r="Q128" s="24" t="n"/>
      <c r="R128" s="17" t="n"/>
      <c r="S128" s="17" t="n"/>
      <c r="T128" s="27" t="n"/>
      <c r="U128" s="27" t="n"/>
      <c r="V128" s="10" t="n"/>
    </row>
    <row r="129">
      <c r="A129" s="16" t="n"/>
      <c r="B129" s="17" t="n"/>
      <c r="C129" s="17" t="n"/>
      <c r="D129" s="10" t="n"/>
      <c r="E129" s="10" t="n"/>
      <c r="F129" s="17" t="n"/>
      <c r="G129" s="19" t="n"/>
      <c r="H129" s="16" t="n"/>
      <c r="I129" s="16" t="n"/>
      <c r="J129" s="16" t="n"/>
      <c r="K129" s="26" t="n"/>
      <c r="L129" s="26" t="n"/>
      <c r="M129" s="16" t="n"/>
      <c r="N129" s="9" t="n"/>
      <c r="O129" s="16" t="n"/>
      <c r="P129" s="16" t="n"/>
      <c r="Q129" s="24" t="n"/>
      <c r="R129" s="17" t="n"/>
      <c r="S129" s="17" t="n"/>
      <c r="T129" s="27" t="n"/>
      <c r="U129" s="27" t="n"/>
      <c r="V129" s="10" t="n"/>
    </row>
    <row r="130">
      <c r="A130" s="16" t="n"/>
      <c r="B130" s="17" t="n"/>
      <c r="C130" s="17" t="n"/>
      <c r="D130" s="10" t="n"/>
      <c r="E130" s="10" t="n"/>
      <c r="F130" s="17" t="n"/>
      <c r="G130" s="19" t="n"/>
      <c r="H130" s="16" t="n"/>
      <c r="I130" s="16" t="n"/>
      <c r="J130" s="16" t="n"/>
      <c r="K130" s="26" t="n"/>
      <c r="L130" s="26" t="n"/>
      <c r="M130" s="16" t="n"/>
      <c r="N130" s="9" t="n"/>
      <c r="O130" s="16" t="n"/>
      <c r="P130" s="16" t="n"/>
      <c r="Q130" s="24" t="n"/>
      <c r="R130" s="17" t="n"/>
      <c r="S130" s="17" t="n"/>
      <c r="T130" s="27" t="n"/>
      <c r="U130" s="27" t="n"/>
      <c r="V130" s="10" t="n"/>
    </row>
    <row r="131">
      <c r="A131" s="16" t="n"/>
      <c r="B131" s="17" t="n"/>
      <c r="C131" s="17" t="n"/>
      <c r="D131" s="10" t="n"/>
      <c r="E131" s="10" t="n"/>
      <c r="F131" s="17" t="n"/>
      <c r="G131" s="19" t="n"/>
      <c r="H131" s="16" t="n"/>
      <c r="I131" s="16" t="n"/>
      <c r="J131" s="16" t="n"/>
      <c r="K131" s="26" t="n"/>
      <c r="L131" s="26" t="n"/>
      <c r="M131" s="16" t="n"/>
      <c r="N131" s="9" t="n"/>
      <c r="O131" s="16" t="n"/>
      <c r="P131" s="16" t="n"/>
      <c r="Q131" s="24" t="n"/>
      <c r="R131" s="17" t="n"/>
      <c r="S131" s="17" t="n"/>
      <c r="T131" s="27" t="n"/>
      <c r="U131" s="27" t="n"/>
      <c r="V131" s="10" t="n"/>
    </row>
    <row r="132">
      <c r="A132" s="16" t="n"/>
      <c r="B132" s="17" t="n"/>
      <c r="C132" s="17" t="n"/>
      <c r="D132" s="10" t="n"/>
      <c r="E132" s="10" t="n"/>
      <c r="F132" s="17" t="n"/>
      <c r="G132" s="19" t="n"/>
      <c r="H132" s="16" t="n"/>
      <c r="I132" s="16" t="n"/>
      <c r="J132" s="16" t="n"/>
      <c r="K132" s="26" t="n"/>
      <c r="L132" s="26" t="n"/>
      <c r="M132" s="16" t="n"/>
      <c r="N132" s="9" t="n"/>
      <c r="O132" s="16" t="n"/>
      <c r="P132" s="16" t="n"/>
      <c r="Q132" s="24" t="n"/>
      <c r="R132" s="17" t="n"/>
      <c r="S132" s="17" t="n"/>
      <c r="T132" s="27" t="n"/>
      <c r="U132" s="27" t="n"/>
      <c r="V132" s="10" t="n"/>
    </row>
    <row r="133">
      <c r="A133" s="16" t="n"/>
      <c r="B133" s="17" t="n"/>
      <c r="C133" s="17" t="n"/>
      <c r="D133" s="10" t="n"/>
      <c r="E133" s="10" t="n"/>
      <c r="F133" s="17" t="n"/>
      <c r="G133" s="19" t="n"/>
      <c r="H133" s="16" t="n"/>
      <c r="I133" s="16" t="n"/>
      <c r="J133" s="16" t="n"/>
      <c r="K133" s="26" t="n"/>
      <c r="L133" s="26" t="n"/>
      <c r="M133" s="16" t="n"/>
      <c r="N133" s="9" t="n"/>
      <c r="O133" s="16" t="n"/>
      <c r="P133" s="16" t="n"/>
      <c r="Q133" s="24" t="n"/>
      <c r="R133" s="17" t="n"/>
      <c r="S133" s="17" t="n"/>
      <c r="T133" s="27" t="n"/>
      <c r="U133" s="27" t="n"/>
      <c r="V133" s="10" t="n"/>
    </row>
    <row r="134">
      <c r="A134" s="16" t="n"/>
      <c r="B134" s="17" t="n"/>
      <c r="C134" s="17" t="n"/>
      <c r="D134" s="10" t="n"/>
      <c r="E134" s="10" t="n"/>
      <c r="F134" s="17" t="n"/>
      <c r="G134" s="19" t="n"/>
      <c r="H134" s="16" t="n"/>
      <c r="I134" s="16" t="n"/>
      <c r="J134" s="16" t="n"/>
      <c r="K134" s="26" t="n"/>
      <c r="L134" s="26" t="n"/>
      <c r="M134" s="16" t="n"/>
      <c r="N134" s="9" t="n"/>
      <c r="O134" s="16" t="n"/>
      <c r="P134" s="16" t="n"/>
      <c r="Q134" s="24" t="n"/>
      <c r="R134" s="17" t="n"/>
      <c r="S134" s="17" t="n"/>
      <c r="T134" s="27" t="n"/>
      <c r="U134" s="27" t="n"/>
      <c r="V134" s="10" t="n"/>
    </row>
    <row r="135">
      <c r="A135" s="16" t="n"/>
      <c r="B135" s="17" t="n"/>
      <c r="C135" s="17" t="n"/>
      <c r="D135" s="10" t="n"/>
      <c r="E135" s="10" t="n"/>
      <c r="F135" s="17" t="n"/>
      <c r="G135" s="19" t="n"/>
      <c r="H135" s="16" t="n"/>
      <c r="I135" s="16" t="n"/>
      <c r="J135" s="16" t="n"/>
      <c r="K135" s="26" t="n"/>
      <c r="L135" s="26" t="n"/>
      <c r="M135" s="16" t="n"/>
      <c r="N135" s="9" t="n"/>
      <c r="O135" s="16" t="n"/>
      <c r="P135" s="16" t="n"/>
      <c r="Q135" s="24" t="n"/>
      <c r="R135" s="17" t="n"/>
      <c r="S135" s="17" t="n"/>
      <c r="T135" s="27" t="n"/>
      <c r="U135" s="27" t="n"/>
      <c r="V135" s="10" t="n"/>
    </row>
    <row r="136">
      <c r="A136" s="16" t="n"/>
      <c r="B136" s="17" t="n"/>
      <c r="C136" s="17" t="n"/>
      <c r="D136" s="10" t="n"/>
      <c r="E136" s="10" t="n"/>
      <c r="F136" s="17" t="n"/>
      <c r="G136" s="19" t="n"/>
      <c r="H136" s="16" t="n"/>
      <c r="I136" s="16" t="n"/>
      <c r="J136" s="16" t="n"/>
      <c r="K136" s="26" t="n"/>
      <c r="L136" s="26" t="n"/>
      <c r="M136" s="16" t="n"/>
      <c r="N136" s="9" t="n"/>
      <c r="O136" s="16" t="n"/>
      <c r="P136" s="16" t="n"/>
      <c r="Q136" s="24" t="n"/>
      <c r="R136" s="17" t="n"/>
      <c r="S136" s="17" t="n"/>
      <c r="T136" s="27" t="n"/>
      <c r="U136" s="27" t="n"/>
      <c r="V136" s="10" t="n"/>
    </row>
    <row r="137">
      <c r="A137" s="16" t="n"/>
      <c r="B137" s="17" t="n"/>
      <c r="C137" s="17" t="n"/>
      <c r="D137" s="10" t="n"/>
      <c r="E137" s="10" t="n"/>
      <c r="F137" s="17" t="n"/>
      <c r="G137" s="19" t="n"/>
      <c r="H137" s="16" t="n"/>
      <c r="I137" s="16" t="n"/>
      <c r="J137" s="16" t="n"/>
      <c r="K137" s="26" t="n"/>
      <c r="L137" s="26" t="n"/>
      <c r="M137" s="16" t="n"/>
      <c r="N137" s="9" t="n"/>
      <c r="O137" s="16" t="n"/>
      <c r="P137" s="16" t="n"/>
      <c r="Q137" s="24" t="n"/>
      <c r="R137" s="17" t="n"/>
      <c r="S137" s="17" t="n"/>
      <c r="T137" s="27" t="n"/>
      <c r="U137" s="27" t="n"/>
      <c r="V137" s="10" t="n"/>
    </row>
    <row r="138">
      <c r="A138" s="16" t="n"/>
      <c r="B138" s="17" t="n"/>
      <c r="C138" s="17" t="n"/>
      <c r="D138" s="10" t="n"/>
      <c r="E138" s="10" t="n"/>
      <c r="F138" s="17" t="n"/>
      <c r="G138" s="19" t="n"/>
      <c r="H138" s="16" t="n"/>
      <c r="I138" s="16" t="n"/>
      <c r="J138" s="16" t="n"/>
      <c r="K138" s="26" t="n"/>
      <c r="L138" s="26" t="n"/>
      <c r="M138" s="16" t="n"/>
      <c r="N138" s="9" t="n"/>
      <c r="O138" s="16" t="n"/>
      <c r="P138" s="16" t="n"/>
      <c r="Q138" s="24" t="n"/>
      <c r="R138" s="17" t="n"/>
      <c r="S138" s="17" t="n"/>
      <c r="T138" s="27" t="n"/>
      <c r="U138" s="27" t="n"/>
      <c r="V138" s="10" t="n"/>
    </row>
    <row r="139">
      <c r="A139" s="16" t="n"/>
      <c r="B139" s="17" t="n"/>
      <c r="C139" s="17" t="n"/>
      <c r="D139" s="10" t="n"/>
      <c r="E139" s="10" t="n"/>
      <c r="F139" s="17" t="n"/>
      <c r="G139" s="19" t="n"/>
      <c r="H139" s="16" t="n"/>
      <c r="I139" s="16" t="n"/>
      <c r="J139" s="16" t="n"/>
      <c r="K139" s="26" t="n"/>
      <c r="L139" s="26" t="n"/>
      <c r="M139" s="16" t="n"/>
      <c r="N139" s="9" t="n"/>
      <c r="O139" s="16" t="n"/>
      <c r="P139" s="16" t="n"/>
      <c r="Q139" s="24" t="n"/>
      <c r="R139" s="17" t="n"/>
      <c r="S139" s="17" t="n"/>
      <c r="T139" s="27" t="n"/>
      <c r="U139" s="27" t="n"/>
      <c r="V139" s="10" t="n"/>
    </row>
    <row r="140">
      <c r="A140" s="16" t="n"/>
      <c r="B140" s="17" t="n"/>
      <c r="C140" s="17" t="n"/>
      <c r="D140" s="10" t="n"/>
      <c r="E140" s="10" t="n"/>
      <c r="F140" s="17" t="n"/>
      <c r="G140" s="19" t="n"/>
      <c r="H140" s="16" t="n"/>
      <c r="I140" s="16" t="n"/>
      <c r="J140" s="16" t="n"/>
      <c r="K140" s="26" t="n"/>
      <c r="L140" s="26" t="n"/>
      <c r="M140" s="16" t="n"/>
      <c r="N140" s="9" t="n"/>
      <c r="O140" s="16" t="n"/>
      <c r="P140" s="16" t="n"/>
      <c r="Q140" s="24" t="n"/>
      <c r="R140" s="17" t="n"/>
      <c r="S140" s="17" t="n"/>
      <c r="T140" s="27" t="n"/>
      <c r="U140" s="27" t="n"/>
      <c r="V140" s="10" t="n"/>
    </row>
    <row r="141">
      <c r="A141" s="16" t="n"/>
      <c r="B141" s="17" t="n"/>
      <c r="C141" s="17" t="n"/>
      <c r="D141" s="10" t="n"/>
      <c r="E141" s="10" t="n"/>
      <c r="F141" s="17" t="n"/>
      <c r="G141" s="19" t="n"/>
      <c r="H141" s="16" t="n"/>
      <c r="I141" s="16" t="n"/>
      <c r="J141" s="16" t="n"/>
      <c r="K141" s="26" t="n"/>
      <c r="L141" s="26" t="n"/>
      <c r="M141" s="16" t="n"/>
      <c r="N141" s="9" t="n"/>
      <c r="O141" s="16" t="n"/>
      <c r="P141" s="16" t="n"/>
      <c r="Q141" s="24" t="n"/>
      <c r="R141" s="17" t="n"/>
      <c r="S141" s="17" t="n"/>
      <c r="T141" s="27" t="n"/>
      <c r="U141" s="27" t="n"/>
      <c r="V141" s="10" t="n"/>
    </row>
    <row r="142">
      <c r="A142" s="16" t="n"/>
      <c r="B142" s="17" t="n"/>
      <c r="C142" s="17" t="n"/>
      <c r="D142" s="10" t="n"/>
      <c r="E142" s="10" t="n"/>
      <c r="F142" s="17" t="n"/>
      <c r="G142" s="19" t="n"/>
      <c r="H142" s="16" t="n"/>
      <c r="I142" s="16" t="n"/>
      <c r="J142" s="16" t="n"/>
      <c r="K142" s="26" t="n"/>
      <c r="L142" s="26" t="n"/>
      <c r="M142" s="16" t="n"/>
      <c r="N142" s="9" t="n"/>
      <c r="O142" s="16" t="n"/>
      <c r="P142" s="16" t="n"/>
      <c r="Q142" s="24" t="n"/>
      <c r="R142" s="17" t="n"/>
      <c r="S142" s="17" t="n"/>
      <c r="T142" s="27" t="n"/>
      <c r="U142" s="27" t="n"/>
      <c r="V142" s="10" t="n"/>
    </row>
    <row r="143">
      <c r="A143" s="16" t="n"/>
      <c r="B143" s="17" t="n"/>
      <c r="C143" s="17" t="n"/>
      <c r="D143" s="10" t="n"/>
      <c r="E143" s="10" t="n"/>
      <c r="F143" s="17" t="n"/>
      <c r="G143" s="19" t="n"/>
      <c r="H143" s="16" t="n"/>
      <c r="I143" s="16" t="n"/>
      <c r="J143" s="16" t="n"/>
      <c r="K143" s="26" t="n"/>
      <c r="L143" s="26" t="n"/>
      <c r="M143" s="16" t="n"/>
      <c r="N143" s="9" t="n"/>
      <c r="O143" s="16" t="n"/>
      <c r="P143" s="16" t="n"/>
      <c r="Q143" s="24" t="n"/>
      <c r="R143" s="17" t="n"/>
      <c r="S143" s="17" t="n"/>
      <c r="T143" s="27" t="n"/>
      <c r="U143" s="27" t="n"/>
      <c r="V143" s="10" t="n"/>
    </row>
    <row r="144">
      <c r="A144" s="16" t="n"/>
      <c r="B144" s="17" t="n"/>
      <c r="C144" s="17" t="n"/>
      <c r="D144" s="10" t="n"/>
      <c r="E144" s="10" t="n"/>
      <c r="F144" s="17" t="n"/>
      <c r="G144" s="19" t="n"/>
      <c r="H144" s="16" t="n"/>
      <c r="I144" s="16" t="n"/>
      <c r="J144" s="16" t="n"/>
      <c r="K144" s="26" t="n"/>
      <c r="L144" s="26" t="n"/>
      <c r="M144" s="16" t="n"/>
      <c r="N144" s="9" t="n"/>
      <c r="O144" s="16" t="n"/>
      <c r="P144" s="16" t="n"/>
      <c r="Q144" s="24" t="n"/>
      <c r="R144" s="17" t="n"/>
      <c r="S144" s="17" t="n"/>
      <c r="T144" s="27" t="n"/>
      <c r="U144" s="27" t="n"/>
      <c r="V144" s="10" t="n"/>
    </row>
    <row r="145">
      <c r="A145" s="16" t="n"/>
      <c r="B145" s="17" t="n"/>
      <c r="C145" s="17" t="n"/>
      <c r="D145" s="10" t="n"/>
      <c r="E145" s="10" t="n"/>
      <c r="F145" s="17" t="n"/>
      <c r="G145" s="19" t="n"/>
      <c r="H145" s="16" t="n"/>
      <c r="I145" s="16" t="n"/>
      <c r="J145" s="16" t="n"/>
      <c r="K145" s="26" t="n"/>
      <c r="L145" s="26" t="n"/>
      <c r="M145" s="16" t="n"/>
      <c r="N145" s="9" t="n"/>
      <c r="O145" s="16" t="n"/>
      <c r="P145" s="16" t="n"/>
      <c r="Q145" s="24" t="n"/>
      <c r="R145" s="17" t="n"/>
      <c r="S145" s="17" t="n"/>
      <c r="T145" s="27" t="n"/>
      <c r="U145" s="27" t="n"/>
      <c r="V145" s="10" t="n"/>
    </row>
    <row r="146">
      <c r="A146" s="16" t="n"/>
      <c r="B146" s="17" t="n"/>
      <c r="C146" s="17" t="n"/>
      <c r="D146" s="10" t="n"/>
      <c r="E146" s="10" t="n"/>
      <c r="F146" s="17" t="n"/>
      <c r="G146" s="19" t="n"/>
      <c r="H146" s="16" t="n"/>
      <c r="I146" s="16" t="n"/>
      <c r="J146" s="16" t="n"/>
      <c r="K146" s="26" t="n"/>
      <c r="L146" s="26" t="n"/>
      <c r="M146" s="16" t="n"/>
      <c r="N146" s="9" t="n"/>
      <c r="O146" s="16" t="n"/>
      <c r="P146" s="16" t="n"/>
      <c r="Q146" s="24" t="n"/>
      <c r="R146" s="17" t="n"/>
      <c r="S146" s="17" t="n"/>
      <c r="T146" s="27" t="n"/>
      <c r="U146" s="27" t="n"/>
      <c r="V146" s="10" t="n"/>
    </row>
    <row r="147">
      <c r="A147" s="16" t="n"/>
      <c r="B147" s="17" t="n"/>
      <c r="C147" s="17" t="n"/>
      <c r="D147" s="10" t="n"/>
      <c r="E147" s="10" t="n"/>
      <c r="F147" s="17" t="n"/>
      <c r="G147" s="19" t="n"/>
      <c r="H147" s="16" t="n"/>
      <c r="I147" s="16" t="n"/>
      <c r="J147" s="16" t="n"/>
      <c r="K147" s="26" t="n"/>
      <c r="L147" s="26" t="n"/>
      <c r="M147" s="16" t="n"/>
      <c r="N147" s="9" t="n"/>
      <c r="O147" s="16" t="n"/>
      <c r="P147" s="16" t="n"/>
      <c r="Q147" s="24" t="n"/>
      <c r="R147" s="17" t="n"/>
      <c r="S147" s="17" t="n"/>
      <c r="T147" s="27" t="n"/>
      <c r="U147" s="27" t="n"/>
      <c r="V147" s="10" t="n"/>
    </row>
    <row r="148">
      <c r="A148" s="16" t="n"/>
      <c r="B148" s="17" t="n"/>
      <c r="C148" s="17" t="n"/>
      <c r="D148" s="10" t="n"/>
      <c r="E148" s="10" t="n"/>
      <c r="F148" s="17" t="n"/>
      <c r="G148" s="19" t="n"/>
      <c r="H148" s="16" t="n"/>
      <c r="I148" s="16" t="n"/>
      <c r="J148" s="16" t="n"/>
      <c r="K148" s="26" t="n"/>
      <c r="L148" s="26" t="n"/>
      <c r="M148" s="16" t="n"/>
      <c r="N148" s="9" t="n"/>
      <c r="O148" s="16" t="n"/>
      <c r="P148" s="16" t="n"/>
      <c r="Q148" s="24" t="n"/>
      <c r="R148" s="17" t="n"/>
      <c r="S148" s="17" t="n"/>
      <c r="T148" s="27" t="n"/>
      <c r="U148" s="27" t="n"/>
      <c r="V148" s="10" t="n"/>
    </row>
    <row r="149">
      <c r="A149" s="16" t="n"/>
      <c r="B149" s="17" t="n"/>
      <c r="C149" s="17" t="n"/>
      <c r="D149" s="10" t="n"/>
      <c r="E149" s="10" t="n"/>
      <c r="F149" s="17" t="n"/>
      <c r="G149" s="19" t="n"/>
      <c r="H149" s="16" t="n"/>
      <c r="I149" s="16" t="n"/>
      <c r="J149" s="16" t="n"/>
      <c r="K149" s="26" t="n"/>
      <c r="L149" s="26" t="n"/>
      <c r="M149" s="16" t="n"/>
      <c r="N149" s="9" t="n"/>
      <c r="O149" s="16" t="n"/>
      <c r="P149" s="16" t="n"/>
      <c r="Q149" s="24" t="n"/>
      <c r="R149" s="17" t="n"/>
      <c r="S149" s="17" t="n"/>
      <c r="T149" s="27" t="n"/>
      <c r="U149" s="27" t="n"/>
      <c r="V149" s="10" t="n"/>
    </row>
    <row r="150">
      <c r="A150" s="16" t="n"/>
      <c r="B150" s="17" t="n"/>
      <c r="C150" s="17" t="n"/>
      <c r="D150" s="10" t="n"/>
      <c r="E150" s="10" t="n"/>
      <c r="F150" s="17" t="n"/>
      <c r="G150" s="19" t="n"/>
      <c r="H150" s="16" t="n"/>
      <c r="I150" s="16" t="n"/>
      <c r="J150" s="16" t="n"/>
      <c r="K150" s="26" t="n"/>
      <c r="L150" s="26" t="n"/>
      <c r="M150" s="16" t="n"/>
      <c r="N150" s="9" t="n"/>
      <c r="O150" s="16" t="n"/>
      <c r="P150" s="16" t="n"/>
      <c r="Q150" s="24" t="n"/>
      <c r="R150" s="17" t="n"/>
      <c r="S150" s="17" t="n"/>
      <c r="T150" s="27" t="n"/>
      <c r="U150" s="27" t="n"/>
      <c r="V150" s="10" t="n"/>
    </row>
    <row r="151">
      <c r="A151" s="16" t="n"/>
      <c r="B151" s="17" t="n"/>
      <c r="C151" s="17" t="n"/>
      <c r="D151" s="10" t="n"/>
      <c r="E151" s="10" t="n"/>
      <c r="F151" s="17" t="n"/>
      <c r="G151" s="19" t="n"/>
      <c r="H151" s="16" t="n"/>
      <c r="I151" s="16" t="n"/>
      <c r="J151" s="16" t="n"/>
      <c r="K151" s="26" t="n"/>
      <c r="L151" s="26" t="n"/>
      <c r="M151" s="16" t="n"/>
      <c r="N151" s="9" t="n"/>
      <c r="O151" s="16" t="n"/>
      <c r="P151" s="16" t="n"/>
      <c r="Q151" s="24" t="n"/>
      <c r="R151" s="17" t="n"/>
      <c r="S151" s="17" t="n"/>
      <c r="T151" s="27" t="n"/>
      <c r="U151" s="27" t="n"/>
      <c r="V151" s="10" t="n"/>
    </row>
    <row r="152">
      <c r="A152" s="16" t="n"/>
      <c r="B152" s="17" t="n"/>
      <c r="C152" s="17" t="n"/>
      <c r="D152" s="10" t="n"/>
      <c r="E152" s="10" t="n"/>
      <c r="F152" s="17" t="n"/>
      <c r="G152" s="19" t="n"/>
      <c r="H152" s="16" t="n"/>
      <c r="I152" s="16" t="n"/>
      <c r="J152" s="16" t="n"/>
      <c r="K152" s="26" t="n"/>
      <c r="L152" s="26" t="n"/>
      <c r="M152" s="16" t="n"/>
      <c r="N152" s="9" t="n"/>
      <c r="O152" s="16" t="n"/>
      <c r="P152" s="16" t="n"/>
      <c r="Q152" s="24" t="n"/>
      <c r="R152" s="17" t="n"/>
      <c r="S152" s="17" t="n"/>
      <c r="T152" s="27" t="n"/>
      <c r="U152" s="27" t="n"/>
      <c r="V152" s="10" t="n"/>
    </row>
    <row r="153">
      <c r="A153" s="16" t="n"/>
      <c r="B153" s="17" t="n"/>
      <c r="C153" s="17" t="n"/>
      <c r="D153" s="10" t="n"/>
      <c r="E153" s="10" t="n"/>
      <c r="F153" s="17" t="n"/>
      <c r="G153" s="19" t="n"/>
      <c r="H153" s="16" t="n"/>
      <c r="I153" s="16" t="n"/>
      <c r="J153" s="16" t="n"/>
      <c r="K153" s="26" t="n"/>
      <c r="L153" s="26" t="n"/>
      <c r="M153" s="16" t="n"/>
      <c r="N153" s="9" t="n"/>
      <c r="O153" s="16" t="n"/>
      <c r="P153" s="16" t="n"/>
      <c r="Q153" s="24" t="n"/>
      <c r="R153" s="17" t="n"/>
      <c r="S153" s="17" t="n"/>
      <c r="T153" s="27" t="n"/>
      <c r="U153" s="27" t="n"/>
      <c r="V153" s="10" t="n"/>
    </row>
    <row r="154">
      <c r="A154" s="16" t="n"/>
      <c r="B154" s="17" t="n"/>
      <c r="C154" s="17" t="n"/>
      <c r="D154" s="10" t="n"/>
      <c r="E154" s="10" t="n"/>
      <c r="F154" s="17" t="n"/>
      <c r="G154" s="19" t="n"/>
      <c r="H154" s="16" t="n"/>
      <c r="I154" s="16" t="n"/>
      <c r="J154" s="16" t="n"/>
      <c r="K154" s="26" t="n"/>
      <c r="L154" s="26" t="n"/>
      <c r="M154" s="16" t="n"/>
      <c r="N154" s="9" t="n"/>
      <c r="O154" s="16" t="n"/>
      <c r="P154" s="16" t="n"/>
      <c r="Q154" s="24" t="n"/>
      <c r="R154" s="17" t="n"/>
      <c r="S154" s="17" t="n"/>
      <c r="T154" s="27" t="n"/>
      <c r="U154" s="27" t="n"/>
      <c r="V154" s="10" t="n"/>
    </row>
    <row r="155">
      <c r="A155" s="16" t="n"/>
      <c r="B155" s="17" t="n"/>
      <c r="C155" s="17" t="n"/>
      <c r="D155" s="10" t="n"/>
      <c r="E155" s="10" t="n"/>
      <c r="F155" s="17" t="n"/>
      <c r="G155" s="19" t="n"/>
      <c r="H155" s="16" t="n"/>
      <c r="I155" s="16" t="n"/>
      <c r="J155" s="16" t="n"/>
      <c r="K155" s="26" t="n"/>
      <c r="L155" s="26" t="n"/>
      <c r="M155" s="16" t="n"/>
      <c r="N155" s="9" t="n"/>
      <c r="O155" s="16" t="n"/>
      <c r="P155" s="16" t="n"/>
      <c r="Q155" s="24" t="n"/>
      <c r="R155" s="17" t="n"/>
      <c r="S155" s="17" t="n"/>
      <c r="T155" s="27" t="n"/>
      <c r="U155" s="27" t="n"/>
      <c r="V155" s="10" t="n"/>
    </row>
    <row r="156">
      <c r="A156" s="16" t="n"/>
      <c r="B156" s="17" t="n"/>
      <c r="C156" s="17" t="n"/>
      <c r="D156" s="10" t="n"/>
      <c r="E156" s="10" t="n"/>
      <c r="F156" s="17" t="n"/>
      <c r="G156" s="19" t="n"/>
      <c r="H156" s="16" t="n"/>
      <c r="I156" s="16" t="n"/>
      <c r="J156" s="16" t="n"/>
      <c r="K156" s="26" t="n"/>
      <c r="L156" s="26" t="n"/>
      <c r="M156" s="16" t="n"/>
      <c r="N156" s="9" t="n"/>
      <c r="O156" s="16" t="n"/>
      <c r="P156" s="16" t="n"/>
      <c r="Q156" s="24" t="n"/>
      <c r="R156" s="17" t="n"/>
      <c r="S156" s="17" t="n"/>
      <c r="T156" s="27" t="n"/>
      <c r="U156" s="27" t="n"/>
      <c r="V156" s="10" t="n"/>
    </row>
    <row r="157">
      <c r="A157" s="16" t="n"/>
      <c r="B157" s="17" t="n"/>
      <c r="C157" s="17" t="n"/>
      <c r="D157" s="10" t="n"/>
      <c r="E157" s="10" t="n"/>
      <c r="F157" s="17" t="n"/>
      <c r="G157" s="19" t="n"/>
      <c r="H157" s="16" t="n"/>
      <c r="I157" s="16" t="n"/>
      <c r="J157" s="16" t="n"/>
      <c r="K157" s="26" t="n"/>
      <c r="L157" s="26" t="n"/>
      <c r="M157" s="16" t="n"/>
      <c r="N157" s="9" t="n"/>
      <c r="O157" s="16" t="n"/>
      <c r="P157" s="16" t="n"/>
      <c r="Q157" s="24" t="n"/>
      <c r="R157" s="17" t="n"/>
      <c r="S157" s="17" t="n"/>
      <c r="T157" s="27" t="n"/>
      <c r="U157" s="27" t="n"/>
      <c r="V157" s="10" t="n"/>
    </row>
    <row r="158">
      <c r="A158" s="16" t="n"/>
      <c r="B158" s="17" t="n"/>
      <c r="C158" s="17" t="n"/>
      <c r="D158" s="10" t="n"/>
      <c r="E158" s="10" t="n"/>
      <c r="F158" s="17" t="n"/>
      <c r="G158" s="19" t="n"/>
      <c r="H158" s="16" t="n"/>
      <c r="I158" s="16" t="n"/>
      <c r="J158" s="16" t="n"/>
      <c r="K158" s="26" t="n"/>
      <c r="L158" s="26" t="n"/>
      <c r="M158" s="16" t="n"/>
      <c r="N158" s="9" t="n"/>
      <c r="O158" s="16" t="n"/>
      <c r="P158" s="16" t="n"/>
      <c r="Q158" s="24" t="n"/>
      <c r="R158" s="17" t="n"/>
      <c r="S158" s="17" t="n"/>
      <c r="T158" s="27" t="n"/>
      <c r="U158" s="27" t="n"/>
      <c r="V158" s="10" t="n"/>
    </row>
    <row r="159">
      <c r="A159" s="16" t="n"/>
      <c r="B159" s="17" t="n"/>
      <c r="C159" s="17" t="n"/>
      <c r="D159" s="10" t="n"/>
      <c r="E159" s="10" t="n"/>
      <c r="F159" s="17" t="n"/>
      <c r="G159" s="19" t="n"/>
      <c r="H159" s="16" t="n"/>
      <c r="I159" s="16" t="n"/>
      <c r="J159" s="16" t="n"/>
      <c r="K159" s="26" t="n"/>
      <c r="L159" s="26" t="n"/>
      <c r="M159" s="16" t="n"/>
      <c r="N159" s="9" t="n"/>
      <c r="O159" s="16" t="n"/>
      <c r="P159" s="16" t="n"/>
      <c r="Q159" s="24" t="n"/>
      <c r="R159" s="17" t="n"/>
      <c r="S159" s="17" t="n"/>
      <c r="T159" s="27" t="n"/>
      <c r="U159" s="27" t="n"/>
      <c r="V159" s="10" t="n"/>
    </row>
    <row r="160">
      <c r="A160" s="16" t="n"/>
      <c r="B160" s="17" t="n"/>
      <c r="C160" s="17" t="n"/>
      <c r="D160" s="10" t="n"/>
      <c r="E160" s="10" t="n"/>
      <c r="F160" s="17" t="n"/>
      <c r="G160" s="19" t="n"/>
      <c r="H160" s="16" t="n"/>
      <c r="I160" s="16" t="n"/>
      <c r="J160" s="16" t="n"/>
      <c r="K160" s="26" t="n"/>
      <c r="L160" s="26" t="n"/>
      <c r="M160" s="16" t="n"/>
      <c r="N160" s="9" t="n"/>
      <c r="O160" s="16" t="n"/>
      <c r="P160" s="16" t="n"/>
      <c r="Q160" s="24" t="n"/>
      <c r="R160" s="17" t="n"/>
      <c r="S160" s="17" t="n"/>
      <c r="T160" s="27" t="n"/>
      <c r="U160" s="27" t="n"/>
      <c r="V160" s="10" t="n"/>
    </row>
    <row r="161">
      <c r="A161" s="16" t="n"/>
      <c r="B161" s="17" t="n"/>
      <c r="C161" s="17" t="n"/>
      <c r="D161" s="10" t="n"/>
      <c r="E161" s="10" t="n"/>
      <c r="F161" s="17" t="n"/>
      <c r="G161" s="19" t="n"/>
      <c r="H161" s="16" t="n"/>
      <c r="I161" s="16" t="n"/>
      <c r="J161" s="16" t="n"/>
      <c r="K161" s="26" t="n"/>
      <c r="L161" s="26" t="n"/>
      <c r="M161" s="16" t="n"/>
      <c r="N161" s="9" t="n"/>
      <c r="O161" s="16" t="n"/>
      <c r="P161" s="16" t="n"/>
      <c r="Q161" s="24" t="n"/>
      <c r="R161" s="17" t="n"/>
      <c r="S161" s="17" t="n"/>
      <c r="T161" s="27" t="n"/>
      <c r="U161" s="27" t="n"/>
      <c r="V161" s="10" t="n"/>
    </row>
    <row r="162">
      <c r="A162" s="16" t="n"/>
      <c r="B162" s="17" t="n"/>
      <c r="C162" s="17" t="n"/>
      <c r="D162" s="10" t="n"/>
      <c r="E162" s="10" t="n"/>
      <c r="F162" s="17" t="n"/>
      <c r="G162" s="19" t="n"/>
      <c r="H162" s="16" t="n"/>
      <c r="I162" s="16" t="n"/>
      <c r="J162" s="16" t="n"/>
      <c r="K162" s="26" t="n"/>
      <c r="L162" s="26" t="n"/>
      <c r="M162" s="16" t="n"/>
      <c r="N162" s="9" t="n"/>
      <c r="O162" s="16" t="n"/>
      <c r="P162" s="16" t="n"/>
      <c r="Q162" s="24" t="n"/>
      <c r="R162" s="17" t="n"/>
      <c r="S162" s="17" t="n"/>
      <c r="T162" s="27" t="n"/>
      <c r="U162" s="27" t="n"/>
      <c r="V162" s="10" t="n"/>
    </row>
    <row r="163">
      <c r="A163" s="16" t="n"/>
      <c r="B163" s="17" t="n"/>
      <c r="C163" s="17" t="n"/>
      <c r="D163" s="10" t="n"/>
      <c r="E163" s="10" t="n"/>
      <c r="F163" s="17" t="n"/>
      <c r="G163" s="19" t="n"/>
      <c r="H163" s="16" t="n"/>
      <c r="I163" s="16" t="n"/>
      <c r="J163" s="16" t="n"/>
      <c r="K163" s="26" t="n"/>
      <c r="L163" s="26" t="n"/>
      <c r="M163" s="16" t="n"/>
      <c r="N163" s="9" t="n"/>
      <c r="O163" s="16" t="n"/>
      <c r="P163" s="16" t="n"/>
      <c r="Q163" s="24" t="n"/>
      <c r="R163" s="17" t="n"/>
      <c r="S163" s="17" t="n"/>
      <c r="T163" s="27" t="n"/>
      <c r="U163" s="27" t="n"/>
      <c r="V163" s="10" t="n"/>
    </row>
    <row r="164">
      <c r="A164" s="16" t="n"/>
      <c r="B164" s="17" t="n"/>
      <c r="C164" s="17" t="n"/>
      <c r="D164" s="10" t="n"/>
      <c r="E164" s="10" t="n"/>
      <c r="F164" s="17" t="n"/>
      <c r="G164" s="19" t="n"/>
      <c r="H164" s="16" t="n"/>
      <c r="I164" s="16" t="n"/>
      <c r="J164" s="16" t="n"/>
      <c r="K164" s="26" t="n"/>
      <c r="L164" s="26" t="n"/>
      <c r="M164" s="16" t="n"/>
      <c r="N164" s="9" t="n"/>
      <c r="O164" s="16" t="n"/>
      <c r="P164" s="16" t="n"/>
      <c r="Q164" s="24" t="n"/>
      <c r="R164" s="17" t="n"/>
      <c r="S164" s="17" t="n"/>
      <c r="T164" s="27" t="n"/>
      <c r="U164" s="27" t="n"/>
      <c r="V164" s="10" t="n"/>
    </row>
    <row r="165">
      <c r="A165" s="16" t="n"/>
      <c r="B165" s="17" t="n"/>
      <c r="C165" s="17" t="n"/>
      <c r="D165" s="10" t="n"/>
      <c r="E165" s="10" t="n"/>
      <c r="F165" s="17" t="n"/>
      <c r="G165" s="19" t="n"/>
      <c r="H165" s="16" t="n"/>
      <c r="I165" s="16" t="n"/>
      <c r="J165" s="16" t="n"/>
      <c r="K165" s="26" t="n"/>
      <c r="L165" s="26" t="n"/>
      <c r="M165" s="16" t="n"/>
      <c r="N165" s="9" t="n"/>
      <c r="O165" s="16" t="n"/>
      <c r="P165" s="16" t="n"/>
      <c r="Q165" s="24" t="n"/>
      <c r="R165" s="17" t="n"/>
      <c r="S165" s="17" t="n"/>
      <c r="T165" s="27" t="n"/>
      <c r="U165" s="27" t="n"/>
      <c r="V165" s="10" t="n"/>
    </row>
    <row r="166">
      <c r="A166" s="16" t="n"/>
      <c r="B166" s="17" t="n"/>
      <c r="C166" s="17" t="n"/>
      <c r="D166" s="10" t="n"/>
      <c r="E166" s="10" t="n"/>
      <c r="F166" s="17" t="n"/>
      <c r="G166" s="19" t="n"/>
      <c r="H166" s="16" t="n"/>
      <c r="I166" s="16" t="n"/>
      <c r="J166" s="16" t="n"/>
      <c r="K166" s="26" t="n"/>
      <c r="L166" s="26" t="n"/>
      <c r="M166" s="16" t="n"/>
      <c r="N166" s="9" t="n"/>
      <c r="O166" s="16" t="n"/>
      <c r="P166" s="16" t="n"/>
      <c r="Q166" s="24" t="n"/>
      <c r="R166" s="17" t="n"/>
      <c r="S166" s="17" t="n"/>
      <c r="T166" s="27" t="n"/>
      <c r="U166" s="27" t="n"/>
      <c r="V166" s="10" t="n"/>
    </row>
    <row r="167">
      <c r="A167" s="16" t="n"/>
      <c r="B167" s="17" t="n"/>
      <c r="C167" s="17" t="n"/>
      <c r="D167" s="10" t="n"/>
      <c r="E167" s="10" t="n"/>
      <c r="F167" s="17" t="n"/>
      <c r="G167" s="19" t="n"/>
      <c r="H167" s="16" t="n"/>
      <c r="I167" s="16" t="n"/>
      <c r="J167" s="16" t="n"/>
      <c r="K167" s="26" t="n"/>
      <c r="L167" s="26" t="n"/>
      <c r="M167" s="16" t="n"/>
      <c r="N167" s="9" t="n"/>
      <c r="O167" s="16" t="n"/>
      <c r="P167" s="16" t="n"/>
      <c r="Q167" s="24" t="n"/>
      <c r="R167" s="17" t="n"/>
      <c r="S167" s="17" t="n"/>
      <c r="T167" s="27" t="n"/>
      <c r="U167" s="27" t="n"/>
      <c r="V167" s="10" t="n"/>
    </row>
    <row r="168">
      <c r="A168" s="16" t="n"/>
      <c r="B168" s="17" t="n"/>
      <c r="C168" s="17" t="n"/>
      <c r="D168" s="10" t="n"/>
      <c r="E168" s="10" t="n"/>
      <c r="F168" s="17" t="n"/>
      <c r="G168" s="19" t="n"/>
      <c r="H168" s="16" t="n"/>
      <c r="I168" s="16" t="n"/>
      <c r="J168" s="16" t="n"/>
      <c r="K168" s="26" t="n"/>
      <c r="L168" s="26" t="n"/>
      <c r="M168" s="16" t="n"/>
      <c r="N168" s="9" t="n"/>
      <c r="O168" s="16" t="n"/>
      <c r="P168" s="16" t="n"/>
      <c r="Q168" s="24" t="n"/>
      <c r="R168" s="17" t="n"/>
      <c r="S168" s="17" t="n"/>
      <c r="T168" s="27" t="n"/>
      <c r="U168" s="27" t="n"/>
      <c r="V168" s="10" t="n"/>
    </row>
    <row r="169">
      <c r="A169" s="16" t="n"/>
      <c r="B169" s="17" t="n"/>
      <c r="C169" s="17" t="n"/>
      <c r="D169" s="10" t="n"/>
      <c r="E169" s="10" t="n"/>
      <c r="F169" s="17" t="n"/>
      <c r="G169" s="19" t="n"/>
      <c r="H169" s="16" t="n"/>
      <c r="I169" s="16" t="n"/>
      <c r="J169" s="16" t="n"/>
      <c r="K169" s="26" t="n"/>
      <c r="L169" s="26" t="n"/>
      <c r="M169" s="16" t="n"/>
      <c r="N169" s="9" t="n"/>
      <c r="O169" s="16" t="n"/>
      <c r="P169" s="16" t="n"/>
      <c r="Q169" s="24" t="n"/>
      <c r="R169" s="17" t="n"/>
      <c r="S169" s="17" t="n"/>
      <c r="T169" s="27" t="n"/>
      <c r="U169" s="27" t="n"/>
      <c r="V169" s="10" t="n"/>
    </row>
    <row r="170">
      <c r="A170" s="16" t="n"/>
      <c r="B170" s="17" t="n"/>
      <c r="C170" s="17" t="n"/>
      <c r="D170" s="10" t="n"/>
      <c r="E170" s="10" t="n"/>
      <c r="F170" s="17" t="n"/>
      <c r="G170" s="19" t="n"/>
      <c r="H170" s="16" t="n"/>
      <c r="I170" s="16" t="n"/>
      <c r="J170" s="16" t="n"/>
      <c r="K170" s="26" t="n"/>
      <c r="L170" s="26" t="n"/>
      <c r="M170" s="16" t="n"/>
      <c r="N170" s="9" t="n"/>
      <c r="O170" s="16" t="n"/>
      <c r="P170" s="16" t="n"/>
      <c r="Q170" s="24" t="n"/>
      <c r="R170" s="17" t="n"/>
      <c r="S170" s="17" t="n"/>
      <c r="T170" s="27" t="n"/>
      <c r="U170" s="27" t="n"/>
      <c r="V170" s="10" t="n"/>
    </row>
    <row r="171">
      <c r="A171" s="16" t="n"/>
      <c r="B171" s="17" t="n"/>
      <c r="C171" s="17" t="n"/>
      <c r="D171" s="10" t="n"/>
      <c r="E171" s="10" t="n"/>
      <c r="F171" s="17" t="n"/>
      <c r="G171" s="19" t="n"/>
      <c r="H171" s="16" t="n"/>
      <c r="I171" s="16" t="n"/>
      <c r="J171" s="16" t="n"/>
      <c r="K171" s="26" t="n"/>
      <c r="L171" s="26" t="n"/>
      <c r="M171" s="16" t="n"/>
      <c r="N171" s="9" t="n"/>
      <c r="O171" s="16" t="n"/>
      <c r="P171" s="16" t="n"/>
      <c r="Q171" s="24" t="n"/>
      <c r="R171" s="17" t="n"/>
      <c r="S171" s="17" t="n"/>
      <c r="T171" s="27" t="n"/>
      <c r="U171" s="27" t="n"/>
      <c r="V171" s="10" t="n"/>
    </row>
    <row r="172">
      <c r="A172" s="16" t="n"/>
      <c r="B172" s="17" t="n"/>
      <c r="C172" s="17" t="n"/>
      <c r="D172" s="10" t="n"/>
      <c r="E172" s="10" t="n"/>
      <c r="F172" s="17" t="n"/>
      <c r="G172" s="19" t="n"/>
      <c r="H172" s="16" t="n"/>
      <c r="I172" s="16" t="n"/>
      <c r="J172" s="16" t="n"/>
      <c r="K172" s="26" t="n"/>
      <c r="L172" s="26" t="n"/>
      <c r="M172" s="16" t="n"/>
      <c r="N172" s="9" t="n"/>
      <c r="O172" s="16" t="n"/>
      <c r="P172" s="16" t="n"/>
      <c r="Q172" s="24" t="n"/>
      <c r="R172" s="17" t="n"/>
      <c r="S172" s="17" t="n"/>
      <c r="T172" s="27" t="n"/>
      <c r="U172" s="27" t="n"/>
      <c r="V172" s="10" t="n"/>
    </row>
    <row r="173">
      <c r="A173" s="16" t="n"/>
      <c r="B173" s="17" t="n"/>
      <c r="C173" s="17" t="n"/>
      <c r="D173" s="10" t="n"/>
      <c r="E173" s="10" t="n"/>
      <c r="F173" s="17" t="n"/>
      <c r="G173" s="19" t="n"/>
      <c r="H173" s="16" t="n"/>
      <c r="I173" s="16" t="n"/>
      <c r="J173" s="16" t="n"/>
      <c r="K173" s="26" t="n"/>
      <c r="L173" s="26" t="n"/>
      <c r="M173" s="16" t="n"/>
      <c r="N173" s="9" t="n"/>
      <c r="O173" s="16" t="n"/>
      <c r="P173" s="16" t="n"/>
      <c r="Q173" s="24" t="n"/>
      <c r="R173" s="17" t="n"/>
      <c r="S173" s="17" t="n"/>
      <c r="T173" s="27" t="n"/>
      <c r="U173" s="27" t="n"/>
      <c r="V173" s="10" t="n"/>
    </row>
    <row r="174">
      <c r="A174" s="16" t="n"/>
      <c r="B174" s="17" t="n"/>
      <c r="C174" s="17" t="n"/>
      <c r="D174" s="10" t="n"/>
      <c r="E174" s="10" t="n"/>
      <c r="F174" s="17" t="n"/>
      <c r="G174" s="19" t="n"/>
      <c r="H174" s="16" t="n"/>
      <c r="I174" s="16" t="n"/>
      <c r="J174" s="16" t="n"/>
      <c r="K174" s="26" t="n"/>
      <c r="L174" s="26" t="n"/>
      <c r="M174" s="16" t="n"/>
      <c r="N174" s="9" t="n"/>
      <c r="O174" s="16" t="n"/>
      <c r="P174" s="16" t="n"/>
      <c r="Q174" s="24" t="n"/>
      <c r="R174" s="17" t="n"/>
      <c r="S174" s="17" t="n"/>
      <c r="T174" s="27" t="n"/>
      <c r="U174" s="27" t="n"/>
      <c r="V174" s="10" t="n"/>
    </row>
    <row r="175">
      <c r="A175" s="16" t="n"/>
      <c r="B175" s="17" t="n"/>
      <c r="C175" s="17" t="n"/>
      <c r="D175" s="10" t="n"/>
      <c r="E175" s="10" t="n"/>
      <c r="F175" s="17" t="n"/>
      <c r="G175" s="19" t="n"/>
      <c r="H175" s="16" t="n"/>
      <c r="I175" s="16" t="n"/>
      <c r="J175" s="16" t="n"/>
      <c r="K175" s="26" t="n"/>
      <c r="L175" s="26" t="n"/>
      <c r="M175" s="16" t="n"/>
      <c r="N175" s="9" t="n"/>
      <c r="O175" s="16" t="n"/>
      <c r="P175" s="16" t="n"/>
      <c r="Q175" s="24" t="n"/>
      <c r="R175" s="17" t="n"/>
      <c r="S175" s="17" t="n"/>
      <c r="T175" s="27" t="n"/>
      <c r="U175" s="27" t="n"/>
      <c r="V175" s="10" t="n"/>
    </row>
    <row r="176">
      <c r="A176" s="16" t="n"/>
      <c r="B176" s="17" t="n"/>
      <c r="C176" s="17" t="n"/>
      <c r="D176" s="10" t="n"/>
      <c r="E176" s="10" t="n"/>
      <c r="F176" s="17" t="n"/>
      <c r="G176" s="19" t="n"/>
      <c r="H176" s="16" t="n"/>
      <c r="I176" s="16" t="n"/>
      <c r="J176" s="16" t="n"/>
      <c r="K176" s="26" t="n"/>
      <c r="L176" s="26" t="n"/>
      <c r="M176" s="16" t="n"/>
      <c r="N176" s="9" t="n"/>
      <c r="O176" s="16" t="n"/>
      <c r="P176" s="16" t="n"/>
      <c r="Q176" s="24" t="n"/>
      <c r="R176" s="17" t="n"/>
      <c r="S176" s="17" t="n"/>
      <c r="T176" s="27" t="n"/>
      <c r="U176" s="27" t="n"/>
      <c r="V176" s="10" t="n"/>
    </row>
    <row r="177">
      <c r="A177" s="16" t="n"/>
      <c r="B177" s="17" t="n"/>
      <c r="C177" s="17" t="n"/>
      <c r="D177" s="10" t="n"/>
      <c r="E177" s="10" t="n"/>
      <c r="F177" s="17" t="n"/>
      <c r="G177" s="19" t="n"/>
      <c r="H177" s="16" t="n"/>
      <c r="I177" s="16" t="n"/>
      <c r="J177" s="16" t="n"/>
      <c r="K177" s="26" t="n"/>
      <c r="L177" s="26" t="n"/>
      <c r="M177" s="16" t="n"/>
      <c r="N177" s="9" t="n"/>
      <c r="O177" s="16" t="n"/>
      <c r="P177" s="16" t="n"/>
      <c r="Q177" s="24" t="n"/>
      <c r="R177" s="17" t="n"/>
      <c r="S177" s="17" t="n"/>
      <c r="T177" s="27" t="n"/>
      <c r="U177" s="27" t="n"/>
      <c r="V177" s="10" t="n"/>
    </row>
    <row r="178">
      <c r="A178" s="16" t="n"/>
      <c r="B178" s="17" t="n"/>
      <c r="C178" s="17" t="n"/>
      <c r="D178" s="10" t="n"/>
      <c r="E178" s="10" t="n"/>
      <c r="F178" s="17" t="n"/>
      <c r="G178" s="19" t="n"/>
      <c r="H178" s="16" t="n"/>
      <c r="I178" s="16" t="n"/>
      <c r="J178" s="16" t="n"/>
      <c r="K178" s="26" t="n"/>
      <c r="L178" s="26" t="n"/>
      <c r="M178" s="16" t="n"/>
      <c r="N178" s="9" t="n"/>
      <c r="O178" s="16" t="n"/>
      <c r="P178" s="16" t="n"/>
      <c r="Q178" s="24" t="n"/>
      <c r="R178" s="17" t="n"/>
      <c r="S178" s="17" t="n"/>
      <c r="T178" s="27" t="n"/>
      <c r="U178" s="27" t="n"/>
      <c r="V178" s="10" t="n"/>
    </row>
    <row r="179">
      <c r="A179" s="16" t="n"/>
      <c r="B179" s="17" t="n"/>
      <c r="C179" s="17" t="n"/>
      <c r="D179" s="10" t="n"/>
      <c r="E179" s="10" t="n"/>
      <c r="F179" s="17" t="n"/>
      <c r="G179" s="19" t="n"/>
      <c r="H179" s="16" t="n"/>
      <c r="I179" s="16" t="n"/>
      <c r="J179" s="16" t="n"/>
      <c r="K179" s="26" t="n"/>
      <c r="L179" s="26" t="n"/>
      <c r="M179" s="16" t="n"/>
      <c r="N179" s="9" t="n"/>
      <c r="O179" s="16" t="n"/>
      <c r="P179" s="16" t="n"/>
      <c r="Q179" s="24" t="n"/>
      <c r="R179" s="17" t="n"/>
      <c r="S179" s="17" t="n"/>
      <c r="T179" s="27" t="n"/>
      <c r="U179" s="27" t="n"/>
      <c r="V179" s="10" t="n"/>
    </row>
    <row r="180">
      <c r="A180" s="16" t="n"/>
      <c r="B180" s="17" t="n"/>
      <c r="C180" s="17" t="n"/>
      <c r="D180" s="10" t="n"/>
      <c r="E180" s="10" t="n"/>
      <c r="F180" s="17" t="n"/>
      <c r="G180" s="19" t="n"/>
      <c r="H180" s="16" t="n"/>
      <c r="I180" s="16" t="n"/>
      <c r="J180" s="16" t="n"/>
      <c r="K180" s="26" t="n"/>
      <c r="L180" s="26" t="n"/>
      <c r="M180" s="16" t="n"/>
      <c r="N180" s="9" t="n"/>
      <c r="O180" s="16" t="n"/>
      <c r="P180" s="16" t="n"/>
      <c r="Q180" s="24" t="n"/>
      <c r="R180" s="17" t="n"/>
      <c r="S180" s="17" t="n"/>
      <c r="T180" s="27" t="n"/>
      <c r="U180" s="27" t="n"/>
      <c r="V180" s="10" t="n"/>
    </row>
    <row r="181">
      <c r="A181" s="16" t="n"/>
      <c r="B181" s="17" t="n"/>
      <c r="C181" s="17" t="n"/>
      <c r="D181" s="10" t="n"/>
      <c r="E181" s="10" t="n"/>
      <c r="F181" s="17" t="n"/>
      <c r="G181" s="19" t="n"/>
      <c r="H181" s="16" t="n"/>
      <c r="I181" s="16" t="n"/>
      <c r="J181" s="16" t="n"/>
      <c r="K181" s="26" t="n"/>
      <c r="L181" s="26" t="n"/>
      <c r="M181" s="16" t="n"/>
      <c r="N181" s="9" t="n"/>
      <c r="O181" s="16" t="n"/>
      <c r="P181" s="16" t="n"/>
      <c r="Q181" s="24" t="n"/>
      <c r="R181" s="17" t="n"/>
      <c r="S181" s="17" t="n"/>
      <c r="T181" s="27" t="n"/>
      <c r="U181" s="27" t="n"/>
      <c r="V181" s="10" t="n"/>
    </row>
    <row r="182">
      <c r="A182" s="16" t="n"/>
      <c r="B182" s="17" t="n"/>
      <c r="C182" s="17" t="n"/>
      <c r="D182" s="10" t="n"/>
      <c r="E182" s="10" t="n"/>
      <c r="F182" s="17" t="n"/>
      <c r="G182" s="19" t="n"/>
      <c r="H182" s="16" t="n"/>
      <c r="I182" s="16" t="n"/>
      <c r="J182" s="16" t="n"/>
      <c r="K182" s="26" t="n"/>
      <c r="L182" s="26" t="n"/>
      <c r="M182" s="16" t="n"/>
      <c r="N182" s="9" t="n"/>
      <c r="O182" s="16" t="n"/>
      <c r="P182" s="16" t="n"/>
      <c r="Q182" s="24" t="n"/>
      <c r="R182" s="17" t="n"/>
      <c r="S182" s="17" t="n"/>
      <c r="T182" s="27" t="n"/>
      <c r="U182" s="27" t="n"/>
      <c r="V182" s="10" t="n"/>
    </row>
    <row r="183">
      <c r="A183" s="16" t="n"/>
      <c r="B183" s="17" t="n"/>
      <c r="C183" s="17" t="n"/>
      <c r="D183" s="10" t="n"/>
      <c r="E183" s="10" t="n"/>
      <c r="F183" s="17" t="n"/>
      <c r="G183" s="19" t="n"/>
      <c r="H183" s="16" t="n"/>
      <c r="I183" s="16" t="n"/>
      <c r="J183" s="16" t="n"/>
      <c r="K183" s="26" t="n"/>
      <c r="L183" s="26" t="n"/>
      <c r="M183" s="16" t="n"/>
      <c r="N183" s="9" t="n"/>
      <c r="O183" s="16" t="n"/>
      <c r="P183" s="16" t="n"/>
      <c r="Q183" s="24" t="n"/>
      <c r="R183" s="17" t="n"/>
      <c r="S183" s="17" t="n"/>
      <c r="T183" s="27" t="n"/>
      <c r="U183" s="27" t="n"/>
      <c r="V183" s="10" t="n"/>
    </row>
    <row r="184">
      <c r="A184" s="16" t="n"/>
      <c r="B184" s="17" t="n"/>
      <c r="C184" s="17" t="n"/>
      <c r="D184" s="10" t="n"/>
      <c r="E184" s="10" t="n"/>
      <c r="F184" s="17" t="n"/>
      <c r="G184" s="19" t="n"/>
      <c r="H184" s="16" t="n"/>
      <c r="I184" s="16" t="n"/>
      <c r="J184" s="16" t="n"/>
      <c r="K184" s="26" t="n"/>
      <c r="L184" s="26" t="n"/>
      <c r="M184" s="16" t="n"/>
      <c r="N184" s="9" t="n"/>
      <c r="O184" s="16" t="n"/>
      <c r="P184" s="16" t="n"/>
      <c r="Q184" s="24" t="n"/>
      <c r="R184" s="17" t="n"/>
      <c r="S184" s="17" t="n"/>
      <c r="T184" s="27" t="n"/>
      <c r="U184" s="27" t="n"/>
      <c r="V184" s="10" t="n"/>
    </row>
    <row r="185">
      <c r="A185" s="16" t="n"/>
      <c r="B185" s="17" t="n"/>
      <c r="C185" s="17" t="n"/>
      <c r="D185" s="10" t="n"/>
      <c r="E185" s="10" t="n"/>
      <c r="F185" s="17" t="n"/>
      <c r="G185" s="19" t="n"/>
      <c r="H185" s="16" t="n"/>
      <c r="I185" s="16" t="n"/>
      <c r="J185" s="16" t="n"/>
      <c r="K185" s="26" t="n"/>
      <c r="L185" s="26" t="n"/>
      <c r="M185" s="16" t="n"/>
      <c r="N185" s="9" t="n"/>
      <c r="O185" s="16" t="n"/>
      <c r="P185" s="16" t="n"/>
      <c r="Q185" s="24" t="n"/>
      <c r="R185" s="17" t="n"/>
      <c r="S185" s="17" t="n"/>
      <c r="T185" s="27" t="n"/>
      <c r="U185" s="27" t="n"/>
      <c r="V185" s="10" t="n"/>
    </row>
    <row r="186">
      <c r="A186" s="16" t="n"/>
      <c r="B186" s="17" t="n"/>
      <c r="C186" s="17" t="n"/>
      <c r="D186" s="10" t="n"/>
      <c r="E186" s="10" t="n"/>
      <c r="F186" s="17" t="n"/>
      <c r="G186" s="19" t="n"/>
      <c r="H186" s="16" t="n"/>
      <c r="I186" s="16" t="n"/>
      <c r="J186" s="16" t="n"/>
      <c r="K186" s="26" t="n"/>
      <c r="L186" s="26" t="n"/>
      <c r="M186" s="16" t="n"/>
      <c r="N186" s="9" t="n"/>
      <c r="O186" s="16" t="n"/>
      <c r="P186" s="16" t="n"/>
      <c r="Q186" s="24" t="n"/>
      <c r="R186" s="17" t="n"/>
      <c r="S186" s="17" t="n"/>
      <c r="T186" s="27" t="n"/>
      <c r="U186" s="27" t="n"/>
      <c r="V186" s="10" t="n"/>
    </row>
    <row r="187">
      <c r="A187" s="16" t="n"/>
      <c r="B187" s="17" t="n"/>
      <c r="C187" s="17" t="n"/>
      <c r="D187" s="10" t="n"/>
      <c r="E187" s="10" t="n"/>
      <c r="F187" s="17" t="n"/>
      <c r="G187" s="19" t="n"/>
      <c r="H187" s="16" t="n"/>
      <c r="I187" s="16" t="n"/>
      <c r="J187" s="16" t="n"/>
      <c r="K187" s="26" t="n"/>
      <c r="L187" s="26" t="n"/>
      <c r="M187" s="16" t="n"/>
      <c r="N187" s="9" t="n"/>
      <c r="O187" s="16" t="n"/>
      <c r="P187" s="16" t="n"/>
      <c r="Q187" s="24" t="n"/>
      <c r="R187" s="17" t="n"/>
      <c r="S187" s="17" t="n"/>
      <c r="T187" s="27" t="n"/>
      <c r="U187" s="27" t="n"/>
      <c r="V187" s="10" t="n"/>
    </row>
    <row r="188">
      <c r="A188" s="16" t="n"/>
      <c r="B188" s="17" t="n"/>
      <c r="C188" s="17" t="n"/>
      <c r="D188" s="10" t="n"/>
      <c r="E188" s="10" t="n"/>
      <c r="F188" s="17" t="n"/>
      <c r="G188" s="19" t="n"/>
      <c r="H188" s="16" t="n"/>
      <c r="I188" s="16" t="n"/>
      <c r="J188" s="16" t="n"/>
      <c r="K188" s="26" t="n"/>
      <c r="L188" s="26" t="n"/>
      <c r="M188" s="16" t="n"/>
      <c r="N188" s="9" t="n"/>
      <c r="O188" s="16" t="n"/>
      <c r="P188" s="16" t="n"/>
      <c r="Q188" s="24" t="n"/>
      <c r="R188" s="17" t="n"/>
      <c r="S188" s="17" t="n"/>
      <c r="T188" s="27" t="n"/>
      <c r="U188" s="27" t="n"/>
      <c r="V188" s="10" t="n"/>
    </row>
    <row r="189">
      <c r="A189" s="16" t="n"/>
      <c r="B189" s="17" t="n"/>
      <c r="C189" s="17" t="n"/>
      <c r="D189" s="10" t="n"/>
      <c r="E189" s="10" t="n"/>
      <c r="F189" s="17" t="n"/>
      <c r="G189" s="19" t="n"/>
      <c r="H189" s="16" t="n"/>
      <c r="I189" s="16" t="n"/>
      <c r="J189" s="16" t="n"/>
      <c r="K189" s="26" t="n"/>
      <c r="L189" s="26" t="n"/>
      <c r="M189" s="16" t="n"/>
      <c r="N189" s="9" t="n"/>
      <c r="O189" s="16" t="n"/>
      <c r="P189" s="16" t="n"/>
      <c r="Q189" s="24" t="n"/>
      <c r="R189" s="17" t="n"/>
      <c r="S189" s="17" t="n"/>
      <c r="T189" s="27" t="n"/>
      <c r="U189" s="27" t="n"/>
      <c r="V189" s="10" t="n"/>
    </row>
    <row r="190">
      <c r="A190" s="16" t="n"/>
      <c r="B190" s="17" t="n"/>
      <c r="C190" s="17" t="n"/>
      <c r="D190" s="10" t="n"/>
      <c r="E190" s="10" t="n"/>
      <c r="F190" s="17" t="n"/>
      <c r="G190" s="19" t="n"/>
      <c r="H190" s="16" t="n"/>
      <c r="I190" s="16" t="n"/>
      <c r="J190" s="16" t="n"/>
      <c r="K190" s="26" t="n"/>
      <c r="L190" s="26" t="n"/>
      <c r="M190" s="16" t="n"/>
      <c r="N190" s="9" t="n"/>
      <c r="O190" s="16" t="n"/>
      <c r="P190" s="16" t="n"/>
      <c r="Q190" s="24" t="n"/>
      <c r="R190" s="17" t="n"/>
      <c r="S190" s="17" t="n"/>
      <c r="T190" s="27" t="n"/>
      <c r="U190" s="27" t="n"/>
      <c r="V190" s="10" t="n"/>
    </row>
    <row r="191">
      <c r="A191" s="16" t="n"/>
      <c r="B191" s="17" t="n"/>
      <c r="C191" s="17" t="n"/>
      <c r="D191" s="10" t="n"/>
      <c r="E191" s="10" t="n"/>
      <c r="F191" s="17" t="n"/>
      <c r="G191" s="19" t="n"/>
      <c r="H191" s="16" t="n"/>
      <c r="I191" s="16" t="n"/>
      <c r="J191" s="16" t="n"/>
      <c r="K191" s="26" t="n"/>
      <c r="L191" s="26" t="n"/>
      <c r="M191" s="16" t="n"/>
      <c r="N191" s="9" t="n"/>
      <c r="O191" s="16" t="n"/>
      <c r="P191" s="16" t="n"/>
      <c r="Q191" s="24" t="n"/>
      <c r="R191" s="17" t="n"/>
      <c r="S191" s="17" t="n"/>
      <c r="T191" s="27" t="n"/>
      <c r="U191" s="27" t="n"/>
      <c r="V191" s="10" t="n"/>
    </row>
    <row r="192">
      <c r="A192" s="16" t="n"/>
      <c r="B192" s="17" t="n"/>
      <c r="C192" s="17" t="n"/>
      <c r="D192" s="10" t="n"/>
      <c r="E192" s="10" t="n"/>
      <c r="F192" s="17" t="n"/>
      <c r="G192" s="19" t="n"/>
      <c r="H192" s="16" t="n"/>
      <c r="I192" s="16" t="n"/>
      <c r="J192" s="16" t="n"/>
      <c r="K192" s="26" t="n"/>
      <c r="L192" s="26" t="n"/>
      <c r="M192" s="16" t="n"/>
      <c r="N192" s="9" t="n"/>
      <c r="O192" s="16" t="n"/>
      <c r="P192" s="16" t="n"/>
      <c r="Q192" s="24" t="n"/>
      <c r="R192" s="17" t="n"/>
      <c r="S192" s="17" t="n"/>
      <c r="T192" s="27" t="n"/>
      <c r="U192" s="27" t="n"/>
      <c r="V192" s="10" t="n"/>
    </row>
    <row r="193">
      <c r="A193" s="16" t="n"/>
      <c r="B193" s="17" t="n"/>
      <c r="C193" s="17" t="n"/>
      <c r="D193" s="10" t="n"/>
      <c r="E193" s="10" t="n"/>
      <c r="F193" s="17" t="n"/>
      <c r="G193" s="19" t="n"/>
      <c r="H193" s="16" t="n"/>
      <c r="I193" s="16" t="n"/>
      <c r="J193" s="16" t="n"/>
      <c r="K193" s="26" t="n"/>
      <c r="L193" s="26" t="n"/>
      <c r="M193" s="16" t="n"/>
      <c r="N193" s="9" t="n"/>
      <c r="O193" s="16" t="n"/>
      <c r="P193" s="16" t="n"/>
      <c r="Q193" s="24" t="n"/>
      <c r="R193" s="17" t="n"/>
      <c r="S193" s="17" t="n"/>
      <c r="T193" s="27" t="n"/>
      <c r="U193" s="27" t="n"/>
      <c r="V193" s="10" t="n"/>
    </row>
    <row r="194">
      <c r="A194" s="16" t="n"/>
      <c r="B194" s="17" t="n"/>
      <c r="C194" s="17" t="n"/>
      <c r="D194" s="10" t="n"/>
      <c r="E194" s="10" t="n"/>
      <c r="F194" s="17" t="n"/>
      <c r="G194" s="19" t="n"/>
      <c r="H194" s="16" t="n"/>
      <c r="I194" s="16" t="n"/>
      <c r="J194" s="16" t="n"/>
      <c r="K194" s="26" t="n"/>
      <c r="L194" s="26" t="n"/>
      <c r="M194" s="16" t="n"/>
      <c r="N194" s="9" t="n"/>
      <c r="O194" s="16" t="n"/>
      <c r="P194" s="16" t="n"/>
      <c r="Q194" s="24" t="n"/>
      <c r="R194" s="17" t="n"/>
      <c r="S194" s="17" t="n"/>
      <c r="T194" s="27" t="n"/>
      <c r="U194" s="27" t="n"/>
      <c r="V194" s="10" t="n"/>
    </row>
    <row r="195">
      <c r="A195" s="16" t="n"/>
      <c r="B195" s="17" t="n"/>
      <c r="C195" s="17" t="n"/>
      <c r="D195" s="10" t="n"/>
      <c r="E195" s="10" t="n"/>
      <c r="F195" s="17" t="n"/>
      <c r="G195" s="19" t="n"/>
      <c r="H195" s="16" t="n"/>
      <c r="I195" s="16" t="n"/>
      <c r="J195" s="16" t="n"/>
      <c r="K195" s="26" t="n"/>
      <c r="L195" s="26" t="n"/>
      <c r="M195" s="16" t="n"/>
      <c r="N195" s="9" t="n"/>
      <c r="O195" s="16" t="n"/>
      <c r="P195" s="16" t="n"/>
      <c r="Q195" s="24" t="n"/>
      <c r="R195" s="17" t="n"/>
      <c r="S195" s="17" t="n"/>
      <c r="T195" s="27" t="n"/>
      <c r="U195" s="27" t="n"/>
      <c r="V195" s="10" t="n"/>
    </row>
    <row r="196">
      <c r="A196" s="16" t="n"/>
      <c r="B196" s="17" t="n"/>
      <c r="C196" s="17" t="n"/>
      <c r="D196" s="10" t="n"/>
      <c r="E196" s="10" t="n"/>
      <c r="F196" s="17" t="n"/>
      <c r="G196" s="19" t="n"/>
      <c r="H196" s="16" t="n"/>
      <c r="I196" s="16" t="n"/>
      <c r="J196" s="16" t="n"/>
      <c r="K196" s="26" t="n"/>
      <c r="L196" s="26" t="n"/>
      <c r="M196" s="16" t="n"/>
      <c r="N196" s="9" t="n"/>
      <c r="O196" s="16" t="n"/>
      <c r="P196" s="16" t="n"/>
      <c r="Q196" s="24" t="n"/>
      <c r="R196" s="17" t="n"/>
      <c r="S196" s="17" t="n"/>
      <c r="T196" s="27" t="n"/>
      <c r="U196" s="27" t="n"/>
      <c r="V196" s="10" t="n"/>
    </row>
    <row r="197">
      <c r="A197" s="16" t="n"/>
      <c r="B197" s="17" t="n"/>
      <c r="C197" s="17" t="n"/>
      <c r="D197" s="10" t="n"/>
      <c r="E197" s="10" t="n"/>
      <c r="F197" s="17" t="n"/>
      <c r="G197" s="19" t="n"/>
      <c r="H197" s="16" t="n"/>
      <c r="I197" s="16" t="n"/>
      <c r="J197" s="16" t="n"/>
      <c r="K197" s="26" t="n"/>
      <c r="L197" s="26" t="n"/>
      <c r="M197" s="16" t="n"/>
      <c r="N197" s="9" t="n"/>
      <c r="O197" s="16" t="n"/>
      <c r="P197" s="16" t="n"/>
      <c r="Q197" s="24" t="n"/>
      <c r="R197" s="17" t="n"/>
      <c r="S197" s="17" t="n"/>
      <c r="T197" s="27" t="n"/>
      <c r="U197" s="27" t="n"/>
      <c r="V197" s="10" t="n"/>
    </row>
    <row r="198">
      <c r="A198" s="16" t="n"/>
      <c r="B198" s="17" t="n"/>
      <c r="C198" s="17" t="n"/>
      <c r="D198" s="10" t="n"/>
      <c r="E198" s="10" t="n"/>
      <c r="F198" s="17" t="n"/>
      <c r="G198" s="19" t="n"/>
      <c r="H198" s="16" t="n"/>
      <c r="I198" s="16" t="n"/>
      <c r="J198" s="16" t="n"/>
      <c r="K198" s="26" t="n"/>
      <c r="L198" s="26" t="n"/>
      <c r="M198" s="16" t="n"/>
      <c r="N198" s="9" t="n"/>
      <c r="O198" s="16" t="n"/>
      <c r="P198" s="16" t="n"/>
      <c r="Q198" s="24" t="n"/>
      <c r="R198" s="17" t="n"/>
      <c r="S198" s="17" t="n"/>
      <c r="T198" s="27" t="n"/>
      <c r="U198" s="27" t="n"/>
      <c r="V198" s="10" t="n"/>
    </row>
    <row r="199">
      <c r="A199" s="16" t="n"/>
      <c r="B199" s="17" t="n"/>
      <c r="C199" s="17" t="n"/>
      <c r="D199" s="10" t="n"/>
      <c r="E199" s="10" t="n"/>
      <c r="F199" s="17" t="n"/>
      <c r="G199" s="19" t="n"/>
      <c r="H199" s="16" t="n"/>
      <c r="I199" s="16" t="n"/>
      <c r="J199" s="16" t="n"/>
      <c r="K199" s="26" t="n"/>
      <c r="L199" s="26" t="n"/>
      <c r="M199" s="16" t="n"/>
      <c r="N199" s="9" t="n"/>
      <c r="O199" s="16" t="n"/>
      <c r="P199" s="16" t="n"/>
      <c r="Q199" s="24" t="n"/>
      <c r="R199" s="17" t="n"/>
      <c r="S199" s="17" t="n"/>
      <c r="T199" s="27" t="n"/>
      <c r="U199" s="27" t="n"/>
      <c r="V199" s="10" t="n"/>
    </row>
    <row r="200">
      <c r="A200" s="16" t="n"/>
      <c r="B200" s="17" t="n"/>
      <c r="C200" s="17" t="n"/>
      <c r="D200" s="10" t="n"/>
      <c r="E200" s="10" t="n"/>
      <c r="F200" s="17" t="n"/>
      <c r="G200" s="19" t="n"/>
      <c r="H200" s="16" t="n"/>
      <c r="I200" s="16" t="n"/>
      <c r="J200" s="16" t="n"/>
      <c r="K200" s="26" t="n"/>
      <c r="L200" s="26" t="n"/>
      <c r="M200" s="16" t="n"/>
      <c r="N200" s="9" t="n"/>
      <c r="O200" s="16" t="n"/>
      <c r="P200" s="16" t="n"/>
      <c r="Q200" s="24" t="n"/>
      <c r="R200" s="17" t="n"/>
      <c r="S200" s="17" t="n"/>
      <c r="T200" s="27" t="n"/>
      <c r="U200" s="27" t="n"/>
      <c r="V200" s="10" t="n"/>
    </row>
    <row r="201">
      <c r="A201" s="16" t="n"/>
      <c r="B201" s="17" t="n"/>
      <c r="C201" s="17" t="n"/>
      <c r="D201" s="10" t="n"/>
      <c r="E201" s="10" t="n"/>
      <c r="F201" s="17" t="n"/>
      <c r="G201" s="19" t="n"/>
      <c r="H201" s="16" t="n"/>
      <c r="I201" s="16" t="n"/>
      <c r="J201" s="16" t="n"/>
      <c r="K201" s="26" t="n"/>
      <c r="L201" s="26" t="n"/>
      <c r="M201" s="16" t="n"/>
      <c r="N201" s="9" t="n"/>
      <c r="O201" s="16" t="n"/>
      <c r="P201" s="16" t="n"/>
      <c r="Q201" s="24" t="n"/>
      <c r="R201" s="17" t="n"/>
      <c r="S201" s="17" t="n"/>
      <c r="T201" s="27" t="n"/>
      <c r="U201" s="27" t="n"/>
      <c r="V201" s="10" t="n"/>
    </row>
    <row r="202">
      <c r="A202" s="16" t="n"/>
      <c r="B202" s="17" t="n"/>
      <c r="C202" s="17" t="n"/>
      <c r="D202" s="10" t="n"/>
      <c r="E202" s="10" t="n"/>
      <c r="F202" s="17" t="n"/>
      <c r="G202" s="19" t="n"/>
      <c r="H202" s="16" t="n"/>
      <c r="I202" s="16" t="n"/>
      <c r="J202" s="16" t="n"/>
      <c r="K202" s="26" t="n"/>
      <c r="L202" s="26" t="n"/>
      <c r="M202" s="16" t="n"/>
      <c r="N202" s="9" t="n"/>
      <c r="O202" s="16" t="n"/>
      <c r="P202" s="16" t="n"/>
      <c r="Q202" s="24" t="n"/>
      <c r="R202" s="17" t="n"/>
      <c r="S202" s="17" t="n"/>
      <c r="T202" s="27" t="n"/>
      <c r="U202" s="27" t="n"/>
      <c r="V202" s="10" t="n"/>
    </row>
    <row r="203">
      <c r="A203" s="16" t="n"/>
      <c r="B203" s="17" t="n"/>
      <c r="C203" s="17" t="n"/>
      <c r="D203" s="10" t="n"/>
      <c r="E203" s="10" t="n"/>
      <c r="F203" s="17" t="n"/>
      <c r="G203" s="19" t="n"/>
      <c r="H203" s="16" t="n"/>
      <c r="I203" s="16" t="n"/>
      <c r="J203" s="16" t="n"/>
      <c r="K203" s="26" t="n"/>
      <c r="L203" s="26" t="n"/>
      <c r="M203" s="16" t="n"/>
      <c r="N203" s="9" t="n"/>
      <c r="O203" s="16" t="n"/>
      <c r="P203" s="16" t="n"/>
      <c r="Q203" s="24" t="n"/>
      <c r="R203" s="17" t="n"/>
      <c r="S203" s="17" t="n"/>
      <c r="T203" s="27" t="n"/>
      <c r="U203" s="27" t="n"/>
      <c r="V203" s="10" t="n"/>
    </row>
    <row r="204">
      <c r="A204" s="16" t="n"/>
      <c r="B204" s="17" t="n"/>
      <c r="C204" s="17" t="n"/>
      <c r="D204" s="10" t="n"/>
      <c r="E204" s="10" t="n"/>
      <c r="F204" s="17" t="n"/>
      <c r="G204" s="19" t="n"/>
      <c r="H204" s="16" t="n"/>
      <c r="I204" s="16" t="n"/>
      <c r="J204" s="16" t="n"/>
      <c r="K204" s="26" t="n"/>
      <c r="L204" s="26" t="n"/>
      <c r="M204" s="16" t="n"/>
      <c r="N204" s="9" t="n"/>
      <c r="O204" s="16" t="n"/>
      <c r="P204" s="16" t="n"/>
      <c r="Q204" s="24" t="n"/>
      <c r="R204" s="17" t="n"/>
      <c r="S204" s="17" t="n"/>
      <c r="T204" s="27" t="n"/>
      <c r="U204" s="27" t="n"/>
      <c r="V204" s="10" t="n"/>
    </row>
    <row r="205">
      <c r="A205" s="16" t="n"/>
      <c r="B205" s="17" t="n"/>
      <c r="C205" s="17" t="n"/>
      <c r="D205" s="10" t="n"/>
      <c r="E205" s="10" t="n"/>
      <c r="F205" s="17" t="n"/>
      <c r="G205" s="19" t="n"/>
      <c r="H205" s="16" t="n"/>
      <c r="I205" s="16" t="n"/>
      <c r="J205" s="16" t="n"/>
      <c r="K205" s="26" t="n"/>
      <c r="L205" s="26" t="n"/>
      <c r="M205" s="16" t="n"/>
      <c r="N205" s="9" t="n"/>
      <c r="O205" s="16" t="n"/>
      <c r="P205" s="16" t="n"/>
      <c r="Q205" s="24" t="n"/>
      <c r="R205" s="17" t="n"/>
      <c r="S205" s="17" t="n"/>
      <c r="T205" s="27" t="n"/>
      <c r="U205" s="27" t="n"/>
      <c r="V205" s="10" t="n"/>
    </row>
    <row r="206">
      <c r="A206" s="16" t="n"/>
      <c r="B206" s="17" t="n"/>
      <c r="C206" s="17" t="n"/>
      <c r="D206" s="10" t="n"/>
      <c r="E206" s="10" t="n"/>
      <c r="F206" s="17" t="n"/>
      <c r="G206" s="19" t="n"/>
      <c r="H206" s="16" t="n"/>
      <c r="I206" s="16" t="n"/>
      <c r="J206" s="16" t="n"/>
      <c r="K206" s="26" t="n"/>
      <c r="L206" s="26" t="n"/>
      <c r="M206" s="16" t="n"/>
      <c r="N206" s="9" t="n"/>
      <c r="O206" s="16" t="n"/>
      <c r="P206" s="16" t="n"/>
      <c r="Q206" s="24" t="n"/>
      <c r="R206" s="17" t="n"/>
      <c r="S206" s="17" t="n"/>
      <c r="T206" s="27" t="n"/>
      <c r="U206" s="27" t="n"/>
      <c r="V206" s="10" t="n"/>
    </row>
    <row r="207">
      <c r="A207" s="16" t="n"/>
      <c r="B207" s="17" t="n"/>
      <c r="C207" s="17" t="n"/>
      <c r="D207" s="10" t="n"/>
      <c r="E207" s="10" t="n"/>
      <c r="F207" s="17" t="n"/>
      <c r="G207" s="19" t="n"/>
      <c r="H207" s="16" t="n"/>
      <c r="I207" s="16" t="n"/>
      <c r="J207" s="16" t="n"/>
      <c r="K207" s="26" t="n"/>
      <c r="L207" s="26" t="n"/>
      <c r="M207" s="16" t="n"/>
      <c r="N207" s="9" t="n"/>
      <c r="O207" s="16" t="n"/>
      <c r="P207" s="16" t="n"/>
      <c r="Q207" s="24" t="n"/>
      <c r="R207" s="17" t="n"/>
      <c r="S207" s="17" t="n"/>
      <c r="T207" s="27" t="n"/>
      <c r="U207" s="27" t="n"/>
      <c r="V207" s="10" t="n"/>
    </row>
    <row r="208">
      <c r="A208" s="16" t="n"/>
      <c r="B208" s="17" t="n"/>
      <c r="C208" s="17" t="n"/>
      <c r="D208" s="10" t="n"/>
      <c r="E208" s="10" t="n"/>
      <c r="F208" s="17" t="n"/>
      <c r="G208" s="19" t="n"/>
      <c r="H208" s="16" t="n"/>
      <c r="I208" s="16" t="n"/>
      <c r="J208" s="16" t="n"/>
      <c r="K208" s="26" t="n"/>
      <c r="L208" s="26" t="n"/>
      <c r="M208" s="16" t="n"/>
      <c r="N208" s="9" t="n"/>
      <c r="O208" s="16" t="n"/>
      <c r="P208" s="16" t="n"/>
      <c r="Q208" s="24" t="n"/>
      <c r="R208" s="17" t="n"/>
      <c r="S208" s="17" t="n"/>
      <c r="T208" s="27" t="n"/>
      <c r="U208" s="27" t="n"/>
      <c r="V208" s="10" t="n"/>
    </row>
    <row r="209">
      <c r="A209" s="16" t="n"/>
      <c r="B209" s="17" t="n"/>
      <c r="C209" s="17" t="n"/>
      <c r="D209" s="10" t="n"/>
      <c r="E209" s="10" t="n"/>
      <c r="F209" s="17" t="n"/>
      <c r="G209" s="19" t="n"/>
      <c r="H209" s="16" t="n"/>
      <c r="I209" s="16" t="n"/>
      <c r="J209" s="16" t="n"/>
      <c r="K209" s="26" t="n"/>
      <c r="L209" s="26" t="n"/>
      <c r="M209" s="16" t="n"/>
      <c r="N209" s="9" t="n"/>
      <c r="O209" s="16" t="n"/>
      <c r="P209" s="16" t="n"/>
      <c r="Q209" s="24" t="n"/>
      <c r="R209" s="17" t="n"/>
      <c r="S209" s="17" t="n"/>
      <c r="T209" s="27" t="n"/>
      <c r="U209" s="27" t="n"/>
      <c r="V209" s="10" t="n"/>
    </row>
    <row r="210">
      <c r="A210" s="16" t="n"/>
      <c r="B210" s="17" t="n"/>
      <c r="C210" s="17" t="n"/>
      <c r="D210" s="10" t="n"/>
      <c r="E210" s="10" t="n"/>
      <c r="F210" s="17" t="n"/>
      <c r="G210" s="19" t="n"/>
      <c r="H210" s="16" t="n"/>
      <c r="I210" s="16" t="n"/>
      <c r="J210" s="16" t="n"/>
      <c r="K210" s="26" t="n"/>
      <c r="L210" s="26" t="n"/>
      <c r="M210" s="16" t="n"/>
      <c r="N210" s="9" t="n"/>
      <c r="O210" s="16" t="n"/>
      <c r="P210" s="16" t="n"/>
      <c r="Q210" s="24" t="n"/>
      <c r="R210" s="17" t="n"/>
      <c r="S210" s="17" t="n"/>
      <c r="T210" s="27" t="n"/>
      <c r="U210" s="27" t="n"/>
      <c r="V210" s="10" t="n"/>
    </row>
    <row r="211">
      <c r="A211" s="16" t="n"/>
      <c r="B211" s="17" t="n"/>
      <c r="C211" s="17" t="n"/>
      <c r="D211" s="10" t="n"/>
      <c r="E211" s="10" t="n"/>
      <c r="F211" s="17" t="n"/>
      <c r="G211" s="19" t="n"/>
      <c r="H211" s="16" t="n"/>
      <c r="I211" s="16" t="n"/>
      <c r="J211" s="16" t="n"/>
      <c r="K211" s="26" t="n"/>
      <c r="L211" s="26" t="n"/>
      <c r="M211" s="16" t="n"/>
      <c r="N211" s="9" t="n"/>
      <c r="O211" s="16" t="n"/>
      <c r="P211" s="16" t="n"/>
      <c r="Q211" s="24" t="n"/>
      <c r="R211" s="17" t="n"/>
      <c r="S211" s="17" t="n"/>
      <c r="T211" s="27" t="n"/>
      <c r="U211" s="27" t="n"/>
      <c r="V211" s="10" t="n"/>
    </row>
    <row r="212">
      <c r="A212" s="16" t="n"/>
      <c r="B212" s="17" t="n"/>
      <c r="C212" s="17" t="n"/>
      <c r="D212" s="10" t="n"/>
      <c r="E212" s="10" t="n"/>
      <c r="F212" s="17" t="n"/>
      <c r="G212" s="19" t="n"/>
      <c r="H212" s="16" t="n"/>
      <c r="I212" s="16" t="n"/>
      <c r="J212" s="16" t="n"/>
      <c r="K212" s="26" t="n"/>
      <c r="L212" s="26" t="n"/>
      <c r="M212" s="16" t="n"/>
      <c r="N212" s="9" t="n"/>
      <c r="O212" s="16" t="n"/>
      <c r="P212" s="16" t="n"/>
      <c r="Q212" s="24" t="n"/>
      <c r="R212" s="17" t="n"/>
      <c r="S212" s="17" t="n"/>
      <c r="T212" s="27" t="n"/>
      <c r="U212" s="27" t="n"/>
      <c r="V212" s="10" t="n"/>
    </row>
    <row r="213">
      <c r="A213" s="16" t="n"/>
      <c r="B213" s="17" t="n"/>
      <c r="C213" s="17" t="n"/>
      <c r="D213" s="10" t="n"/>
      <c r="E213" s="10" t="n"/>
      <c r="F213" s="17" t="n"/>
      <c r="G213" s="19" t="n"/>
      <c r="H213" s="16" t="n"/>
      <c r="I213" s="16" t="n"/>
      <c r="J213" s="16" t="n"/>
      <c r="K213" s="26" t="n"/>
      <c r="L213" s="26" t="n"/>
      <c r="M213" s="16" t="n"/>
      <c r="N213" s="9" t="n"/>
      <c r="O213" s="16" t="n"/>
      <c r="P213" s="16" t="n"/>
      <c r="Q213" s="24" t="n"/>
      <c r="R213" s="17" t="n"/>
      <c r="S213" s="17" t="n"/>
      <c r="T213" s="27" t="n"/>
      <c r="U213" s="27" t="n"/>
      <c r="V213" s="10" t="n"/>
    </row>
    <row r="214">
      <c r="A214" s="16" t="n"/>
      <c r="B214" s="17" t="n"/>
      <c r="C214" s="17" t="n"/>
      <c r="D214" s="10" t="n"/>
      <c r="E214" s="10" t="n"/>
      <c r="F214" s="17" t="n"/>
      <c r="G214" s="19" t="n"/>
      <c r="H214" s="16" t="n"/>
      <c r="I214" s="16" t="n"/>
      <c r="J214" s="16" t="n"/>
      <c r="K214" s="26" t="n"/>
      <c r="L214" s="26" t="n"/>
      <c r="M214" s="16" t="n"/>
      <c r="N214" s="9" t="n"/>
      <c r="O214" s="16" t="n"/>
      <c r="P214" s="16" t="n"/>
      <c r="Q214" s="24" t="n"/>
      <c r="R214" s="17" t="n"/>
      <c r="S214" s="17" t="n"/>
      <c r="T214" s="27" t="n"/>
      <c r="U214" s="27" t="n"/>
      <c r="V214" s="10" t="n"/>
    </row>
    <row r="215">
      <c r="A215" s="16" t="n"/>
      <c r="B215" s="17" t="n"/>
      <c r="C215" s="17" t="n"/>
      <c r="D215" s="10" t="n"/>
      <c r="E215" s="10" t="n"/>
      <c r="F215" s="17" t="n"/>
      <c r="G215" s="19" t="n"/>
      <c r="H215" s="16" t="n"/>
      <c r="I215" s="16" t="n"/>
      <c r="J215" s="16" t="n"/>
      <c r="K215" s="26" t="n"/>
      <c r="L215" s="26" t="n"/>
      <c r="M215" s="16" t="n"/>
      <c r="N215" s="9" t="n"/>
      <c r="O215" s="16" t="n"/>
      <c r="P215" s="16" t="n"/>
      <c r="Q215" s="24" t="n"/>
      <c r="R215" s="17" t="n"/>
      <c r="S215" s="17" t="n"/>
      <c r="T215" s="27" t="n"/>
      <c r="U215" s="27" t="n"/>
      <c r="V215" s="10" t="n"/>
    </row>
    <row r="216">
      <c r="A216" s="16" t="n"/>
      <c r="B216" s="17" t="n"/>
      <c r="C216" s="17" t="n"/>
      <c r="D216" s="10" t="n"/>
      <c r="E216" s="10" t="n"/>
      <c r="F216" s="17" t="n"/>
      <c r="G216" s="19" t="n"/>
      <c r="H216" s="16" t="n"/>
      <c r="I216" s="16" t="n"/>
      <c r="J216" s="16" t="n"/>
      <c r="K216" s="26" t="n"/>
      <c r="L216" s="26" t="n"/>
      <c r="M216" s="16" t="n"/>
      <c r="N216" s="9" t="n"/>
      <c r="O216" s="16" t="n"/>
      <c r="P216" s="16" t="n"/>
      <c r="Q216" s="24" t="n"/>
      <c r="R216" s="17" t="n"/>
      <c r="S216" s="17" t="n"/>
      <c r="T216" s="27" t="n"/>
      <c r="U216" s="27" t="n"/>
      <c r="V216" s="10" t="n"/>
    </row>
    <row r="217">
      <c r="A217" s="16" t="n"/>
      <c r="B217" s="17" t="n"/>
      <c r="C217" s="17" t="n"/>
      <c r="D217" s="10" t="n"/>
      <c r="E217" s="10" t="n"/>
      <c r="F217" s="17" t="n"/>
      <c r="G217" s="19" t="n"/>
      <c r="H217" s="16" t="n"/>
      <c r="I217" s="16" t="n"/>
      <c r="J217" s="16" t="n"/>
      <c r="K217" s="26" t="n"/>
      <c r="L217" s="26" t="n"/>
      <c r="M217" s="16" t="n"/>
      <c r="N217" s="9" t="n"/>
      <c r="O217" s="16" t="n"/>
      <c r="P217" s="16" t="n"/>
      <c r="Q217" s="24" t="n"/>
      <c r="R217" s="17" t="n"/>
      <c r="S217" s="17" t="n"/>
      <c r="T217" s="27" t="n"/>
      <c r="U217" s="27" t="n"/>
      <c r="V217" s="10" t="n"/>
    </row>
    <row r="218">
      <c r="A218" s="16" t="n"/>
      <c r="B218" s="17" t="n"/>
      <c r="C218" s="17" t="n"/>
      <c r="D218" s="10" t="n"/>
      <c r="E218" s="10" t="n"/>
      <c r="F218" s="17" t="n"/>
      <c r="G218" s="19" t="n"/>
      <c r="H218" s="16" t="n"/>
      <c r="I218" s="16" t="n"/>
      <c r="J218" s="16" t="n"/>
      <c r="K218" s="26" t="n"/>
      <c r="L218" s="26" t="n"/>
      <c r="M218" s="16" t="n"/>
      <c r="N218" s="9" t="n"/>
      <c r="O218" s="16" t="n"/>
      <c r="P218" s="16" t="n"/>
      <c r="Q218" s="24" t="n"/>
      <c r="R218" s="17" t="n"/>
      <c r="S218" s="17" t="n"/>
      <c r="T218" s="27" t="n"/>
      <c r="U218" s="27" t="n"/>
      <c r="V218" s="10" t="n"/>
    </row>
    <row r="219">
      <c r="A219" s="16" t="n"/>
      <c r="B219" s="17" t="n"/>
      <c r="C219" s="17" t="n"/>
      <c r="D219" s="10" t="n"/>
      <c r="E219" s="10" t="n"/>
      <c r="F219" s="17" t="n"/>
      <c r="G219" s="19" t="n"/>
      <c r="H219" s="16" t="n"/>
      <c r="I219" s="16" t="n"/>
      <c r="J219" s="16" t="n"/>
      <c r="K219" s="26" t="n"/>
      <c r="L219" s="26" t="n"/>
      <c r="M219" s="16" t="n"/>
      <c r="N219" s="9" t="n"/>
      <c r="O219" s="16" t="n"/>
      <c r="P219" s="16" t="n"/>
      <c r="Q219" s="24" t="n"/>
      <c r="R219" s="17" t="n"/>
      <c r="S219" s="17" t="n"/>
      <c r="T219" s="27" t="n"/>
      <c r="U219" s="27" t="n"/>
      <c r="V219" s="10" t="n"/>
    </row>
    <row r="220">
      <c r="A220" s="16" t="n"/>
      <c r="B220" s="17" t="n"/>
      <c r="C220" s="17" t="n"/>
      <c r="D220" s="10" t="n"/>
      <c r="E220" s="10" t="n"/>
      <c r="F220" s="17" t="n"/>
      <c r="G220" s="19" t="n"/>
      <c r="H220" s="16" t="n"/>
      <c r="I220" s="16" t="n"/>
      <c r="J220" s="16" t="n"/>
      <c r="K220" s="26" t="n"/>
      <c r="L220" s="26" t="n"/>
      <c r="M220" s="16" t="n"/>
      <c r="N220" s="9" t="n"/>
      <c r="O220" s="16" t="n"/>
      <c r="P220" s="16" t="n"/>
      <c r="Q220" s="24" t="n"/>
      <c r="R220" s="17" t="n"/>
      <c r="S220" s="17" t="n"/>
      <c r="T220" s="27" t="n"/>
      <c r="U220" s="27" t="n"/>
      <c r="V220" s="10" t="n"/>
    </row>
    <row r="221">
      <c r="A221" s="16" t="n"/>
      <c r="B221" s="17" t="n"/>
      <c r="C221" s="17" t="n"/>
      <c r="D221" s="10" t="n"/>
      <c r="E221" s="10" t="n"/>
      <c r="F221" s="17" t="n"/>
      <c r="G221" s="19" t="n"/>
      <c r="H221" s="16" t="n"/>
      <c r="I221" s="16" t="n"/>
      <c r="J221" s="16" t="n"/>
      <c r="K221" s="26" t="n"/>
      <c r="L221" s="26" t="n"/>
      <c r="M221" s="16" t="n"/>
      <c r="N221" s="9" t="n"/>
      <c r="O221" s="16" t="n"/>
      <c r="P221" s="16" t="n"/>
      <c r="Q221" s="24" t="n"/>
      <c r="R221" s="17" t="n"/>
      <c r="S221" s="17" t="n"/>
      <c r="T221" s="27" t="n"/>
      <c r="U221" s="27" t="n"/>
      <c r="V221" s="10" t="n"/>
    </row>
    <row r="222">
      <c r="A222" s="16" t="n"/>
      <c r="B222" s="17" t="n"/>
      <c r="C222" s="17" t="n"/>
      <c r="D222" s="10" t="n"/>
      <c r="E222" s="10" t="n"/>
      <c r="F222" s="17" t="n"/>
      <c r="G222" s="19" t="n"/>
      <c r="H222" s="16" t="n"/>
      <c r="I222" s="16" t="n"/>
      <c r="J222" s="16" t="n"/>
      <c r="K222" s="26" t="n"/>
      <c r="L222" s="26" t="n"/>
      <c r="M222" s="16" t="n"/>
      <c r="N222" s="9" t="n"/>
      <c r="O222" s="16" t="n"/>
      <c r="P222" s="16" t="n"/>
      <c r="Q222" s="24" t="n"/>
      <c r="R222" s="17" t="n"/>
      <c r="S222" s="17" t="n"/>
      <c r="T222" s="27" t="n"/>
      <c r="U222" s="27" t="n"/>
      <c r="V222" s="10" t="n"/>
    </row>
    <row r="223">
      <c r="A223" s="16" t="n"/>
      <c r="B223" s="17" t="n"/>
      <c r="C223" s="17" t="n"/>
      <c r="D223" s="10" t="n"/>
      <c r="E223" s="10" t="n"/>
      <c r="F223" s="17" t="n"/>
      <c r="G223" s="19" t="n"/>
      <c r="H223" s="16" t="n"/>
      <c r="I223" s="16" t="n"/>
      <c r="J223" s="16" t="n"/>
      <c r="K223" s="26" t="n"/>
      <c r="L223" s="26" t="n"/>
      <c r="M223" s="16" t="n"/>
      <c r="N223" s="9" t="n"/>
      <c r="O223" s="16" t="n"/>
      <c r="P223" s="16" t="n"/>
      <c r="Q223" s="24" t="n"/>
      <c r="R223" s="17" t="n"/>
      <c r="S223" s="17" t="n"/>
      <c r="T223" s="27" t="n"/>
      <c r="U223" s="27" t="n"/>
      <c r="V223" s="10" t="n"/>
    </row>
    <row r="224">
      <c r="A224" s="16" t="n"/>
      <c r="B224" s="17" t="n"/>
      <c r="C224" s="17" t="n"/>
      <c r="D224" s="10" t="n"/>
      <c r="E224" s="10" t="n"/>
      <c r="F224" s="17" t="n"/>
      <c r="G224" s="19" t="n"/>
      <c r="H224" s="16" t="n"/>
      <c r="I224" s="16" t="n"/>
      <c r="J224" s="16" t="n"/>
      <c r="K224" s="26" t="n"/>
      <c r="L224" s="26" t="n"/>
      <c r="M224" s="16" t="n"/>
      <c r="N224" s="9" t="n"/>
      <c r="O224" s="16" t="n"/>
      <c r="P224" s="16" t="n"/>
      <c r="Q224" s="24" t="n"/>
      <c r="R224" s="17" t="n"/>
      <c r="S224" s="17" t="n"/>
      <c r="T224" s="27" t="n"/>
      <c r="U224" s="27" t="n"/>
      <c r="V224" s="10" t="n"/>
    </row>
    <row r="225">
      <c r="A225" s="16" t="n"/>
      <c r="B225" s="17" t="n"/>
      <c r="C225" s="17" t="n"/>
      <c r="D225" s="10" t="n"/>
      <c r="E225" s="10" t="n"/>
      <c r="F225" s="17" t="n"/>
      <c r="G225" s="19" t="n"/>
      <c r="H225" s="16" t="n"/>
      <c r="I225" s="16" t="n"/>
      <c r="J225" s="16" t="n"/>
      <c r="K225" s="26" t="n"/>
      <c r="L225" s="26" t="n"/>
      <c r="M225" s="16" t="n"/>
      <c r="N225" s="9" t="n"/>
      <c r="O225" s="16" t="n"/>
      <c r="P225" s="16" t="n"/>
      <c r="Q225" s="24" t="n"/>
      <c r="R225" s="17" t="n"/>
      <c r="S225" s="17" t="n"/>
      <c r="T225" s="27" t="n"/>
      <c r="U225" s="27" t="n"/>
      <c r="V225" s="10" t="n"/>
    </row>
    <row r="226">
      <c r="A226" s="16" t="n"/>
      <c r="B226" s="17" t="n"/>
      <c r="C226" s="17" t="n"/>
      <c r="D226" s="10" t="n"/>
      <c r="E226" s="10" t="n"/>
      <c r="F226" s="17" t="n"/>
      <c r="G226" s="19" t="n"/>
      <c r="H226" s="16" t="n"/>
      <c r="I226" s="16" t="n"/>
      <c r="J226" s="16" t="n"/>
      <c r="K226" s="26" t="n"/>
      <c r="L226" s="26" t="n"/>
      <c r="M226" s="16" t="n"/>
      <c r="N226" s="9" t="n"/>
      <c r="O226" s="16" t="n"/>
      <c r="P226" s="16" t="n"/>
      <c r="Q226" s="24" t="n"/>
      <c r="R226" s="17" t="n"/>
      <c r="S226" s="17" t="n"/>
      <c r="T226" s="27" t="n"/>
      <c r="U226" s="27" t="n"/>
      <c r="V226" s="10" t="n"/>
    </row>
    <row r="227">
      <c r="A227" s="16" t="n"/>
      <c r="B227" s="17" t="n"/>
      <c r="C227" s="17" t="n"/>
      <c r="D227" s="10" t="n"/>
      <c r="E227" s="10" t="n"/>
      <c r="F227" s="17" t="n"/>
      <c r="G227" s="19" t="n"/>
      <c r="H227" s="16" t="n"/>
      <c r="I227" s="16" t="n"/>
      <c r="J227" s="16" t="n"/>
      <c r="K227" s="26" t="n"/>
      <c r="L227" s="26" t="n"/>
      <c r="M227" s="16" t="n"/>
      <c r="N227" s="9" t="n"/>
      <c r="O227" s="16" t="n"/>
      <c r="P227" s="16" t="n"/>
      <c r="Q227" s="24" t="n"/>
      <c r="R227" s="17" t="n"/>
      <c r="S227" s="17" t="n"/>
      <c r="T227" s="27" t="n"/>
      <c r="U227" s="27" t="n"/>
      <c r="V227" s="10" t="n"/>
    </row>
    <row r="228">
      <c r="A228" s="16" t="n"/>
      <c r="B228" s="17" t="n"/>
      <c r="C228" s="17" t="n"/>
      <c r="D228" s="10" t="n"/>
      <c r="E228" s="10" t="n"/>
      <c r="F228" s="17" t="n"/>
      <c r="G228" s="19" t="n"/>
      <c r="H228" s="16" t="n"/>
      <c r="I228" s="16" t="n"/>
      <c r="J228" s="16" t="n"/>
      <c r="K228" s="26" t="n"/>
      <c r="L228" s="26" t="n"/>
      <c r="M228" s="16" t="n"/>
      <c r="N228" s="9" t="n"/>
      <c r="O228" s="16" t="n"/>
      <c r="P228" s="16" t="n"/>
      <c r="Q228" s="24" t="n"/>
      <c r="R228" s="17" t="n"/>
      <c r="S228" s="17" t="n"/>
      <c r="T228" s="27" t="n"/>
      <c r="U228" s="27" t="n"/>
      <c r="V228" s="10" t="n"/>
    </row>
    <row r="229">
      <c r="A229" s="16" t="n"/>
      <c r="B229" s="17" t="n"/>
      <c r="C229" s="17" t="n"/>
      <c r="D229" s="10" t="n"/>
      <c r="E229" s="10" t="n"/>
      <c r="F229" s="17" t="n"/>
      <c r="G229" s="19" t="n"/>
      <c r="H229" s="16" t="n"/>
      <c r="I229" s="16" t="n"/>
      <c r="J229" s="16" t="n"/>
      <c r="K229" s="26" t="n"/>
      <c r="L229" s="26" t="n"/>
      <c r="M229" s="16" t="n"/>
      <c r="N229" s="9" t="n"/>
      <c r="O229" s="16" t="n"/>
      <c r="P229" s="16" t="n"/>
      <c r="Q229" s="24" t="n"/>
      <c r="R229" s="17" t="n"/>
      <c r="S229" s="17" t="n"/>
      <c r="T229" s="27" t="n"/>
      <c r="U229" s="27" t="n"/>
      <c r="V229" s="10" t="n"/>
    </row>
    <row r="230">
      <c r="A230" s="16" t="n"/>
      <c r="B230" s="17" t="n"/>
      <c r="C230" s="17" t="n"/>
      <c r="D230" s="10" t="n"/>
      <c r="E230" s="10" t="n"/>
      <c r="F230" s="17" t="n"/>
      <c r="G230" s="19" t="n"/>
      <c r="H230" s="16" t="n"/>
      <c r="I230" s="16" t="n"/>
      <c r="J230" s="16" t="n"/>
      <c r="K230" s="26" t="n"/>
      <c r="L230" s="26" t="n"/>
      <c r="M230" s="16" t="n"/>
      <c r="N230" s="9" t="n"/>
      <c r="O230" s="16" t="n"/>
      <c r="P230" s="16" t="n"/>
      <c r="Q230" s="24" t="n"/>
      <c r="R230" s="17" t="n"/>
      <c r="S230" s="17" t="n"/>
      <c r="T230" s="27" t="n"/>
      <c r="U230" s="27" t="n"/>
      <c r="V230" s="10" t="n"/>
    </row>
    <row r="231">
      <c r="A231" s="16" t="n"/>
      <c r="B231" s="17" t="n"/>
      <c r="C231" s="17" t="n"/>
      <c r="D231" s="10" t="n"/>
      <c r="E231" s="10" t="n"/>
      <c r="F231" s="17" t="n"/>
      <c r="G231" s="19" t="n"/>
      <c r="H231" s="16" t="n"/>
      <c r="I231" s="16" t="n"/>
      <c r="J231" s="16" t="n"/>
      <c r="K231" s="26" t="n"/>
      <c r="L231" s="26" t="n"/>
      <c r="M231" s="16" t="n"/>
      <c r="N231" s="9" t="n"/>
      <c r="O231" s="16" t="n"/>
      <c r="P231" s="16" t="n"/>
      <c r="Q231" s="24" t="n"/>
      <c r="R231" s="17" t="n"/>
      <c r="S231" s="17" t="n"/>
      <c r="T231" s="27" t="n"/>
      <c r="U231" s="27" t="n"/>
      <c r="V231" s="10" t="n"/>
    </row>
    <row r="232">
      <c r="A232" s="16" t="n"/>
      <c r="B232" s="17" t="n"/>
      <c r="C232" s="17" t="n"/>
      <c r="D232" s="10" t="n"/>
      <c r="E232" s="10" t="n"/>
      <c r="F232" s="17" t="n"/>
      <c r="G232" s="19" t="n"/>
      <c r="H232" s="16" t="n"/>
      <c r="I232" s="16" t="n"/>
      <c r="J232" s="16" t="n"/>
      <c r="K232" s="26" t="n"/>
      <c r="L232" s="26" t="n"/>
      <c r="M232" s="16" t="n"/>
      <c r="N232" s="9" t="n"/>
      <c r="O232" s="16" t="n"/>
      <c r="P232" s="16" t="n"/>
      <c r="Q232" s="24" t="n"/>
      <c r="R232" s="17" t="n"/>
      <c r="S232" s="17" t="n"/>
      <c r="T232" s="27" t="n"/>
      <c r="U232" s="27" t="n"/>
      <c r="V232" s="10" t="n"/>
    </row>
    <row r="233">
      <c r="A233" s="16" t="n"/>
      <c r="B233" s="17" t="n"/>
      <c r="C233" s="17" t="n"/>
      <c r="D233" s="10" t="n"/>
      <c r="E233" s="10" t="n"/>
      <c r="F233" s="17" t="n"/>
      <c r="G233" s="19" t="n"/>
      <c r="H233" s="16" t="n"/>
      <c r="I233" s="16" t="n"/>
      <c r="J233" s="16" t="n"/>
      <c r="K233" s="26" t="n"/>
      <c r="L233" s="26" t="n"/>
      <c r="M233" s="16" t="n"/>
      <c r="N233" s="9" t="n"/>
      <c r="O233" s="16" t="n"/>
      <c r="P233" s="16" t="n"/>
      <c r="Q233" s="24" t="n"/>
      <c r="R233" s="17" t="n"/>
      <c r="S233" s="17" t="n"/>
      <c r="T233" s="27" t="n"/>
      <c r="U233" s="27" t="n"/>
      <c r="V233" s="10" t="n"/>
    </row>
    <row r="234">
      <c r="A234" s="16" t="n"/>
      <c r="B234" s="17" t="n"/>
      <c r="C234" s="17" t="n"/>
      <c r="D234" s="10" t="n"/>
      <c r="E234" s="10" t="n"/>
      <c r="F234" s="17" t="n"/>
      <c r="G234" s="19" t="n"/>
      <c r="H234" s="16" t="n"/>
      <c r="I234" s="16" t="n"/>
      <c r="J234" s="16" t="n"/>
      <c r="K234" s="26" t="n"/>
      <c r="L234" s="26" t="n"/>
      <c r="M234" s="16" t="n"/>
      <c r="N234" s="9" t="n"/>
      <c r="O234" s="16" t="n"/>
      <c r="P234" s="16" t="n"/>
      <c r="Q234" s="24" t="n"/>
      <c r="R234" s="17" t="n"/>
      <c r="S234" s="17" t="n"/>
      <c r="T234" s="27" t="n"/>
      <c r="U234" s="27" t="n"/>
      <c r="V234" s="10" t="n"/>
    </row>
    <row r="235">
      <c r="A235" s="16" t="n"/>
      <c r="B235" s="17" t="n"/>
      <c r="C235" s="17" t="n"/>
      <c r="D235" s="10" t="n"/>
      <c r="E235" s="10" t="n"/>
      <c r="F235" s="17" t="n"/>
      <c r="G235" s="19" t="n"/>
      <c r="H235" s="16" t="n"/>
      <c r="I235" s="16" t="n"/>
      <c r="J235" s="16" t="n"/>
      <c r="K235" s="26" t="n"/>
      <c r="L235" s="26" t="n"/>
      <c r="M235" s="16" t="n"/>
      <c r="N235" s="9" t="n"/>
      <c r="O235" s="16" t="n"/>
      <c r="P235" s="16" t="n"/>
      <c r="Q235" s="24" t="n"/>
      <c r="R235" s="17" t="n"/>
      <c r="S235" s="17" t="n"/>
      <c r="T235" s="27" t="n"/>
      <c r="U235" s="27" t="n"/>
      <c r="V235" s="10" t="n"/>
    </row>
    <row r="236">
      <c r="A236" s="16" t="n"/>
      <c r="B236" s="17" t="n"/>
      <c r="C236" s="17" t="n"/>
      <c r="D236" s="10" t="n"/>
      <c r="E236" s="10" t="n"/>
      <c r="F236" s="17" t="n"/>
      <c r="G236" s="19" t="n"/>
      <c r="H236" s="16" t="n"/>
      <c r="I236" s="16" t="n"/>
      <c r="J236" s="16" t="n"/>
      <c r="K236" s="26" t="n"/>
      <c r="L236" s="26" t="n"/>
      <c r="M236" s="16" t="n"/>
      <c r="N236" s="9" t="n"/>
      <c r="O236" s="16" t="n"/>
      <c r="P236" s="16" t="n"/>
      <c r="Q236" s="24" t="n"/>
      <c r="R236" s="17" t="n"/>
      <c r="S236" s="17" t="n"/>
      <c r="T236" s="27" t="n"/>
      <c r="U236" s="27" t="n"/>
      <c r="V236" s="10" t="n"/>
    </row>
    <row r="237">
      <c r="A237" s="16" t="n"/>
      <c r="B237" s="17" t="n"/>
      <c r="C237" s="17" t="n"/>
      <c r="D237" s="10" t="n"/>
      <c r="E237" s="10" t="n"/>
      <c r="F237" s="17" t="n"/>
      <c r="G237" s="19" t="n"/>
      <c r="H237" s="16" t="n"/>
      <c r="I237" s="16" t="n"/>
      <c r="J237" s="16" t="n"/>
      <c r="K237" s="26" t="n"/>
      <c r="L237" s="26" t="n"/>
      <c r="M237" s="16" t="n"/>
      <c r="N237" s="9" t="n"/>
      <c r="O237" s="16" t="n"/>
      <c r="P237" s="16" t="n"/>
      <c r="Q237" s="24" t="n"/>
      <c r="R237" s="17" t="n"/>
      <c r="S237" s="17" t="n"/>
      <c r="T237" s="27" t="n"/>
      <c r="U237" s="27" t="n"/>
      <c r="V237" s="10" t="n"/>
    </row>
    <row r="238">
      <c r="A238" s="16" t="n"/>
      <c r="B238" s="17" t="n"/>
      <c r="C238" s="17" t="n"/>
      <c r="D238" s="10" t="n"/>
      <c r="E238" s="10" t="n"/>
      <c r="F238" s="17" t="n"/>
      <c r="G238" s="19" t="n"/>
      <c r="H238" s="16" t="n"/>
      <c r="I238" s="16" t="n"/>
      <c r="J238" s="16" t="n"/>
      <c r="K238" s="26" t="n"/>
      <c r="L238" s="26" t="n"/>
      <c r="M238" s="16" t="n"/>
      <c r="N238" s="9" t="n"/>
      <c r="O238" s="16" t="n"/>
      <c r="P238" s="16" t="n"/>
      <c r="Q238" s="24" t="n"/>
      <c r="R238" s="17" t="n"/>
      <c r="S238" s="17" t="n"/>
      <c r="T238" s="27" t="n"/>
      <c r="U238" s="27" t="n"/>
      <c r="V238" s="10" t="n"/>
    </row>
    <row r="239">
      <c r="A239" s="16" t="n"/>
      <c r="B239" s="17" t="n"/>
      <c r="C239" s="17" t="n"/>
      <c r="D239" s="10" t="n"/>
      <c r="E239" s="10" t="n"/>
      <c r="F239" s="17" t="n"/>
      <c r="G239" s="19" t="n"/>
      <c r="H239" s="16" t="n"/>
      <c r="I239" s="16" t="n"/>
      <c r="J239" s="16" t="n"/>
      <c r="K239" s="26" t="n"/>
      <c r="L239" s="26" t="n"/>
      <c r="M239" s="16" t="n"/>
      <c r="N239" s="9" t="n"/>
      <c r="O239" s="16" t="n"/>
      <c r="P239" s="16" t="n"/>
      <c r="Q239" s="24" t="n"/>
      <c r="R239" s="17" t="n"/>
      <c r="S239" s="17" t="n"/>
      <c r="T239" s="27" t="n"/>
      <c r="U239" s="27" t="n"/>
      <c r="V239" s="10" t="n"/>
    </row>
    <row r="240">
      <c r="A240" s="16" t="n"/>
      <c r="B240" s="17" t="n"/>
      <c r="C240" s="17" t="n"/>
      <c r="D240" s="10" t="n"/>
      <c r="E240" s="10" t="n"/>
      <c r="F240" s="17" t="n"/>
      <c r="G240" s="19" t="n"/>
      <c r="H240" s="16" t="n"/>
      <c r="I240" s="16" t="n"/>
      <c r="J240" s="16" t="n"/>
      <c r="K240" s="26" t="n"/>
      <c r="L240" s="26" t="n"/>
      <c r="M240" s="16" t="n"/>
      <c r="N240" s="9" t="n"/>
      <c r="O240" s="16" t="n"/>
      <c r="P240" s="16" t="n"/>
      <c r="Q240" s="24" t="n"/>
      <c r="R240" s="17" t="n"/>
      <c r="S240" s="17" t="n"/>
      <c r="T240" s="27" t="n"/>
      <c r="U240" s="27" t="n"/>
      <c r="V240" s="10" t="n"/>
    </row>
    <row r="241">
      <c r="A241" s="16" t="n"/>
      <c r="B241" s="17" t="n"/>
      <c r="C241" s="17" t="n"/>
      <c r="D241" s="10" t="n"/>
      <c r="E241" s="10" t="n"/>
      <c r="F241" s="17" t="n"/>
      <c r="G241" s="19" t="n"/>
      <c r="H241" s="16" t="n"/>
      <c r="I241" s="16" t="n"/>
      <c r="J241" s="16" t="n"/>
      <c r="K241" s="26" t="n"/>
      <c r="L241" s="26" t="n"/>
      <c r="M241" s="16" t="n"/>
      <c r="N241" s="9" t="n"/>
      <c r="O241" s="16" t="n"/>
      <c r="P241" s="16" t="n"/>
      <c r="Q241" s="24" t="n"/>
      <c r="R241" s="17" t="n"/>
      <c r="S241" s="17" t="n"/>
      <c r="T241" s="27" t="n"/>
      <c r="U241" s="27" t="n"/>
      <c r="V241" s="10" t="n"/>
    </row>
    <row r="242">
      <c r="A242" s="16" t="n"/>
      <c r="B242" s="17" t="n"/>
      <c r="C242" s="17" t="n"/>
      <c r="D242" s="10" t="n"/>
      <c r="E242" s="10" t="n"/>
      <c r="F242" s="17" t="n"/>
      <c r="G242" s="19" t="n"/>
      <c r="H242" s="16" t="n"/>
      <c r="I242" s="16" t="n"/>
      <c r="J242" s="16" t="n"/>
      <c r="K242" s="26" t="n"/>
      <c r="L242" s="26" t="n"/>
      <c r="M242" s="16" t="n"/>
      <c r="N242" s="9" t="n"/>
      <c r="O242" s="16" t="n"/>
      <c r="P242" s="16" t="n"/>
      <c r="Q242" s="24" t="n"/>
      <c r="R242" s="17" t="n"/>
      <c r="S242" s="17" t="n"/>
      <c r="T242" s="27" t="n"/>
      <c r="U242" s="27" t="n"/>
      <c r="V242" s="10" t="n"/>
    </row>
    <row r="243">
      <c r="A243" s="16" t="n"/>
      <c r="B243" s="17" t="n"/>
      <c r="C243" s="17" t="n"/>
      <c r="D243" s="10" t="n"/>
      <c r="E243" s="10" t="n"/>
      <c r="F243" s="17" t="n"/>
      <c r="G243" s="19" t="n"/>
      <c r="H243" s="16" t="n"/>
      <c r="I243" s="16" t="n"/>
      <c r="J243" s="16" t="n"/>
      <c r="K243" s="26" t="n"/>
      <c r="L243" s="26" t="n"/>
      <c r="M243" s="16" t="n"/>
      <c r="N243" s="9" t="n"/>
      <c r="O243" s="16" t="n"/>
      <c r="P243" s="16" t="n"/>
      <c r="Q243" s="24" t="n"/>
      <c r="R243" s="17" t="n"/>
      <c r="S243" s="17" t="n"/>
      <c r="T243" s="27" t="n"/>
      <c r="U243" s="27" t="n"/>
      <c r="V243" s="10" t="n"/>
    </row>
    <row r="244">
      <c r="A244" s="16" t="n"/>
      <c r="B244" s="17" t="n"/>
      <c r="C244" s="17" t="n"/>
      <c r="D244" s="10" t="n"/>
      <c r="E244" s="10" t="n"/>
      <c r="F244" s="17" t="n"/>
      <c r="G244" s="19" t="n"/>
      <c r="H244" s="16" t="n"/>
      <c r="I244" s="16" t="n"/>
      <c r="J244" s="16" t="n"/>
      <c r="K244" s="26" t="n"/>
      <c r="L244" s="26" t="n"/>
      <c r="M244" s="16" t="n"/>
      <c r="N244" s="9" t="n"/>
      <c r="O244" s="16" t="n"/>
      <c r="P244" s="16" t="n"/>
      <c r="Q244" s="24" t="n"/>
      <c r="R244" s="17" t="n"/>
      <c r="S244" s="17" t="n"/>
      <c r="T244" s="27" t="n"/>
      <c r="U244" s="27" t="n"/>
      <c r="V244" s="10" t="n"/>
    </row>
    <row r="245">
      <c r="A245" s="16" t="n"/>
      <c r="B245" s="17" t="n"/>
      <c r="C245" s="17" t="n"/>
      <c r="D245" s="10" t="n"/>
      <c r="E245" s="10" t="n"/>
      <c r="F245" s="17" t="n"/>
      <c r="G245" s="19" t="n"/>
      <c r="H245" s="16" t="n"/>
      <c r="I245" s="16" t="n"/>
      <c r="J245" s="16" t="n"/>
      <c r="K245" s="26" t="n"/>
      <c r="L245" s="26" t="n"/>
      <c r="M245" s="16" t="n"/>
      <c r="N245" s="9" t="n"/>
      <c r="O245" s="16" t="n"/>
      <c r="P245" s="16" t="n"/>
      <c r="Q245" s="24" t="n"/>
      <c r="R245" s="17" t="n"/>
      <c r="S245" s="17" t="n"/>
      <c r="T245" s="27" t="n"/>
      <c r="U245" s="27" t="n"/>
      <c r="V245" s="10" t="n"/>
    </row>
    <row r="246">
      <c r="A246" s="16" t="n"/>
      <c r="B246" s="17" t="n"/>
      <c r="C246" s="17" t="n"/>
      <c r="D246" s="10" t="n"/>
      <c r="E246" s="10" t="n"/>
      <c r="F246" s="17" t="n"/>
      <c r="G246" s="19" t="n"/>
      <c r="H246" s="16" t="n"/>
      <c r="I246" s="16" t="n"/>
      <c r="J246" s="16" t="n"/>
      <c r="K246" s="26" t="n"/>
      <c r="L246" s="26" t="n"/>
      <c r="M246" s="16" t="n"/>
      <c r="N246" s="9" t="n"/>
      <c r="O246" s="16" t="n"/>
      <c r="P246" s="16" t="n"/>
      <c r="Q246" s="24" t="n"/>
      <c r="R246" s="17" t="n"/>
      <c r="S246" s="17" t="n"/>
      <c r="T246" s="27" t="n"/>
      <c r="U246" s="27" t="n"/>
      <c r="V246" s="10" t="n"/>
    </row>
    <row r="247">
      <c r="A247" s="16" t="n"/>
      <c r="B247" s="17" t="n"/>
      <c r="C247" s="17" t="n"/>
      <c r="D247" s="10" t="n"/>
      <c r="E247" s="10" t="n"/>
      <c r="F247" s="17" t="n"/>
      <c r="G247" s="19" t="n"/>
      <c r="H247" s="16" t="n"/>
      <c r="I247" s="16" t="n"/>
      <c r="J247" s="16" t="n"/>
      <c r="K247" s="26" t="n"/>
      <c r="L247" s="26" t="n"/>
      <c r="M247" s="16" t="n"/>
      <c r="N247" s="9" t="n"/>
      <c r="O247" s="16" t="n"/>
      <c r="P247" s="16" t="n"/>
      <c r="Q247" s="24" t="n"/>
      <c r="R247" s="17" t="n"/>
      <c r="S247" s="17" t="n"/>
      <c r="T247" s="27" t="n"/>
      <c r="U247" s="27" t="n"/>
      <c r="V247" s="10" t="n"/>
    </row>
    <row r="248">
      <c r="A248" s="16" t="n"/>
      <c r="B248" s="17" t="n"/>
      <c r="C248" s="17" t="n"/>
      <c r="D248" s="10" t="n"/>
      <c r="E248" s="10" t="n"/>
      <c r="F248" s="17" t="n"/>
      <c r="G248" s="19" t="n"/>
      <c r="H248" s="16" t="n"/>
      <c r="I248" s="16" t="n"/>
      <c r="J248" s="16" t="n"/>
      <c r="K248" s="26" t="n"/>
      <c r="L248" s="26" t="n"/>
      <c r="M248" s="16" t="n"/>
      <c r="N248" s="9" t="n"/>
      <c r="O248" s="16" t="n"/>
      <c r="P248" s="16" t="n"/>
      <c r="Q248" s="24" t="n"/>
      <c r="R248" s="17" t="n"/>
      <c r="S248" s="17" t="n"/>
      <c r="T248" s="27" t="n"/>
      <c r="U248" s="27" t="n"/>
      <c r="V248" s="10" t="n"/>
    </row>
    <row r="249">
      <c r="A249" s="16" t="n"/>
      <c r="B249" s="17" t="n"/>
      <c r="C249" s="17" t="n"/>
      <c r="D249" s="10" t="n"/>
      <c r="E249" s="10" t="n"/>
      <c r="F249" s="17" t="n"/>
      <c r="G249" s="19" t="n"/>
      <c r="H249" s="16" t="n"/>
      <c r="I249" s="16" t="n"/>
      <c r="J249" s="16" t="n"/>
      <c r="K249" s="26" t="n"/>
      <c r="L249" s="26" t="n"/>
      <c r="M249" s="16" t="n"/>
      <c r="N249" s="9" t="n"/>
      <c r="O249" s="16" t="n"/>
      <c r="P249" s="16" t="n"/>
      <c r="Q249" s="24" t="n"/>
      <c r="R249" s="17" t="n"/>
      <c r="S249" s="17" t="n"/>
      <c r="T249" s="27" t="n"/>
      <c r="U249" s="27" t="n"/>
      <c r="V249" s="10" t="n"/>
    </row>
    <row r="250">
      <c r="A250" s="16" t="n"/>
      <c r="B250" s="17" t="n"/>
      <c r="C250" s="17" t="n"/>
      <c r="D250" s="10" t="n"/>
      <c r="E250" s="10" t="n"/>
      <c r="F250" s="17" t="n"/>
      <c r="G250" s="19" t="n"/>
      <c r="H250" s="16" t="n"/>
      <c r="I250" s="16" t="n"/>
      <c r="J250" s="16" t="n"/>
      <c r="K250" s="26" t="n"/>
      <c r="L250" s="26" t="n"/>
      <c r="M250" s="16" t="n"/>
      <c r="N250" s="9" t="n"/>
      <c r="O250" s="16" t="n"/>
      <c r="P250" s="16" t="n"/>
      <c r="Q250" s="24" t="n"/>
      <c r="R250" s="17" t="n"/>
      <c r="S250" s="17" t="n"/>
      <c r="T250" s="27" t="n"/>
      <c r="U250" s="27" t="n"/>
      <c r="V250" s="10" t="n"/>
    </row>
    <row r="251">
      <c r="A251" s="16" t="n"/>
      <c r="B251" s="17" t="n"/>
      <c r="C251" s="17" t="n"/>
      <c r="D251" s="10" t="n"/>
      <c r="E251" s="10" t="n"/>
      <c r="F251" s="17" t="n"/>
      <c r="G251" s="19" t="n"/>
      <c r="H251" s="16" t="n"/>
      <c r="I251" s="16" t="n"/>
      <c r="J251" s="16" t="n"/>
      <c r="K251" s="26" t="n"/>
      <c r="L251" s="26" t="n"/>
      <c r="M251" s="16" t="n"/>
      <c r="N251" s="9" t="n"/>
      <c r="O251" s="16" t="n"/>
      <c r="P251" s="16" t="n"/>
      <c r="Q251" s="24" t="n"/>
      <c r="R251" s="17" t="n"/>
      <c r="S251" s="17" t="n"/>
      <c r="T251" s="27" t="n"/>
      <c r="U251" s="27" t="n"/>
      <c r="V251" s="10" t="n"/>
    </row>
    <row r="252">
      <c r="A252" s="16" t="n"/>
      <c r="B252" s="17" t="n"/>
      <c r="C252" s="17" t="n"/>
      <c r="D252" s="10" t="n"/>
      <c r="E252" s="10" t="n"/>
      <c r="F252" s="17" t="n"/>
      <c r="G252" s="19" t="n"/>
      <c r="H252" s="16" t="n"/>
      <c r="I252" s="16" t="n"/>
      <c r="J252" s="16" t="n"/>
      <c r="K252" s="26" t="n"/>
      <c r="L252" s="26" t="n"/>
      <c r="M252" s="16" t="n"/>
      <c r="N252" s="9" t="n"/>
      <c r="O252" s="16" t="n"/>
      <c r="P252" s="16" t="n"/>
      <c r="Q252" s="24" t="n"/>
      <c r="R252" s="17" t="n"/>
      <c r="S252" s="17" t="n"/>
      <c r="T252" s="27" t="n"/>
      <c r="U252" s="27" t="n"/>
      <c r="V252" s="10" t="n"/>
    </row>
    <row r="253">
      <c r="A253" s="16" t="n"/>
      <c r="B253" s="17" t="n"/>
      <c r="C253" s="17" t="n"/>
      <c r="D253" s="10" t="n"/>
      <c r="E253" s="10" t="n"/>
      <c r="F253" s="17" t="n"/>
      <c r="G253" s="19" t="n"/>
      <c r="H253" s="16" t="n"/>
      <c r="I253" s="16" t="n"/>
      <c r="J253" s="16" t="n"/>
      <c r="K253" s="26" t="n"/>
      <c r="L253" s="26" t="n"/>
      <c r="M253" s="16" t="n"/>
      <c r="N253" s="9" t="n"/>
      <c r="O253" s="16" t="n"/>
      <c r="P253" s="16" t="n"/>
      <c r="Q253" s="24" t="n"/>
      <c r="R253" s="17" t="n"/>
      <c r="S253" s="17" t="n"/>
      <c r="T253" s="27" t="n"/>
      <c r="U253" s="27" t="n"/>
      <c r="V253" s="10" t="n"/>
    </row>
    <row r="254">
      <c r="A254" s="16" t="n"/>
      <c r="B254" s="17" t="n"/>
      <c r="C254" s="17" t="n"/>
      <c r="D254" s="10" t="n"/>
      <c r="E254" s="10" t="n"/>
      <c r="F254" s="17" t="n"/>
      <c r="G254" s="19" t="n"/>
      <c r="H254" s="16" t="n"/>
      <c r="I254" s="16" t="n"/>
      <c r="J254" s="16" t="n"/>
      <c r="K254" s="26" t="n"/>
      <c r="L254" s="26" t="n"/>
      <c r="M254" s="16" t="n"/>
      <c r="N254" s="9" t="n"/>
      <c r="O254" s="16" t="n"/>
      <c r="P254" s="16" t="n"/>
      <c r="Q254" s="24" t="n"/>
      <c r="R254" s="17" t="n"/>
      <c r="S254" s="17" t="n"/>
      <c r="T254" s="27" t="n"/>
      <c r="U254" s="27" t="n"/>
      <c r="V254" s="10" t="n"/>
    </row>
    <row r="255">
      <c r="A255" s="16" t="n"/>
      <c r="B255" s="17" t="n"/>
      <c r="C255" s="17" t="n"/>
      <c r="D255" s="10" t="n"/>
      <c r="E255" s="10" t="n"/>
      <c r="F255" s="17" t="n"/>
      <c r="G255" s="19" t="n"/>
      <c r="H255" s="16" t="n"/>
      <c r="I255" s="16" t="n"/>
      <c r="J255" s="16" t="n"/>
      <c r="K255" s="26" t="n"/>
      <c r="L255" s="26" t="n"/>
      <c r="M255" s="16" t="n"/>
      <c r="N255" s="9" t="n"/>
      <c r="O255" s="16" t="n"/>
      <c r="P255" s="16" t="n"/>
      <c r="Q255" s="24" t="n"/>
      <c r="R255" s="17" t="n"/>
      <c r="S255" s="17" t="n"/>
      <c r="T255" s="27" t="n"/>
      <c r="U255" s="27" t="n"/>
      <c r="V255" s="10" t="n"/>
    </row>
    <row r="256">
      <c r="A256" s="16" t="n"/>
      <c r="B256" s="17" t="n"/>
      <c r="C256" s="17" t="n"/>
      <c r="D256" s="10" t="n"/>
      <c r="E256" s="10" t="n"/>
      <c r="F256" s="17" t="n"/>
      <c r="G256" s="19" t="n"/>
      <c r="H256" s="16" t="n"/>
      <c r="I256" s="16" t="n"/>
      <c r="J256" s="16" t="n"/>
      <c r="K256" s="26" t="n"/>
      <c r="L256" s="26" t="n"/>
      <c r="M256" s="16" t="n"/>
      <c r="N256" s="9" t="n"/>
      <c r="O256" s="16" t="n"/>
      <c r="P256" s="16" t="n"/>
      <c r="Q256" s="24" t="n"/>
      <c r="R256" s="17" t="n"/>
      <c r="S256" s="17" t="n"/>
      <c r="T256" s="27" t="n"/>
      <c r="U256" s="27" t="n"/>
      <c r="V256" s="10" t="n"/>
    </row>
    <row r="257">
      <c r="A257" s="16" t="n"/>
      <c r="B257" s="17" t="n"/>
      <c r="C257" s="17" t="n"/>
      <c r="D257" s="10" t="n"/>
      <c r="E257" s="10" t="n"/>
      <c r="F257" s="17" t="n"/>
      <c r="G257" s="19" t="n"/>
      <c r="H257" s="16" t="n"/>
      <c r="I257" s="16" t="n"/>
      <c r="J257" s="16" t="n"/>
      <c r="K257" s="26" t="n"/>
      <c r="L257" s="26" t="n"/>
      <c r="M257" s="16" t="n"/>
      <c r="N257" s="9" t="n"/>
      <c r="O257" s="16" t="n"/>
      <c r="P257" s="16" t="n"/>
      <c r="Q257" s="24" t="n"/>
      <c r="R257" s="17" t="n"/>
      <c r="S257" s="17" t="n"/>
      <c r="T257" s="27" t="n"/>
      <c r="U257" s="27" t="n"/>
      <c r="V257" s="10" t="n"/>
    </row>
    <row r="258">
      <c r="A258" s="16" t="n"/>
      <c r="B258" s="17" t="n"/>
      <c r="C258" s="17" t="n"/>
      <c r="D258" s="10" t="n"/>
      <c r="E258" s="10" t="n"/>
      <c r="F258" s="17" t="n"/>
      <c r="G258" s="19" t="n"/>
      <c r="H258" s="16" t="n"/>
      <c r="I258" s="16" t="n"/>
      <c r="J258" s="16" t="n"/>
      <c r="K258" s="26" t="n"/>
      <c r="L258" s="26" t="n"/>
      <c r="M258" s="16" t="n"/>
      <c r="N258" s="9" t="n"/>
      <c r="O258" s="16" t="n"/>
      <c r="P258" s="16" t="n"/>
      <c r="Q258" s="24" t="n"/>
      <c r="R258" s="17" t="n"/>
      <c r="S258" s="17" t="n"/>
      <c r="T258" s="27" t="n"/>
      <c r="U258" s="27" t="n"/>
      <c r="V258" s="10" t="n"/>
    </row>
    <row r="259">
      <c r="A259" s="16" t="n"/>
      <c r="B259" s="17" t="n"/>
      <c r="C259" s="17" t="n"/>
      <c r="D259" s="10" t="n"/>
      <c r="E259" s="10" t="n"/>
      <c r="F259" s="17" t="n"/>
      <c r="G259" s="19" t="n"/>
      <c r="H259" s="16" t="n"/>
      <c r="I259" s="16" t="n"/>
      <c r="J259" s="16" t="n"/>
      <c r="K259" s="26" t="n"/>
      <c r="L259" s="26" t="n"/>
      <c r="M259" s="16" t="n"/>
      <c r="N259" s="9" t="n"/>
      <c r="O259" s="16" t="n"/>
      <c r="P259" s="16" t="n"/>
      <c r="Q259" s="24" t="n"/>
      <c r="R259" s="17" t="n"/>
      <c r="S259" s="17" t="n"/>
      <c r="T259" s="27" t="n"/>
      <c r="U259" s="27" t="n"/>
      <c r="V259" s="10" t="n"/>
    </row>
    <row r="260">
      <c r="A260" s="16" t="n"/>
      <c r="B260" s="17" t="n"/>
      <c r="C260" s="17" t="n"/>
      <c r="D260" s="10" t="n"/>
      <c r="E260" s="10" t="n"/>
      <c r="F260" s="17" t="n"/>
      <c r="G260" s="19" t="n"/>
      <c r="H260" s="16" t="n"/>
      <c r="I260" s="16" t="n"/>
      <c r="J260" s="16" t="n"/>
      <c r="K260" s="26" t="n"/>
      <c r="L260" s="26" t="n"/>
      <c r="M260" s="16" t="n"/>
      <c r="N260" s="9" t="n"/>
      <c r="O260" s="16" t="n"/>
      <c r="P260" s="16" t="n"/>
      <c r="Q260" s="24" t="n"/>
      <c r="R260" s="17" t="n"/>
      <c r="S260" s="17" t="n"/>
      <c r="T260" s="27" t="n"/>
      <c r="U260" s="27" t="n"/>
      <c r="V260" s="10" t="n"/>
    </row>
    <row r="261">
      <c r="A261" s="16" t="n"/>
      <c r="B261" s="17" t="n"/>
      <c r="C261" s="17" t="n"/>
      <c r="D261" s="10" t="n"/>
      <c r="E261" s="10" t="n"/>
      <c r="F261" s="17" t="n"/>
      <c r="G261" s="19" t="n"/>
      <c r="H261" s="16" t="n"/>
      <c r="I261" s="16" t="n"/>
      <c r="J261" s="16" t="n"/>
      <c r="K261" s="26" t="n"/>
      <c r="L261" s="26" t="n"/>
      <c r="M261" s="16" t="n"/>
      <c r="N261" s="9" t="n"/>
      <c r="O261" s="16" t="n"/>
      <c r="P261" s="16" t="n"/>
      <c r="Q261" s="24" t="n"/>
      <c r="R261" s="17" t="n"/>
      <c r="S261" s="17" t="n"/>
      <c r="T261" s="27" t="n"/>
      <c r="U261" s="27" t="n"/>
      <c r="V261" s="10" t="n"/>
    </row>
    <row r="262">
      <c r="A262" s="16" t="n"/>
      <c r="B262" s="17" t="n"/>
      <c r="C262" s="17" t="n"/>
      <c r="D262" s="10" t="n"/>
      <c r="E262" s="10" t="n"/>
      <c r="F262" s="17" t="n"/>
      <c r="G262" s="19" t="n"/>
      <c r="H262" s="16" t="n"/>
      <c r="I262" s="16" t="n"/>
      <c r="J262" s="16" t="n"/>
      <c r="K262" s="26" t="n"/>
      <c r="L262" s="26" t="n"/>
      <c r="M262" s="16" t="n"/>
      <c r="N262" s="9" t="n"/>
      <c r="O262" s="16" t="n"/>
      <c r="P262" s="16" t="n"/>
      <c r="Q262" s="24" t="n"/>
      <c r="R262" s="17" t="n"/>
      <c r="S262" s="17" t="n"/>
      <c r="T262" s="27" t="n"/>
      <c r="U262" s="27" t="n"/>
      <c r="V262" s="10" t="n"/>
    </row>
    <row r="263">
      <c r="A263" s="16" t="n"/>
      <c r="B263" s="17" t="n"/>
      <c r="C263" s="17" t="n"/>
      <c r="D263" s="10" t="n"/>
      <c r="E263" s="10" t="n"/>
      <c r="F263" s="17" t="n"/>
      <c r="G263" s="19" t="n"/>
      <c r="H263" s="16" t="n"/>
      <c r="I263" s="16" t="n"/>
      <c r="J263" s="16" t="n"/>
      <c r="K263" s="26" t="n"/>
      <c r="L263" s="26" t="n"/>
      <c r="M263" s="16" t="n"/>
      <c r="N263" s="9" t="n"/>
      <c r="O263" s="16" t="n"/>
      <c r="P263" s="16" t="n"/>
      <c r="Q263" s="24" t="n"/>
      <c r="R263" s="17" t="n"/>
      <c r="S263" s="17" t="n"/>
      <c r="T263" s="27" t="n"/>
      <c r="U263" s="27" t="n"/>
      <c r="V263" s="10" t="n"/>
    </row>
    <row r="264">
      <c r="A264" s="16" t="n"/>
      <c r="B264" s="17" t="n"/>
      <c r="C264" s="17" t="n"/>
      <c r="D264" s="10" t="n"/>
      <c r="E264" s="10" t="n"/>
      <c r="F264" s="17" t="n"/>
      <c r="G264" s="19" t="n"/>
      <c r="H264" s="16" t="n"/>
      <c r="I264" s="16" t="n"/>
      <c r="J264" s="16" t="n"/>
      <c r="K264" s="26" t="n"/>
      <c r="L264" s="26" t="n"/>
      <c r="M264" s="16" t="n"/>
      <c r="N264" s="9" t="n"/>
      <c r="O264" s="16" t="n"/>
      <c r="P264" s="16" t="n"/>
      <c r="Q264" s="24" t="n"/>
      <c r="R264" s="17" t="n"/>
      <c r="S264" s="17" t="n"/>
      <c r="T264" s="27" t="n"/>
      <c r="U264" s="27" t="n"/>
      <c r="V264" s="10" t="n"/>
    </row>
    <row r="265">
      <c r="A265" s="16" t="n"/>
      <c r="B265" s="17" t="n"/>
      <c r="C265" s="17" t="n"/>
      <c r="D265" s="10" t="n"/>
      <c r="E265" s="10" t="n"/>
      <c r="F265" s="17" t="n"/>
      <c r="G265" s="19" t="n"/>
      <c r="H265" s="16" t="n"/>
      <c r="I265" s="16" t="n"/>
      <c r="J265" s="16" t="n"/>
      <c r="K265" s="26" t="n"/>
      <c r="L265" s="26" t="n"/>
      <c r="M265" s="16" t="n"/>
      <c r="N265" s="9" t="n"/>
      <c r="O265" s="16" t="n"/>
      <c r="P265" s="16" t="n"/>
      <c r="Q265" s="24" t="n"/>
      <c r="R265" s="17" t="n"/>
      <c r="S265" s="17" t="n"/>
      <c r="T265" s="27" t="n"/>
      <c r="U265" s="27" t="n"/>
      <c r="V265" s="10" t="n"/>
    </row>
    <row r="266">
      <c r="A266" s="16" t="n"/>
      <c r="B266" s="17" t="n"/>
      <c r="C266" s="17" t="n"/>
      <c r="D266" s="10" t="n"/>
      <c r="E266" s="10" t="n"/>
      <c r="F266" s="17" t="n"/>
      <c r="G266" s="19" t="n"/>
      <c r="H266" s="16" t="n"/>
      <c r="I266" s="16" t="n"/>
      <c r="J266" s="16" t="n"/>
      <c r="K266" s="26" t="n"/>
      <c r="L266" s="26" t="n"/>
      <c r="M266" s="16" t="n"/>
      <c r="N266" s="9" t="n"/>
      <c r="O266" s="16" t="n"/>
      <c r="P266" s="16" t="n"/>
      <c r="Q266" s="24" t="n"/>
      <c r="R266" s="17" t="n"/>
      <c r="S266" s="17" t="n"/>
      <c r="T266" s="27" t="n"/>
      <c r="U266" s="27" t="n"/>
      <c r="V266" s="10" t="n"/>
    </row>
    <row r="267">
      <c r="A267" s="16" t="n"/>
      <c r="B267" s="17" t="n"/>
      <c r="C267" s="17" t="n"/>
      <c r="D267" s="10" t="n"/>
      <c r="E267" s="10" t="n"/>
      <c r="F267" s="17" t="n"/>
      <c r="G267" s="19" t="n"/>
      <c r="H267" s="16" t="n"/>
      <c r="I267" s="16" t="n"/>
      <c r="J267" s="16" t="n"/>
      <c r="K267" s="26" t="n"/>
      <c r="L267" s="26" t="n"/>
      <c r="M267" s="16" t="n"/>
      <c r="N267" s="9" t="n"/>
      <c r="O267" s="16" t="n"/>
      <c r="P267" s="16" t="n"/>
      <c r="Q267" s="24" t="n"/>
      <c r="R267" s="17" t="n"/>
      <c r="S267" s="17" t="n"/>
      <c r="T267" s="27" t="n"/>
      <c r="U267" s="27" t="n"/>
      <c r="V267" s="10" t="n"/>
    </row>
    <row r="268">
      <c r="A268" s="16" t="n"/>
      <c r="B268" s="17" t="n"/>
      <c r="C268" s="17" t="n"/>
      <c r="D268" s="10" t="n"/>
      <c r="E268" s="10" t="n"/>
      <c r="F268" s="17" t="n"/>
      <c r="G268" s="19" t="n"/>
      <c r="H268" s="16" t="n"/>
      <c r="I268" s="16" t="n"/>
      <c r="J268" s="16" t="n"/>
      <c r="K268" s="26" t="n"/>
      <c r="L268" s="26" t="n"/>
      <c r="M268" s="16" t="n"/>
      <c r="N268" s="9" t="n"/>
      <c r="O268" s="16" t="n"/>
      <c r="P268" s="16" t="n"/>
      <c r="Q268" s="24" t="n"/>
      <c r="R268" s="17" t="n"/>
      <c r="S268" s="17" t="n"/>
      <c r="T268" s="27" t="n"/>
      <c r="U268" s="27" t="n"/>
      <c r="V268" s="10" t="n"/>
    </row>
    <row r="269">
      <c r="A269" s="16" t="n"/>
      <c r="B269" s="17" t="n"/>
      <c r="C269" s="17" t="n"/>
      <c r="D269" s="10" t="n"/>
      <c r="E269" s="10" t="n"/>
      <c r="F269" s="17" t="n"/>
      <c r="G269" s="19" t="n"/>
      <c r="H269" s="16" t="n"/>
      <c r="I269" s="16" t="n"/>
      <c r="J269" s="16" t="n"/>
      <c r="K269" s="26" t="n"/>
      <c r="L269" s="26" t="n"/>
      <c r="M269" s="16" t="n"/>
      <c r="N269" s="9" t="n"/>
      <c r="O269" s="16" t="n"/>
      <c r="P269" s="16" t="n"/>
      <c r="Q269" s="24" t="n"/>
      <c r="R269" s="17" t="n"/>
      <c r="S269" s="17" t="n"/>
      <c r="T269" s="27" t="n"/>
      <c r="U269" s="27" t="n"/>
      <c r="V269" s="10" t="n"/>
    </row>
    <row r="270">
      <c r="A270" s="16" t="n"/>
      <c r="B270" s="17" t="n"/>
      <c r="C270" s="17" t="n"/>
      <c r="D270" s="10" t="n"/>
      <c r="E270" s="10" t="n"/>
      <c r="F270" s="17" t="n"/>
      <c r="G270" s="19" t="n"/>
      <c r="H270" s="16" t="n"/>
      <c r="I270" s="16" t="n"/>
      <c r="J270" s="16" t="n"/>
      <c r="K270" s="26" t="n"/>
      <c r="L270" s="26" t="n"/>
      <c r="M270" s="16" t="n"/>
      <c r="N270" s="9" t="n"/>
      <c r="O270" s="16" t="n"/>
      <c r="P270" s="16" t="n"/>
      <c r="Q270" s="24" t="n"/>
      <c r="R270" s="17" t="n"/>
      <c r="S270" s="17" t="n"/>
      <c r="T270" s="27" t="n"/>
      <c r="U270" s="27" t="n"/>
      <c r="V270" s="10" t="n"/>
    </row>
    <row r="271">
      <c r="A271" s="16" t="n"/>
      <c r="B271" s="17" t="n"/>
      <c r="C271" s="17" t="n"/>
      <c r="D271" s="10" t="n"/>
      <c r="E271" s="10" t="n"/>
      <c r="F271" s="17" t="n"/>
      <c r="G271" s="19" t="n"/>
      <c r="H271" s="16" t="n"/>
      <c r="I271" s="16" t="n"/>
      <c r="J271" s="16" t="n"/>
      <c r="K271" s="26" t="n"/>
      <c r="L271" s="26" t="n"/>
      <c r="M271" s="16" t="n"/>
      <c r="N271" s="9" t="n"/>
      <c r="O271" s="16" t="n"/>
      <c r="P271" s="16" t="n"/>
      <c r="Q271" s="24" t="n"/>
      <c r="R271" s="17" t="n"/>
      <c r="S271" s="17" t="n"/>
      <c r="T271" s="27" t="n"/>
      <c r="U271" s="27" t="n"/>
      <c r="V271" s="10" t="n"/>
    </row>
    <row r="272">
      <c r="A272" s="16" t="n"/>
      <c r="B272" s="17" t="n"/>
      <c r="C272" s="17" t="n"/>
      <c r="D272" s="10" t="n"/>
      <c r="E272" s="10" t="n"/>
      <c r="F272" s="17" t="n"/>
      <c r="G272" s="19" t="n"/>
      <c r="H272" s="16" t="n"/>
      <c r="I272" s="16" t="n"/>
      <c r="J272" s="16" t="n"/>
      <c r="K272" s="26" t="n"/>
      <c r="L272" s="26" t="n"/>
      <c r="M272" s="16" t="n"/>
      <c r="N272" s="9" t="n"/>
      <c r="O272" s="16" t="n"/>
      <c r="P272" s="16" t="n"/>
      <c r="Q272" s="24" t="n"/>
      <c r="R272" s="17" t="n"/>
      <c r="S272" s="17" t="n"/>
      <c r="T272" s="27" t="n"/>
      <c r="U272" s="27" t="n"/>
      <c r="V272" s="10" t="n"/>
    </row>
    <row r="273">
      <c r="A273" s="16" t="n"/>
      <c r="B273" s="17" t="n"/>
      <c r="C273" s="17" t="n"/>
      <c r="D273" s="10" t="n"/>
      <c r="E273" s="10" t="n"/>
      <c r="F273" s="17" t="n"/>
      <c r="G273" s="19" t="n"/>
      <c r="H273" s="16" t="n"/>
      <c r="I273" s="16" t="n"/>
      <c r="J273" s="16" t="n"/>
      <c r="K273" s="26" t="n"/>
      <c r="L273" s="26" t="n"/>
      <c r="M273" s="16" t="n"/>
      <c r="N273" s="9" t="n"/>
      <c r="O273" s="16" t="n"/>
      <c r="P273" s="16" t="n"/>
      <c r="Q273" s="24" t="n"/>
      <c r="R273" s="17" t="n"/>
      <c r="S273" s="17" t="n"/>
      <c r="T273" s="27" t="n"/>
      <c r="U273" s="27" t="n"/>
      <c r="V273" s="10" t="n"/>
    </row>
    <row r="274">
      <c r="A274" s="16" t="n"/>
      <c r="B274" s="17" t="n"/>
      <c r="C274" s="17" t="n"/>
      <c r="D274" s="10" t="n"/>
      <c r="E274" s="10" t="n"/>
      <c r="F274" s="17" t="n"/>
      <c r="G274" s="19" t="n"/>
      <c r="H274" s="16" t="n"/>
      <c r="I274" s="16" t="n"/>
      <c r="J274" s="16" t="n"/>
      <c r="K274" s="26" t="n"/>
      <c r="L274" s="26" t="n"/>
      <c r="M274" s="16" t="n"/>
      <c r="N274" s="9" t="n"/>
      <c r="O274" s="16" t="n"/>
      <c r="P274" s="16" t="n"/>
      <c r="Q274" s="24" t="n"/>
      <c r="R274" s="17" t="n"/>
      <c r="S274" s="17" t="n"/>
      <c r="T274" s="27" t="n"/>
      <c r="U274" s="27" t="n"/>
      <c r="V274" s="10" t="n"/>
    </row>
    <row r="275">
      <c r="A275" s="16" t="n"/>
      <c r="B275" s="17" t="n"/>
      <c r="C275" s="17" t="n"/>
      <c r="D275" s="10" t="n"/>
      <c r="E275" s="10" t="n"/>
      <c r="F275" s="17" t="n"/>
      <c r="G275" s="19" t="n"/>
      <c r="H275" s="16" t="n"/>
      <c r="I275" s="16" t="n"/>
      <c r="J275" s="16" t="n"/>
      <c r="K275" s="26" t="n"/>
      <c r="L275" s="26" t="n"/>
      <c r="M275" s="16" t="n"/>
      <c r="N275" s="9" t="n"/>
      <c r="O275" s="16" t="n"/>
      <c r="P275" s="16" t="n"/>
      <c r="Q275" s="24" t="n"/>
      <c r="R275" s="17" t="n"/>
      <c r="S275" s="17" t="n"/>
      <c r="T275" s="27" t="n"/>
      <c r="U275" s="27" t="n"/>
      <c r="V275" s="10" t="n"/>
    </row>
    <row r="276">
      <c r="A276" s="16" t="n"/>
      <c r="B276" s="17" t="n"/>
      <c r="C276" s="17" t="n"/>
      <c r="D276" s="10" t="n"/>
      <c r="E276" s="10" t="n"/>
      <c r="F276" s="17" t="n"/>
      <c r="G276" s="19" t="n"/>
      <c r="H276" s="16" t="n"/>
      <c r="I276" s="16" t="n"/>
      <c r="J276" s="16" t="n"/>
      <c r="K276" s="26" t="n"/>
      <c r="L276" s="26" t="n"/>
      <c r="M276" s="16" t="n"/>
      <c r="N276" s="9" t="n"/>
      <c r="O276" s="16" t="n"/>
      <c r="P276" s="16" t="n"/>
      <c r="Q276" s="24" t="n"/>
      <c r="R276" s="17" t="n"/>
      <c r="S276" s="17" t="n"/>
      <c r="T276" s="27" t="n"/>
      <c r="U276" s="27" t="n"/>
      <c r="V276" s="10" t="n"/>
    </row>
    <row r="277">
      <c r="A277" s="16" t="n"/>
      <c r="B277" s="17" t="n"/>
      <c r="C277" s="17" t="n"/>
      <c r="D277" s="10" t="n"/>
      <c r="E277" s="10" t="n"/>
      <c r="F277" s="17" t="n"/>
      <c r="G277" s="19" t="n"/>
      <c r="H277" s="16" t="n"/>
      <c r="I277" s="16" t="n"/>
      <c r="J277" s="16" t="n"/>
      <c r="K277" s="26" t="n"/>
      <c r="L277" s="26" t="n"/>
      <c r="M277" s="16" t="n"/>
      <c r="N277" s="9" t="n"/>
      <c r="O277" s="16" t="n"/>
      <c r="P277" s="16" t="n"/>
      <c r="Q277" s="24" t="n"/>
      <c r="R277" s="17" t="n"/>
      <c r="S277" s="17" t="n"/>
      <c r="T277" s="27" t="n"/>
      <c r="U277" s="27" t="n"/>
      <c r="V277" s="10" t="n"/>
    </row>
    <row r="278">
      <c r="A278" s="16" t="n"/>
      <c r="B278" s="17" t="n"/>
      <c r="C278" s="17" t="n"/>
      <c r="D278" s="10" t="n"/>
      <c r="E278" s="10" t="n"/>
      <c r="F278" s="17" t="n"/>
      <c r="G278" s="19" t="n"/>
      <c r="H278" s="16" t="n"/>
      <c r="I278" s="16" t="n"/>
      <c r="J278" s="16" t="n"/>
      <c r="K278" s="26" t="n"/>
      <c r="L278" s="26" t="n"/>
      <c r="M278" s="16" t="n"/>
      <c r="N278" s="9" t="n"/>
      <c r="O278" s="16" t="n"/>
      <c r="P278" s="16" t="n"/>
      <c r="Q278" s="24" t="n"/>
      <c r="R278" s="17" t="n"/>
      <c r="S278" s="17" t="n"/>
      <c r="T278" s="27" t="n"/>
      <c r="U278" s="27" t="n"/>
      <c r="V278" s="10" t="n"/>
    </row>
    <row r="279">
      <c r="A279" s="16" t="n"/>
      <c r="B279" s="17" t="n"/>
      <c r="C279" s="17" t="n"/>
      <c r="D279" s="10" t="n"/>
      <c r="E279" s="10" t="n"/>
      <c r="F279" s="17" t="n"/>
      <c r="G279" s="19" t="n"/>
      <c r="H279" s="16" t="n"/>
      <c r="I279" s="16" t="n"/>
      <c r="J279" s="16" t="n"/>
      <c r="K279" s="26" t="n"/>
      <c r="L279" s="26" t="n"/>
      <c r="M279" s="16" t="n"/>
      <c r="N279" s="9" t="n"/>
      <c r="O279" s="16" t="n"/>
      <c r="P279" s="16" t="n"/>
      <c r="Q279" s="24" t="n"/>
      <c r="R279" s="17" t="n"/>
      <c r="S279" s="17" t="n"/>
      <c r="T279" s="27" t="n"/>
      <c r="U279" s="27" t="n"/>
      <c r="V279" s="10" t="n"/>
    </row>
    <row r="280">
      <c r="A280" s="16" t="n"/>
      <c r="B280" s="17" t="n"/>
      <c r="C280" s="17" t="n"/>
      <c r="D280" s="10" t="n"/>
      <c r="E280" s="10" t="n"/>
      <c r="F280" s="17" t="n"/>
      <c r="G280" s="19" t="n"/>
      <c r="H280" s="16" t="n"/>
      <c r="I280" s="16" t="n"/>
      <c r="J280" s="16" t="n"/>
      <c r="K280" s="26" t="n"/>
      <c r="L280" s="26" t="n"/>
      <c r="M280" s="16" t="n"/>
      <c r="N280" s="9" t="n"/>
      <c r="O280" s="16" t="n"/>
      <c r="P280" s="16" t="n"/>
      <c r="Q280" s="24" t="n"/>
      <c r="R280" s="17" t="n"/>
      <c r="S280" s="17" t="n"/>
      <c r="T280" s="27" t="n"/>
      <c r="U280" s="27" t="n"/>
      <c r="V280" s="10" t="n"/>
    </row>
    <row r="281">
      <c r="A281" s="16" t="n"/>
      <c r="B281" s="17" t="n"/>
      <c r="C281" s="17" t="n"/>
      <c r="D281" s="10" t="n"/>
      <c r="E281" s="10" t="n"/>
      <c r="F281" s="17" t="n"/>
      <c r="G281" s="19" t="n"/>
      <c r="H281" s="16" t="n"/>
      <c r="I281" s="16" t="n"/>
      <c r="J281" s="16" t="n"/>
      <c r="K281" s="26" t="n"/>
      <c r="L281" s="26" t="n"/>
      <c r="M281" s="16" t="n"/>
      <c r="N281" s="9" t="n"/>
      <c r="O281" s="16" t="n"/>
      <c r="P281" s="16" t="n"/>
      <c r="Q281" s="24" t="n"/>
      <c r="R281" s="17" t="n"/>
      <c r="S281" s="17" t="n"/>
      <c r="T281" s="27" t="n"/>
      <c r="U281" s="27" t="n"/>
      <c r="V281" s="10" t="n"/>
    </row>
    <row r="282">
      <c r="A282" s="16" t="n"/>
      <c r="B282" s="17" t="n"/>
      <c r="C282" s="17" t="n"/>
      <c r="D282" s="10" t="n"/>
      <c r="E282" s="10" t="n"/>
      <c r="F282" s="17" t="n"/>
      <c r="G282" s="19" t="n"/>
      <c r="H282" s="16" t="n"/>
      <c r="I282" s="16" t="n"/>
      <c r="J282" s="16" t="n"/>
      <c r="K282" s="26" t="n"/>
      <c r="L282" s="26" t="n"/>
      <c r="M282" s="16" t="n"/>
      <c r="N282" s="9" t="n"/>
      <c r="O282" s="16" t="n"/>
      <c r="P282" s="16" t="n"/>
      <c r="Q282" s="24" t="n"/>
      <c r="R282" s="17" t="n"/>
      <c r="S282" s="17" t="n"/>
      <c r="T282" s="27" t="n"/>
      <c r="U282" s="27" t="n"/>
      <c r="V282" s="10" t="n"/>
    </row>
    <row r="283">
      <c r="A283" s="16" t="n"/>
      <c r="B283" s="17" t="n"/>
      <c r="C283" s="17" t="n"/>
      <c r="D283" s="10" t="n"/>
      <c r="E283" s="10" t="n"/>
      <c r="F283" s="17" t="n"/>
      <c r="G283" s="19" t="n"/>
      <c r="H283" s="16" t="n"/>
      <c r="I283" s="16" t="n"/>
      <c r="J283" s="16" t="n"/>
      <c r="K283" s="26" t="n"/>
      <c r="L283" s="26" t="n"/>
      <c r="M283" s="16" t="n"/>
      <c r="N283" s="9" t="n"/>
      <c r="O283" s="16" t="n"/>
      <c r="P283" s="16" t="n"/>
      <c r="Q283" s="24" t="n"/>
      <c r="R283" s="17" t="n"/>
      <c r="S283" s="17" t="n"/>
      <c r="T283" s="27" t="n"/>
      <c r="U283" s="27" t="n"/>
      <c r="V283" s="10" t="n"/>
    </row>
    <row r="284">
      <c r="A284" s="16" t="n"/>
      <c r="B284" s="17" t="n"/>
      <c r="C284" s="17" t="n"/>
      <c r="D284" s="10" t="n"/>
      <c r="E284" s="10" t="n"/>
      <c r="F284" s="17" t="n"/>
      <c r="G284" s="19" t="n"/>
      <c r="H284" s="16" t="n"/>
      <c r="I284" s="16" t="n"/>
      <c r="J284" s="16" t="n"/>
      <c r="K284" s="26" t="n"/>
      <c r="L284" s="26" t="n"/>
      <c r="M284" s="16" t="n"/>
      <c r="N284" s="9" t="n"/>
      <c r="O284" s="16" t="n"/>
      <c r="P284" s="16" t="n"/>
      <c r="Q284" s="24" t="n"/>
      <c r="R284" s="17" t="n"/>
      <c r="S284" s="17" t="n"/>
      <c r="T284" s="27" t="n"/>
      <c r="U284" s="27" t="n"/>
      <c r="V284" s="10" t="n"/>
    </row>
    <row r="285">
      <c r="A285" s="16" t="n"/>
      <c r="B285" s="17" t="n"/>
      <c r="C285" s="17" t="n"/>
      <c r="D285" s="10" t="n"/>
      <c r="E285" s="10" t="n"/>
      <c r="F285" s="17" t="n"/>
      <c r="G285" s="19" t="n"/>
      <c r="H285" s="16" t="n"/>
      <c r="I285" s="16" t="n"/>
      <c r="J285" s="16" t="n"/>
      <c r="K285" s="26" t="n"/>
      <c r="L285" s="26" t="n"/>
      <c r="M285" s="16" t="n"/>
      <c r="N285" s="9" t="n"/>
      <c r="O285" s="16" t="n"/>
      <c r="P285" s="16" t="n"/>
      <c r="Q285" s="24" t="n"/>
      <c r="R285" s="17" t="n"/>
      <c r="S285" s="17" t="n"/>
      <c r="T285" s="27" t="n"/>
      <c r="U285" s="27" t="n"/>
      <c r="V285" s="10" t="n"/>
    </row>
    <row r="286">
      <c r="A286" s="16" t="n"/>
      <c r="B286" s="17" t="n"/>
      <c r="C286" s="17" t="n"/>
      <c r="D286" s="10" t="n"/>
      <c r="E286" s="10" t="n"/>
      <c r="F286" s="17" t="n"/>
      <c r="G286" s="19" t="n"/>
      <c r="H286" s="16" t="n"/>
      <c r="I286" s="16" t="n"/>
      <c r="J286" s="16" t="n"/>
      <c r="K286" s="26" t="n"/>
      <c r="L286" s="26" t="n"/>
      <c r="M286" s="16" t="n"/>
      <c r="N286" s="9" t="n"/>
      <c r="O286" s="16" t="n"/>
      <c r="P286" s="16" t="n"/>
      <c r="Q286" s="24" t="n"/>
      <c r="R286" s="17" t="n"/>
      <c r="S286" s="17" t="n"/>
      <c r="T286" s="27" t="n"/>
      <c r="U286" s="27" t="n"/>
      <c r="V286" s="10" t="n"/>
    </row>
    <row r="287">
      <c r="A287" s="16" t="n"/>
      <c r="B287" s="17" t="n"/>
      <c r="C287" s="17" t="n"/>
      <c r="D287" s="10" t="n"/>
      <c r="E287" s="10" t="n"/>
      <c r="F287" s="17" t="n"/>
      <c r="G287" s="19" t="n"/>
      <c r="H287" s="16" t="n"/>
      <c r="I287" s="16" t="n"/>
      <c r="J287" s="16" t="n"/>
      <c r="K287" s="26" t="n"/>
      <c r="L287" s="26" t="n"/>
      <c r="M287" s="16" t="n"/>
      <c r="N287" s="9" t="n"/>
      <c r="O287" s="16" t="n"/>
      <c r="P287" s="16" t="n"/>
      <c r="Q287" s="24" t="n"/>
      <c r="R287" s="17" t="n"/>
      <c r="S287" s="17" t="n"/>
      <c r="T287" s="27" t="n"/>
      <c r="U287" s="27" t="n"/>
      <c r="V287" s="10" t="n"/>
    </row>
    <row r="288">
      <c r="A288" s="16" t="n"/>
      <c r="B288" s="17" t="n"/>
      <c r="C288" s="17" t="n"/>
      <c r="D288" s="10" t="n"/>
      <c r="E288" s="10" t="n"/>
      <c r="F288" s="17" t="n"/>
      <c r="G288" s="19" t="n"/>
      <c r="H288" s="16" t="n"/>
      <c r="I288" s="16" t="n"/>
      <c r="J288" s="16" t="n"/>
      <c r="K288" s="26" t="n"/>
      <c r="L288" s="26" t="n"/>
      <c r="M288" s="16" t="n"/>
      <c r="N288" s="9" t="n"/>
      <c r="O288" s="16" t="n"/>
      <c r="P288" s="16" t="n"/>
      <c r="Q288" s="24" t="n"/>
      <c r="R288" s="17" t="n"/>
      <c r="S288" s="17" t="n"/>
      <c r="T288" s="27" t="n"/>
      <c r="U288" s="27" t="n"/>
      <c r="V288" s="10" t="n"/>
    </row>
    <row r="289">
      <c r="A289" s="16" t="n"/>
      <c r="B289" s="17" t="n"/>
      <c r="C289" s="17" t="n"/>
      <c r="D289" s="10" t="n"/>
      <c r="E289" s="10" t="n"/>
      <c r="F289" s="17" t="n"/>
      <c r="G289" s="19" t="n"/>
      <c r="H289" s="16" t="n"/>
      <c r="I289" s="16" t="n"/>
      <c r="J289" s="16" t="n"/>
      <c r="K289" s="26" t="n"/>
      <c r="L289" s="26" t="n"/>
      <c r="M289" s="16" t="n"/>
      <c r="N289" s="9" t="n"/>
      <c r="O289" s="16" t="n"/>
      <c r="P289" s="16" t="n"/>
      <c r="Q289" s="24" t="n"/>
      <c r="R289" s="17" t="n"/>
      <c r="S289" s="17" t="n"/>
      <c r="T289" s="27" t="n"/>
      <c r="U289" s="27" t="n"/>
      <c r="V289" s="10" t="n"/>
    </row>
    <row r="290">
      <c r="A290" s="16" t="n"/>
      <c r="B290" s="17" t="n"/>
      <c r="C290" s="17" t="n"/>
      <c r="D290" s="10" t="n"/>
      <c r="E290" s="10" t="n"/>
      <c r="F290" s="17" t="n"/>
      <c r="G290" s="19" t="n"/>
      <c r="H290" s="16" t="n"/>
      <c r="I290" s="16" t="n"/>
      <c r="J290" s="16" t="n"/>
      <c r="K290" s="26" t="n"/>
      <c r="L290" s="26" t="n"/>
      <c r="M290" s="16" t="n"/>
      <c r="N290" s="9" t="n"/>
      <c r="O290" s="16" t="n"/>
      <c r="P290" s="16" t="n"/>
      <c r="Q290" s="24" t="n"/>
      <c r="R290" s="17" t="n"/>
      <c r="S290" s="17" t="n"/>
      <c r="T290" s="27" t="n"/>
      <c r="U290" s="27" t="n"/>
      <c r="V290" s="10" t="n"/>
    </row>
    <row r="291">
      <c r="A291" s="16" t="n"/>
      <c r="B291" s="17" t="n"/>
      <c r="C291" s="17" t="n"/>
      <c r="D291" s="10" t="n"/>
      <c r="E291" s="10" t="n"/>
      <c r="F291" s="17" t="n"/>
      <c r="G291" s="19" t="n"/>
      <c r="H291" s="16" t="n"/>
      <c r="I291" s="16" t="n"/>
      <c r="J291" s="16" t="n"/>
      <c r="K291" s="26" t="n"/>
      <c r="L291" s="26" t="n"/>
      <c r="M291" s="16" t="n"/>
      <c r="N291" s="9" t="n"/>
      <c r="O291" s="16" t="n"/>
      <c r="P291" s="16" t="n"/>
      <c r="Q291" s="24" t="n"/>
      <c r="R291" s="17" t="n"/>
      <c r="S291" s="17" t="n"/>
      <c r="T291" s="27" t="n"/>
      <c r="U291" s="27" t="n"/>
      <c r="V291" s="10" t="n"/>
    </row>
    <row r="292">
      <c r="A292" s="16" t="n"/>
      <c r="B292" s="17" t="n"/>
      <c r="C292" s="17" t="n"/>
      <c r="D292" s="10" t="n"/>
      <c r="E292" s="10" t="n"/>
      <c r="F292" s="17" t="n"/>
      <c r="G292" s="19" t="n"/>
      <c r="H292" s="16" t="n"/>
      <c r="I292" s="16" t="n"/>
      <c r="J292" s="16" t="n"/>
      <c r="K292" s="26" t="n"/>
      <c r="L292" s="26" t="n"/>
      <c r="M292" s="16" t="n"/>
      <c r="N292" s="9" t="n"/>
      <c r="O292" s="16" t="n"/>
      <c r="P292" s="16" t="n"/>
      <c r="Q292" s="24" t="n"/>
      <c r="R292" s="17" t="n"/>
      <c r="S292" s="17" t="n"/>
      <c r="T292" s="27" t="n"/>
      <c r="U292" s="27" t="n"/>
      <c r="V292" s="10" t="n"/>
    </row>
    <row r="293">
      <c r="A293" s="16" t="n"/>
      <c r="B293" s="17" t="n"/>
      <c r="C293" s="17" t="n"/>
      <c r="D293" s="10" t="n"/>
      <c r="E293" s="10" t="n"/>
      <c r="F293" s="17" t="n"/>
      <c r="G293" s="19" t="n"/>
      <c r="H293" s="16" t="n"/>
      <c r="I293" s="16" t="n"/>
      <c r="J293" s="16" t="n"/>
      <c r="K293" s="26" t="n"/>
      <c r="L293" s="26" t="n"/>
      <c r="M293" s="16" t="n"/>
      <c r="N293" s="9" t="n"/>
      <c r="O293" s="16" t="n"/>
      <c r="P293" s="16" t="n"/>
      <c r="Q293" s="24" t="n"/>
      <c r="R293" s="17" t="n"/>
      <c r="S293" s="17" t="n"/>
      <c r="T293" s="27" t="n"/>
      <c r="U293" s="27" t="n"/>
      <c r="V293" s="10" t="n"/>
    </row>
    <row r="294">
      <c r="A294" s="16" t="n"/>
      <c r="B294" s="17" t="n"/>
      <c r="C294" s="17" t="n"/>
      <c r="D294" s="10" t="n"/>
      <c r="E294" s="10" t="n"/>
      <c r="F294" s="17" t="n"/>
      <c r="G294" s="19" t="n"/>
      <c r="H294" s="16" t="n"/>
      <c r="I294" s="16" t="n"/>
      <c r="J294" s="16" t="n"/>
      <c r="K294" s="26" t="n"/>
      <c r="L294" s="26" t="n"/>
      <c r="M294" s="16" t="n"/>
      <c r="N294" s="9" t="n"/>
      <c r="O294" s="16" t="n"/>
      <c r="P294" s="16" t="n"/>
      <c r="Q294" s="24" t="n"/>
      <c r="R294" s="17" t="n"/>
      <c r="S294" s="17" t="n"/>
      <c r="T294" s="27" t="n"/>
      <c r="U294" s="27" t="n"/>
      <c r="V294" s="10" t="n"/>
    </row>
    <row r="295">
      <c r="A295" s="16" t="n"/>
      <c r="B295" s="17" t="n"/>
      <c r="C295" s="17" t="n"/>
      <c r="D295" s="10" t="n"/>
      <c r="E295" s="10" t="n"/>
      <c r="F295" s="17" t="n"/>
      <c r="G295" s="19" t="n"/>
      <c r="H295" s="16" t="n"/>
      <c r="I295" s="16" t="n"/>
      <c r="J295" s="16" t="n"/>
      <c r="K295" s="26" t="n"/>
      <c r="L295" s="26" t="n"/>
      <c r="M295" s="16" t="n"/>
      <c r="N295" s="9" t="n"/>
      <c r="O295" s="16" t="n"/>
      <c r="P295" s="16" t="n"/>
      <c r="Q295" s="24" t="n"/>
      <c r="R295" s="17" t="n"/>
      <c r="S295" s="17" t="n"/>
      <c r="T295" s="27" t="n"/>
      <c r="U295" s="27" t="n"/>
      <c r="V295" s="10" t="n"/>
    </row>
    <row r="296">
      <c r="A296" s="16" t="n"/>
      <c r="B296" s="17" t="n"/>
      <c r="C296" s="17" t="n"/>
      <c r="D296" s="10" t="n"/>
      <c r="E296" s="10" t="n"/>
      <c r="F296" s="17" t="n"/>
      <c r="G296" s="19" t="n"/>
      <c r="H296" s="16" t="n"/>
      <c r="I296" s="16" t="n"/>
      <c r="J296" s="16" t="n"/>
      <c r="K296" s="26" t="n"/>
      <c r="L296" s="26" t="n"/>
      <c r="M296" s="16" t="n"/>
      <c r="N296" s="9" t="n"/>
      <c r="O296" s="16" t="n"/>
      <c r="P296" s="16" t="n"/>
      <c r="Q296" s="24" t="n"/>
      <c r="R296" s="17" t="n"/>
      <c r="S296" s="17" t="n"/>
      <c r="T296" s="27" t="n"/>
      <c r="U296" s="27" t="n"/>
      <c r="V296" s="10" t="n"/>
    </row>
    <row r="297">
      <c r="A297" s="16" t="n"/>
      <c r="B297" s="17" t="n"/>
      <c r="C297" s="17" t="n"/>
      <c r="D297" s="10" t="n"/>
      <c r="E297" s="10" t="n"/>
      <c r="F297" s="17" t="n"/>
      <c r="G297" s="19" t="n"/>
      <c r="H297" s="16" t="n"/>
      <c r="I297" s="16" t="n"/>
      <c r="J297" s="16" t="n"/>
      <c r="K297" s="26" t="n"/>
      <c r="L297" s="26" t="n"/>
      <c r="M297" s="16" t="n"/>
      <c r="N297" s="9" t="n"/>
      <c r="O297" s="16" t="n"/>
      <c r="P297" s="16" t="n"/>
      <c r="Q297" s="24" t="n"/>
      <c r="R297" s="17" t="n"/>
      <c r="S297" s="17" t="n"/>
      <c r="T297" s="27" t="n"/>
      <c r="U297" s="27" t="n"/>
      <c r="V297" s="10" t="n"/>
    </row>
    <row r="298">
      <c r="A298" s="16" t="n"/>
      <c r="B298" s="17" t="n"/>
      <c r="C298" s="17" t="n"/>
      <c r="D298" s="10" t="n"/>
      <c r="E298" s="10" t="n"/>
      <c r="F298" s="17" t="n"/>
      <c r="G298" s="19" t="n"/>
      <c r="H298" s="16" t="n"/>
      <c r="I298" s="16" t="n"/>
      <c r="J298" s="16" t="n"/>
      <c r="K298" s="26" t="n"/>
      <c r="L298" s="26" t="n"/>
      <c r="M298" s="16" t="n"/>
      <c r="N298" s="9" t="n"/>
      <c r="O298" s="16" t="n"/>
      <c r="P298" s="16" t="n"/>
      <c r="Q298" s="24" t="n"/>
      <c r="R298" s="17" t="n"/>
      <c r="S298" s="17" t="n"/>
      <c r="T298" s="27" t="n"/>
      <c r="U298" s="27" t="n"/>
      <c r="V298" s="10" t="n"/>
    </row>
    <row r="299">
      <c r="A299" s="16" t="n"/>
      <c r="B299" s="17" t="n"/>
      <c r="C299" s="17" t="n"/>
      <c r="D299" s="10" t="n"/>
      <c r="E299" s="10" t="n"/>
      <c r="F299" s="17" t="n"/>
      <c r="G299" s="19" t="n"/>
      <c r="H299" s="16" t="n"/>
      <c r="I299" s="16" t="n"/>
      <c r="J299" s="16" t="n"/>
      <c r="K299" s="26" t="n"/>
      <c r="L299" s="26" t="n"/>
      <c r="M299" s="16" t="n"/>
      <c r="N299" s="9" t="n"/>
      <c r="O299" s="16" t="n"/>
      <c r="P299" s="16" t="n"/>
      <c r="Q299" s="24" t="n"/>
      <c r="R299" s="17" t="n"/>
      <c r="S299" s="17" t="n"/>
      <c r="T299" s="27" t="n"/>
      <c r="U299" s="27" t="n"/>
      <c r="V299" s="10" t="n"/>
    </row>
    <row r="300">
      <c r="A300" s="16" t="n"/>
      <c r="B300" s="17" t="n"/>
      <c r="C300" s="17" t="n"/>
      <c r="D300" s="10" t="n"/>
      <c r="E300" s="10" t="n"/>
      <c r="F300" s="17" t="n"/>
      <c r="G300" s="19" t="n"/>
      <c r="H300" s="16" t="n"/>
      <c r="I300" s="16" t="n"/>
      <c r="J300" s="16" t="n"/>
      <c r="K300" s="26" t="n"/>
      <c r="L300" s="26" t="n"/>
      <c r="M300" s="16" t="n"/>
      <c r="N300" s="9" t="n"/>
      <c r="O300" s="16" t="n"/>
      <c r="P300" s="16" t="n"/>
      <c r="Q300" s="24" t="n"/>
      <c r="R300" s="17" t="n"/>
      <c r="S300" s="17" t="n"/>
      <c r="T300" s="27" t="n"/>
      <c r="U300" s="27" t="n"/>
      <c r="V300" s="10" t="n"/>
    </row>
    <row r="301">
      <c r="A301" s="16" t="n"/>
      <c r="B301" s="17" t="n"/>
      <c r="C301" s="17" t="n"/>
      <c r="D301" s="10" t="n"/>
      <c r="E301" s="10" t="n"/>
      <c r="F301" s="17" t="n"/>
      <c r="G301" s="19" t="n"/>
      <c r="H301" s="16" t="n"/>
      <c r="I301" s="16" t="n"/>
      <c r="J301" s="16" t="n"/>
      <c r="K301" s="26" t="n"/>
      <c r="L301" s="26" t="n"/>
      <c r="M301" s="16" t="n"/>
      <c r="N301" s="9" t="n"/>
      <c r="O301" s="16" t="n"/>
      <c r="P301" s="16" t="n"/>
      <c r="Q301" s="24" t="n"/>
      <c r="R301" s="17" t="n"/>
      <c r="S301" s="17" t="n"/>
      <c r="T301" s="27" t="n"/>
      <c r="U301" s="27" t="n"/>
      <c r="V301" s="10" t="n"/>
    </row>
    <row r="302">
      <c r="A302" s="16" t="n"/>
      <c r="B302" s="17" t="n"/>
      <c r="C302" s="17" t="n"/>
      <c r="D302" s="10" t="n"/>
      <c r="E302" s="10" t="n"/>
      <c r="F302" s="17" t="n"/>
      <c r="G302" s="19" t="n"/>
      <c r="H302" s="16" t="n"/>
      <c r="I302" s="16" t="n"/>
      <c r="J302" s="16" t="n"/>
      <c r="K302" s="26" t="n"/>
      <c r="L302" s="26" t="n"/>
      <c r="M302" s="16" t="n"/>
      <c r="N302" s="9" t="n"/>
      <c r="O302" s="16" t="n"/>
      <c r="P302" s="16" t="n"/>
      <c r="Q302" s="24" t="n"/>
      <c r="R302" s="17" t="n"/>
      <c r="S302" s="17" t="n"/>
      <c r="T302" s="27" t="n"/>
      <c r="U302" s="27" t="n"/>
      <c r="V302" s="10" t="n"/>
    </row>
    <row r="303">
      <c r="A303" s="16" t="n"/>
      <c r="B303" s="17" t="n"/>
      <c r="C303" s="17" t="n"/>
      <c r="D303" s="10" t="n"/>
      <c r="E303" s="10" t="n"/>
      <c r="F303" s="17" t="n"/>
      <c r="G303" s="19" t="n"/>
      <c r="H303" s="16" t="n"/>
      <c r="I303" s="16" t="n"/>
      <c r="J303" s="16" t="n"/>
      <c r="K303" s="26" t="n"/>
      <c r="L303" s="26" t="n"/>
      <c r="M303" s="16" t="n"/>
      <c r="N303" s="9" t="n"/>
      <c r="O303" s="16" t="n"/>
      <c r="P303" s="16" t="n"/>
      <c r="Q303" s="24" t="n"/>
      <c r="R303" s="17" t="n"/>
      <c r="S303" s="17" t="n"/>
      <c r="T303" s="27" t="n"/>
      <c r="U303" s="27" t="n"/>
      <c r="V303" s="10" t="n"/>
    </row>
    <row r="304">
      <c r="A304" s="16" t="n"/>
      <c r="B304" s="17" t="n"/>
      <c r="C304" s="17" t="n"/>
      <c r="D304" s="10" t="n"/>
      <c r="E304" s="10" t="n"/>
      <c r="F304" s="17" t="n"/>
      <c r="G304" s="19" t="n"/>
      <c r="H304" s="16" t="n"/>
      <c r="I304" s="16" t="n"/>
      <c r="J304" s="16" t="n"/>
      <c r="K304" s="26" t="n"/>
      <c r="L304" s="26" t="n"/>
      <c r="M304" s="16" t="n"/>
      <c r="N304" s="9" t="n"/>
      <c r="O304" s="16" t="n"/>
      <c r="P304" s="16" t="n"/>
      <c r="Q304" s="24" t="n"/>
      <c r="R304" s="17" t="n"/>
      <c r="S304" s="17" t="n"/>
      <c r="T304" s="27" t="n"/>
      <c r="U304" s="27" t="n"/>
      <c r="V304" s="10" t="n"/>
    </row>
    <row r="305">
      <c r="A305" s="16" t="n"/>
      <c r="B305" s="17" t="n"/>
      <c r="C305" s="17" t="n"/>
      <c r="D305" s="10" t="n"/>
      <c r="E305" s="10" t="n"/>
      <c r="F305" s="17" t="n"/>
      <c r="G305" s="19" t="n"/>
      <c r="H305" s="16" t="n"/>
      <c r="I305" s="16" t="n"/>
      <c r="J305" s="16" t="n"/>
      <c r="K305" s="26" t="n"/>
      <c r="L305" s="26" t="n"/>
      <c r="M305" s="16" t="n"/>
      <c r="N305" s="9" t="n"/>
      <c r="O305" s="16" t="n"/>
      <c r="P305" s="16" t="n"/>
      <c r="Q305" s="24" t="n"/>
      <c r="R305" s="17" t="n"/>
      <c r="S305" s="17" t="n"/>
      <c r="T305" s="27" t="n"/>
      <c r="U305" s="27" t="n"/>
      <c r="V305" s="1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V305"/>
  <mergeCells count="1">
    <mergeCell ref="A2:V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3">
    <dataValidation sqref="B6:B306" showDropDown="0" showInputMessage="0" showErrorMessage="0" allowBlank="1" errorTitle="Invalid value" error="Pick a value from the list." type="list">
      <formula1>=Lists!$U$2:$U$1000</formula1>
    </dataValidation>
    <dataValidation sqref="F6:F306" showDropDown="0" showInputMessage="0" showErrorMessage="1" allowBlank="1" errorTitle="Invalid value" error="Pick a value from the list." type="list">
      <formula1>=Lists!$S$2:$S$1000</formula1>
    </dataValidation>
    <dataValidation sqref="R6:R306" showDropDown="0" showInputMessage="0" showErrorMessage="1" allowBlank="1" errorTitle="Invalid value" error="Pick a value from the list." type="list">
      <formula1>=Lists!$B$2:$B$60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V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46" customWidth="1" min="4" max="4"/>
    <col width="40" customWidth="1" min="5" max="5"/>
    <col width="8" customWidth="1" min="6" max="6"/>
    <col width="16" customWidth="1" min="7" max="7"/>
    <col width="9" customWidth="1" min="8" max="8"/>
    <col width="24" customWidth="1" min="9" max="9"/>
    <col width="18" customWidth="1" min="10" max="10"/>
    <col width="12" customWidth="1" min="11" max="11"/>
    <col width="12" customWidth="1" min="12" max="12"/>
    <col width="18" customWidth="1" min="13" max="13"/>
    <col width="30" customWidth="1" min="14" max="14"/>
    <col width="11" customWidth="1" min="15" max="15"/>
    <col width="12" customWidth="1" min="16" max="16"/>
    <col width="16" customWidth="1" min="17" max="17"/>
    <col width="24" customWidth="1" min="18" max="18"/>
    <col width="10" customWidth="1" min="19" max="19"/>
    <col width="13" customWidth="1" min="20" max="20"/>
    <col width="13" customWidth="1" min="21" max="21"/>
    <col width="34" customWidth="1" min="22" max="22"/>
  </cols>
  <sheetData>
    <row r="1">
      <c r="A1" s="4" t="inlineStr">
        <is>
          <t>Material Library</t>
        </is>
      </c>
    </row>
    <row r="2" ht="48" customHeight="1">
      <c r="A2" s="3" t="inlineStr">
        <is>
          <t>Resource definitions with their current APPROVED rate (blue, read-only). Enter a proposed rate in the yellow columns: it is imported as a Draft proposal and needs review/approval in the application. A blank rate means the rate is MISSING - it is never treated as zero.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cost_code</t>
        </is>
      </c>
      <c r="C4" t="inlineStr">
        <is>
          <t>category</t>
        </is>
      </c>
      <c r="D4" t="inlineStr">
        <is>
          <t>description</t>
        </is>
      </c>
      <c r="E4" t="inlineStr">
        <is>
          <t>specification</t>
        </is>
      </c>
      <c r="F4" t="inlineStr">
        <is>
          <t>unit</t>
        </is>
      </c>
      <c r="G4" t="inlineStr">
        <is>
          <t>rate</t>
        </is>
      </c>
      <c r="H4" t="inlineStr">
        <is>
          <t>currency</t>
        </is>
      </c>
      <c r="I4" t="inlineStr">
        <is>
          <t>rate_type</t>
        </is>
      </c>
      <c r="J4" t="inlineStr">
        <is>
          <t>rate_status</t>
        </is>
      </c>
      <c r="K4" t="inlineStr">
        <is>
          <t>price_date</t>
        </is>
      </c>
      <c r="L4" t="inlineStr">
        <is>
          <t>valid_until</t>
        </is>
      </c>
      <c r="M4" t="inlineStr">
        <is>
          <t>supplier</t>
        </is>
      </c>
      <c r="N4" t="inlineStr">
        <is>
          <t>evidence</t>
        </is>
      </c>
      <c r="O4" t="inlineStr">
        <is>
          <t>confidence</t>
        </is>
      </c>
      <c r="P4" t="inlineStr">
        <is>
          <t>region</t>
        </is>
      </c>
      <c r="Q4" t="inlineStr">
        <is>
          <t>new_rate</t>
        </is>
      </c>
      <c r="R4" t="inlineStr">
        <is>
          <t>new_rate_type</t>
        </is>
      </c>
      <c r="S4" t="inlineStr">
        <is>
          <t>new_currency</t>
        </is>
      </c>
      <c r="T4" t="inlineStr">
        <is>
          <t>new_price_date</t>
        </is>
      </c>
      <c r="U4" t="inlineStr">
        <is>
          <t>new_valid_until</t>
        </is>
      </c>
      <c r="V4" t="inlineStr">
        <is>
          <t>new_evidence</t>
        </is>
      </c>
    </row>
    <row r="5" ht="34" customHeight="1">
      <c r="A5" s="15" t="inlineStr">
        <is>
          <t>Resource ID</t>
        </is>
      </c>
      <c r="B5" s="15" t="inlineStr">
        <is>
          <t>Cost code</t>
        </is>
      </c>
      <c r="C5" s="15" t="inlineStr">
        <is>
          <t>Category</t>
        </is>
      </c>
      <c r="D5" s="15" t="inlineStr">
        <is>
          <t>Description</t>
        </is>
      </c>
      <c r="E5" s="15" t="inlineStr">
        <is>
          <t>Specification</t>
        </is>
      </c>
      <c r="F5" s="15" t="inlineStr">
        <is>
          <t>Unit</t>
        </is>
      </c>
      <c r="G5" s="15" t="inlineStr">
        <is>
          <t>Current approved rate</t>
        </is>
      </c>
      <c r="H5" s="15" t="inlineStr">
        <is>
          <t>Currency</t>
        </is>
      </c>
      <c r="I5" s="15" t="inlineStr">
        <is>
          <t>Rate type</t>
        </is>
      </c>
      <c r="J5" s="15" t="inlineStr">
        <is>
          <t>Rate status</t>
        </is>
      </c>
      <c r="K5" s="15" t="inlineStr">
        <is>
          <t>Price date</t>
        </is>
      </c>
      <c r="L5" s="15" t="inlineStr">
        <is>
          <t>Valid until</t>
        </is>
      </c>
      <c r="M5" s="15" t="inlineStr">
        <is>
          <t>Supplier</t>
        </is>
      </c>
      <c r="N5" s="15" t="inlineStr">
        <is>
          <t>Source / evidence</t>
        </is>
      </c>
      <c r="O5" s="15" t="inlineStr">
        <is>
          <t>Confidence</t>
        </is>
      </c>
      <c r="P5" s="15" t="inlineStr">
        <is>
          <t>Region</t>
        </is>
      </c>
      <c r="Q5" s="15" t="inlineStr">
        <is>
          <t>PROPOSED new rate</t>
        </is>
      </c>
      <c r="R5" s="15" t="inlineStr">
        <is>
          <t>Proposed rate type</t>
        </is>
      </c>
      <c r="S5" s="15" t="inlineStr">
        <is>
          <t>Proposed currency</t>
        </is>
      </c>
      <c r="T5" s="15" t="inlineStr">
        <is>
          <t>Proposed price date</t>
        </is>
      </c>
      <c r="U5" s="15" t="inlineStr">
        <is>
          <t>Proposed valid until</t>
        </is>
      </c>
      <c r="V5" s="15" t="inlineStr">
        <is>
          <t>Proposed source / evidence</t>
        </is>
      </c>
    </row>
    <row r="6">
      <c r="A6" s="16" t="n"/>
      <c r="B6" s="17" t="n"/>
      <c r="C6" s="17" t="n"/>
      <c r="D6" s="10" t="n"/>
      <c r="E6" s="10" t="n"/>
      <c r="F6" s="17" t="n"/>
      <c r="G6" s="19" t="n"/>
      <c r="H6" s="16" t="n"/>
      <c r="I6" s="16" t="n"/>
      <c r="J6" s="16" t="n"/>
      <c r="K6" s="26" t="n"/>
      <c r="L6" s="26" t="n"/>
      <c r="M6" s="16" t="n"/>
      <c r="N6" s="9" t="n"/>
      <c r="O6" s="16" t="n"/>
      <c r="P6" s="16" t="n"/>
      <c r="Q6" s="24" t="n"/>
      <c r="R6" s="17" t="n"/>
      <c r="S6" s="17" t="n"/>
      <c r="T6" s="27" t="n"/>
      <c r="U6" s="27" t="n"/>
      <c r="V6" s="10" t="n"/>
    </row>
    <row r="7">
      <c r="A7" s="16" t="n"/>
      <c r="B7" s="17" t="n"/>
      <c r="C7" s="17" t="n"/>
      <c r="D7" s="10" t="n"/>
      <c r="E7" s="10" t="n"/>
      <c r="F7" s="17" t="n"/>
      <c r="G7" s="19" t="n"/>
      <c r="H7" s="16" t="n"/>
      <c r="I7" s="16" t="n"/>
      <c r="J7" s="16" t="n"/>
      <c r="K7" s="26" t="n"/>
      <c r="L7" s="26" t="n"/>
      <c r="M7" s="16" t="n"/>
      <c r="N7" s="9" t="n"/>
      <c r="O7" s="16" t="n"/>
      <c r="P7" s="16" t="n"/>
      <c r="Q7" s="24" t="n"/>
      <c r="R7" s="17" t="n"/>
      <c r="S7" s="17" t="n"/>
      <c r="T7" s="27" t="n"/>
      <c r="U7" s="27" t="n"/>
      <c r="V7" s="10" t="n"/>
    </row>
    <row r="8">
      <c r="A8" s="16" t="n"/>
      <c r="B8" s="17" t="n"/>
      <c r="C8" s="17" t="n"/>
      <c r="D8" s="10" t="n"/>
      <c r="E8" s="10" t="n"/>
      <c r="F8" s="17" t="n"/>
      <c r="G8" s="19" t="n"/>
      <c r="H8" s="16" t="n"/>
      <c r="I8" s="16" t="n"/>
      <c r="J8" s="16" t="n"/>
      <c r="K8" s="26" t="n"/>
      <c r="L8" s="26" t="n"/>
      <c r="M8" s="16" t="n"/>
      <c r="N8" s="9" t="n"/>
      <c r="O8" s="16" t="n"/>
      <c r="P8" s="16" t="n"/>
      <c r="Q8" s="24" t="n"/>
      <c r="R8" s="17" t="n"/>
      <c r="S8" s="17" t="n"/>
      <c r="T8" s="27" t="n"/>
      <c r="U8" s="27" t="n"/>
      <c r="V8" s="10" t="n"/>
    </row>
    <row r="9">
      <c r="A9" s="16" t="n"/>
      <c r="B9" s="17" t="n"/>
      <c r="C9" s="17" t="n"/>
      <c r="D9" s="10" t="n"/>
      <c r="E9" s="10" t="n"/>
      <c r="F9" s="17" t="n"/>
      <c r="G9" s="19" t="n"/>
      <c r="H9" s="16" t="n"/>
      <c r="I9" s="16" t="n"/>
      <c r="J9" s="16" t="n"/>
      <c r="K9" s="26" t="n"/>
      <c r="L9" s="26" t="n"/>
      <c r="M9" s="16" t="n"/>
      <c r="N9" s="9" t="n"/>
      <c r="O9" s="16" t="n"/>
      <c r="P9" s="16" t="n"/>
      <c r="Q9" s="24" t="n"/>
      <c r="R9" s="17" t="n"/>
      <c r="S9" s="17" t="n"/>
      <c r="T9" s="27" t="n"/>
      <c r="U9" s="27" t="n"/>
      <c r="V9" s="10" t="n"/>
    </row>
    <row r="10">
      <c r="A10" s="16" t="n"/>
      <c r="B10" s="17" t="n"/>
      <c r="C10" s="17" t="n"/>
      <c r="D10" s="10" t="n"/>
      <c r="E10" s="10" t="n"/>
      <c r="F10" s="17" t="n"/>
      <c r="G10" s="19" t="n"/>
      <c r="H10" s="16" t="n"/>
      <c r="I10" s="16" t="n"/>
      <c r="J10" s="16" t="n"/>
      <c r="K10" s="26" t="n"/>
      <c r="L10" s="26" t="n"/>
      <c r="M10" s="16" t="n"/>
      <c r="N10" s="9" t="n"/>
      <c r="O10" s="16" t="n"/>
      <c r="P10" s="16" t="n"/>
      <c r="Q10" s="24" t="n"/>
      <c r="R10" s="17" t="n"/>
      <c r="S10" s="17" t="n"/>
      <c r="T10" s="27" t="n"/>
      <c r="U10" s="27" t="n"/>
      <c r="V10" s="10" t="n"/>
    </row>
    <row r="11">
      <c r="A11" s="16" t="n"/>
      <c r="B11" s="17" t="n"/>
      <c r="C11" s="17" t="n"/>
      <c r="D11" s="10" t="n"/>
      <c r="E11" s="10" t="n"/>
      <c r="F11" s="17" t="n"/>
      <c r="G11" s="19" t="n"/>
      <c r="H11" s="16" t="n"/>
      <c r="I11" s="16" t="n"/>
      <c r="J11" s="16" t="n"/>
      <c r="K11" s="26" t="n"/>
      <c r="L11" s="26" t="n"/>
      <c r="M11" s="16" t="n"/>
      <c r="N11" s="9" t="n"/>
      <c r="O11" s="16" t="n"/>
      <c r="P11" s="16" t="n"/>
      <c r="Q11" s="24" t="n"/>
      <c r="R11" s="17" t="n"/>
      <c r="S11" s="17" t="n"/>
      <c r="T11" s="27" t="n"/>
      <c r="U11" s="27" t="n"/>
      <c r="V11" s="10" t="n"/>
    </row>
    <row r="12">
      <c r="A12" s="16" t="n"/>
      <c r="B12" s="17" t="n"/>
      <c r="C12" s="17" t="n"/>
      <c r="D12" s="10" t="n"/>
      <c r="E12" s="10" t="n"/>
      <c r="F12" s="17" t="n"/>
      <c r="G12" s="19" t="n"/>
      <c r="H12" s="16" t="n"/>
      <c r="I12" s="16" t="n"/>
      <c r="J12" s="16" t="n"/>
      <c r="K12" s="26" t="n"/>
      <c r="L12" s="26" t="n"/>
      <c r="M12" s="16" t="n"/>
      <c r="N12" s="9" t="n"/>
      <c r="O12" s="16" t="n"/>
      <c r="P12" s="16" t="n"/>
      <c r="Q12" s="24" t="n"/>
      <c r="R12" s="17" t="n"/>
      <c r="S12" s="17" t="n"/>
      <c r="T12" s="27" t="n"/>
      <c r="U12" s="27" t="n"/>
      <c r="V12" s="10" t="n"/>
    </row>
    <row r="13">
      <c r="A13" s="16" t="n"/>
      <c r="B13" s="17" t="n"/>
      <c r="C13" s="17" t="n"/>
      <c r="D13" s="10" t="n"/>
      <c r="E13" s="10" t="n"/>
      <c r="F13" s="17" t="n"/>
      <c r="G13" s="19" t="n"/>
      <c r="H13" s="16" t="n"/>
      <c r="I13" s="16" t="n"/>
      <c r="J13" s="16" t="n"/>
      <c r="K13" s="26" t="n"/>
      <c r="L13" s="26" t="n"/>
      <c r="M13" s="16" t="n"/>
      <c r="N13" s="9" t="n"/>
      <c r="O13" s="16" t="n"/>
      <c r="P13" s="16" t="n"/>
      <c r="Q13" s="24" t="n"/>
      <c r="R13" s="17" t="n"/>
      <c r="S13" s="17" t="n"/>
      <c r="T13" s="27" t="n"/>
      <c r="U13" s="27" t="n"/>
      <c r="V13" s="10" t="n"/>
    </row>
    <row r="14">
      <c r="A14" s="16" t="n"/>
      <c r="B14" s="17" t="n"/>
      <c r="C14" s="17" t="n"/>
      <c r="D14" s="10" t="n"/>
      <c r="E14" s="10" t="n"/>
      <c r="F14" s="17" t="n"/>
      <c r="G14" s="19" t="n"/>
      <c r="H14" s="16" t="n"/>
      <c r="I14" s="16" t="n"/>
      <c r="J14" s="16" t="n"/>
      <c r="K14" s="26" t="n"/>
      <c r="L14" s="26" t="n"/>
      <c r="M14" s="16" t="n"/>
      <c r="N14" s="9" t="n"/>
      <c r="O14" s="16" t="n"/>
      <c r="P14" s="16" t="n"/>
      <c r="Q14" s="24" t="n"/>
      <c r="R14" s="17" t="n"/>
      <c r="S14" s="17" t="n"/>
      <c r="T14" s="27" t="n"/>
      <c r="U14" s="27" t="n"/>
      <c r="V14" s="10" t="n"/>
    </row>
    <row r="15">
      <c r="A15" s="16" t="n"/>
      <c r="B15" s="17" t="n"/>
      <c r="C15" s="17" t="n"/>
      <c r="D15" s="10" t="n"/>
      <c r="E15" s="10" t="n"/>
      <c r="F15" s="17" t="n"/>
      <c r="G15" s="19" t="n"/>
      <c r="H15" s="16" t="n"/>
      <c r="I15" s="16" t="n"/>
      <c r="J15" s="16" t="n"/>
      <c r="K15" s="26" t="n"/>
      <c r="L15" s="26" t="n"/>
      <c r="M15" s="16" t="n"/>
      <c r="N15" s="9" t="n"/>
      <c r="O15" s="16" t="n"/>
      <c r="P15" s="16" t="n"/>
      <c r="Q15" s="24" t="n"/>
      <c r="R15" s="17" t="n"/>
      <c r="S15" s="17" t="n"/>
      <c r="T15" s="27" t="n"/>
      <c r="U15" s="27" t="n"/>
      <c r="V15" s="10" t="n"/>
    </row>
    <row r="16">
      <c r="A16" s="16" t="n"/>
      <c r="B16" s="17" t="n"/>
      <c r="C16" s="17" t="n"/>
      <c r="D16" s="10" t="n"/>
      <c r="E16" s="10" t="n"/>
      <c r="F16" s="17" t="n"/>
      <c r="G16" s="19" t="n"/>
      <c r="H16" s="16" t="n"/>
      <c r="I16" s="16" t="n"/>
      <c r="J16" s="16" t="n"/>
      <c r="K16" s="26" t="n"/>
      <c r="L16" s="26" t="n"/>
      <c r="M16" s="16" t="n"/>
      <c r="N16" s="9" t="n"/>
      <c r="O16" s="16" t="n"/>
      <c r="P16" s="16" t="n"/>
      <c r="Q16" s="24" t="n"/>
      <c r="R16" s="17" t="n"/>
      <c r="S16" s="17" t="n"/>
      <c r="T16" s="27" t="n"/>
      <c r="U16" s="27" t="n"/>
      <c r="V16" s="10" t="n"/>
    </row>
    <row r="17">
      <c r="A17" s="16" t="n"/>
      <c r="B17" s="17" t="n"/>
      <c r="C17" s="17" t="n"/>
      <c r="D17" s="10" t="n"/>
      <c r="E17" s="10" t="n"/>
      <c r="F17" s="17" t="n"/>
      <c r="G17" s="19" t="n"/>
      <c r="H17" s="16" t="n"/>
      <c r="I17" s="16" t="n"/>
      <c r="J17" s="16" t="n"/>
      <c r="K17" s="26" t="n"/>
      <c r="L17" s="26" t="n"/>
      <c r="M17" s="16" t="n"/>
      <c r="N17" s="9" t="n"/>
      <c r="O17" s="16" t="n"/>
      <c r="P17" s="16" t="n"/>
      <c r="Q17" s="24" t="n"/>
      <c r="R17" s="17" t="n"/>
      <c r="S17" s="17" t="n"/>
      <c r="T17" s="27" t="n"/>
      <c r="U17" s="27" t="n"/>
      <c r="V17" s="10" t="n"/>
    </row>
    <row r="18">
      <c r="A18" s="16" t="n"/>
      <c r="B18" s="17" t="n"/>
      <c r="C18" s="17" t="n"/>
      <c r="D18" s="10" t="n"/>
      <c r="E18" s="10" t="n"/>
      <c r="F18" s="17" t="n"/>
      <c r="G18" s="19" t="n"/>
      <c r="H18" s="16" t="n"/>
      <c r="I18" s="16" t="n"/>
      <c r="J18" s="16" t="n"/>
      <c r="K18" s="26" t="n"/>
      <c r="L18" s="26" t="n"/>
      <c r="M18" s="16" t="n"/>
      <c r="N18" s="9" t="n"/>
      <c r="O18" s="16" t="n"/>
      <c r="P18" s="16" t="n"/>
      <c r="Q18" s="24" t="n"/>
      <c r="R18" s="17" t="n"/>
      <c r="S18" s="17" t="n"/>
      <c r="T18" s="27" t="n"/>
      <c r="U18" s="27" t="n"/>
      <c r="V18" s="10" t="n"/>
    </row>
    <row r="19">
      <c r="A19" s="16" t="n"/>
      <c r="B19" s="17" t="n"/>
      <c r="C19" s="17" t="n"/>
      <c r="D19" s="10" t="n"/>
      <c r="E19" s="10" t="n"/>
      <c r="F19" s="17" t="n"/>
      <c r="G19" s="19" t="n"/>
      <c r="H19" s="16" t="n"/>
      <c r="I19" s="16" t="n"/>
      <c r="J19" s="16" t="n"/>
      <c r="K19" s="26" t="n"/>
      <c r="L19" s="26" t="n"/>
      <c r="M19" s="16" t="n"/>
      <c r="N19" s="9" t="n"/>
      <c r="O19" s="16" t="n"/>
      <c r="P19" s="16" t="n"/>
      <c r="Q19" s="24" t="n"/>
      <c r="R19" s="17" t="n"/>
      <c r="S19" s="17" t="n"/>
      <c r="T19" s="27" t="n"/>
      <c r="U19" s="27" t="n"/>
      <c r="V19" s="10" t="n"/>
    </row>
    <row r="20">
      <c r="A20" s="16" t="n"/>
      <c r="B20" s="17" t="n"/>
      <c r="C20" s="17" t="n"/>
      <c r="D20" s="10" t="n"/>
      <c r="E20" s="10" t="n"/>
      <c r="F20" s="17" t="n"/>
      <c r="G20" s="19" t="n"/>
      <c r="H20" s="16" t="n"/>
      <c r="I20" s="16" t="n"/>
      <c r="J20" s="16" t="n"/>
      <c r="K20" s="26" t="n"/>
      <c r="L20" s="26" t="n"/>
      <c r="M20" s="16" t="n"/>
      <c r="N20" s="9" t="n"/>
      <c r="O20" s="16" t="n"/>
      <c r="P20" s="16" t="n"/>
      <c r="Q20" s="24" t="n"/>
      <c r="R20" s="17" t="n"/>
      <c r="S20" s="17" t="n"/>
      <c r="T20" s="27" t="n"/>
      <c r="U20" s="27" t="n"/>
      <c r="V20" s="10" t="n"/>
    </row>
    <row r="21">
      <c r="A21" s="16" t="n"/>
      <c r="B21" s="17" t="n"/>
      <c r="C21" s="17" t="n"/>
      <c r="D21" s="10" t="n"/>
      <c r="E21" s="10" t="n"/>
      <c r="F21" s="17" t="n"/>
      <c r="G21" s="19" t="n"/>
      <c r="H21" s="16" t="n"/>
      <c r="I21" s="16" t="n"/>
      <c r="J21" s="16" t="n"/>
      <c r="K21" s="26" t="n"/>
      <c r="L21" s="26" t="n"/>
      <c r="M21" s="16" t="n"/>
      <c r="N21" s="9" t="n"/>
      <c r="O21" s="16" t="n"/>
      <c r="P21" s="16" t="n"/>
      <c r="Q21" s="24" t="n"/>
      <c r="R21" s="17" t="n"/>
      <c r="S21" s="17" t="n"/>
      <c r="T21" s="27" t="n"/>
      <c r="U21" s="27" t="n"/>
      <c r="V21" s="10" t="n"/>
    </row>
    <row r="22">
      <c r="A22" s="16" t="n"/>
      <c r="B22" s="17" t="n"/>
      <c r="C22" s="17" t="n"/>
      <c r="D22" s="10" t="n"/>
      <c r="E22" s="10" t="n"/>
      <c r="F22" s="17" t="n"/>
      <c r="G22" s="19" t="n"/>
      <c r="H22" s="16" t="n"/>
      <c r="I22" s="16" t="n"/>
      <c r="J22" s="16" t="n"/>
      <c r="K22" s="26" t="n"/>
      <c r="L22" s="26" t="n"/>
      <c r="M22" s="16" t="n"/>
      <c r="N22" s="9" t="n"/>
      <c r="O22" s="16" t="n"/>
      <c r="P22" s="16" t="n"/>
      <c r="Q22" s="24" t="n"/>
      <c r="R22" s="17" t="n"/>
      <c r="S22" s="17" t="n"/>
      <c r="T22" s="27" t="n"/>
      <c r="U22" s="27" t="n"/>
      <c r="V22" s="10" t="n"/>
    </row>
    <row r="23">
      <c r="A23" s="16" t="n"/>
      <c r="B23" s="17" t="n"/>
      <c r="C23" s="17" t="n"/>
      <c r="D23" s="10" t="n"/>
      <c r="E23" s="10" t="n"/>
      <c r="F23" s="17" t="n"/>
      <c r="G23" s="19" t="n"/>
      <c r="H23" s="16" t="n"/>
      <c r="I23" s="16" t="n"/>
      <c r="J23" s="16" t="n"/>
      <c r="K23" s="26" t="n"/>
      <c r="L23" s="26" t="n"/>
      <c r="M23" s="16" t="n"/>
      <c r="N23" s="9" t="n"/>
      <c r="O23" s="16" t="n"/>
      <c r="P23" s="16" t="n"/>
      <c r="Q23" s="24" t="n"/>
      <c r="R23" s="17" t="n"/>
      <c r="S23" s="17" t="n"/>
      <c r="T23" s="27" t="n"/>
      <c r="U23" s="27" t="n"/>
      <c r="V23" s="10" t="n"/>
    </row>
    <row r="24">
      <c r="A24" s="16" t="n"/>
      <c r="B24" s="17" t="n"/>
      <c r="C24" s="17" t="n"/>
      <c r="D24" s="10" t="n"/>
      <c r="E24" s="10" t="n"/>
      <c r="F24" s="17" t="n"/>
      <c r="G24" s="19" t="n"/>
      <c r="H24" s="16" t="n"/>
      <c r="I24" s="16" t="n"/>
      <c r="J24" s="16" t="n"/>
      <c r="K24" s="26" t="n"/>
      <c r="L24" s="26" t="n"/>
      <c r="M24" s="16" t="n"/>
      <c r="N24" s="9" t="n"/>
      <c r="O24" s="16" t="n"/>
      <c r="P24" s="16" t="n"/>
      <c r="Q24" s="24" t="n"/>
      <c r="R24" s="17" t="n"/>
      <c r="S24" s="17" t="n"/>
      <c r="T24" s="27" t="n"/>
      <c r="U24" s="27" t="n"/>
      <c r="V24" s="10" t="n"/>
    </row>
    <row r="25">
      <c r="A25" s="16" t="n"/>
      <c r="B25" s="17" t="n"/>
      <c r="C25" s="17" t="n"/>
      <c r="D25" s="10" t="n"/>
      <c r="E25" s="10" t="n"/>
      <c r="F25" s="17" t="n"/>
      <c r="G25" s="19" t="n"/>
      <c r="H25" s="16" t="n"/>
      <c r="I25" s="16" t="n"/>
      <c r="J25" s="16" t="n"/>
      <c r="K25" s="26" t="n"/>
      <c r="L25" s="26" t="n"/>
      <c r="M25" s="16" t="n"/>
      <c r="N25" s="9" t="n"/>
      <c r="O25" s="16" t="n"/>
      <c r="P25" s="16" t="n"/>
      <c r="Q25" s="24" t="n"/>
      <c r="R25" s="17" t="n"/>
      <c r="S25" s="17" t="n"/>
      <c r="T25" s="27" t="n"/>
      <c r="U25" s="27" t="n"/>
      <c r="V25" s="10" t="n"/>
    </row>
    <row r="26">
      <c r="A26" s="16" t="n"/>
      <c r="B26" s="17" t="n"/>
      <c r="C26" s="17" t="n"/>
      <c r="D26" s="10" t="n"/>
      <c r="E26" s="10" t="n"/>
      <c r="F26" s="17" t="n"/>
      <c r="G26" s="19" t="n"/>
      <c r="H26" s="16" t="n"/>
      <c r="I26" s="16" t="n"/>
      <c r="J26" s="16" t="n"/>
      <c r="K26" s="26" t="n"/>
      <c r="L26" s="26" t="n"/>
      <c r="M26" s="16" t="n"/>
      <c r="N26" s="9" t="n"/>
      <c r="O26" s="16" t="n"/>
      <c r="P26" s="16" t="n"/>
      <c r="Q26" s="24" t="n"/>
      <c r="R26" s="17" t="n"/>
      <c r="S26" s="17" t="n"/>
      <c r="T26" s="27" t="n"/>
      <c r="U26" s="27" t="n"/>
      <c r="V26" s="10" t="n"/>
    </row>
    <row r="27">
      <c r="A27" s="16" t="n"/>
      <c r="B27" s="17" t="n"/>
      <c r="C27" s="17" t="n"/>
      <c r="D27" s="10" t="n"/>
      <c r="E27" s="10" t="n"/>
      <c r="F27" s="17" t="n"/>
      <c r="G27" s="19" t="n"/>
      <c r="H27" s="16" t="n"/>
      <c r="I27" s="16" t="n"/>
      <c r="J27" s="16" t="n"/>
      <c r="K27" s="26" t="n"/>
      <c r="L27" s="26" t="n"/>
      <c r="M27" s="16" t="n"/>
      <c r="N27" s="9" t="n"/>
      <c r="O27" s="16" t="n"/>
      <c r="P27" s="16" t="n"/>
      <c r="Q27" s="24" t="n"/>
      <c r="R27" s="17" t="n"/>
      <c r="S27" s="17" t="n"/>
      <c r="T27" s="27" t="n"/>
      <c r="U27" s="27" t="n"/>
      <c r="V27" s="10" t="n"/>
    </row>
    <row r="28">
      <c r="A28" s="16" t="n"/>
      <c r="B28" s="17" t="n"/>
      <c r="C28" s="17" t="n"/>
      <c r="D28" s="10" t="n"/>
      <c r="E28" s="10" t="n"/>
      <c r="F28" s="17" t="n"/>
      <c r="G28" s="19" t="n"/>
      <c r="H28" s="16" t="n"/>
      <c r="I28" s="16" t="n"/>
      <c r="J28" s="16" t="n"/>
      <c r="K28" s="26" t="n"/>
      <c r="L28" s="26" t="n"/>
      <c r="M28" s="16" t="n"/>
      <c r="N28" s="9" t="n"/>
      <c r="O28" s="16" t="n"/>
      <c r="P28" s="16" t="n"/>
      <c r="Q28" s="24" t="n"/>
      <c r="R28" s="17" t="n"/>
      <c r="S28" s="17" t="n"/>
      <c r="T28" s="27" t="n"/>
      <c r="U28" s="27" t="n"/>
      <c r="V28" s="10" t="n"/>
    </row>
    <row r="29">
      <c r="A29" s="16" t="n"/>
      <c r="B29" s="17" t="n"/>
      <c r="C29" s="17" t="n"/>
      <c r="D29" s="10" t="n"/>
      <c r="E29" s="10" t="n"/>
      <c r="F29" s="17" t="n"/>
      <c r="G29" s="19" t="n"/>
      <c r="H29" s="16" t="n"/>
      <c r="I29" s="16" t="n"/>
      <c r="J29" s="16" t="n"/>
      <c r="K29" s="26" t="n"/>
      <c r="L29" s="26" t="n"/>
      <c r="M29" s="16" t="n"/>
      <c r="N29" s="9" t="n"/>
      <c r="O29" s="16" t="n"/>
      <c r="P29" s="16" t="n"/>
      <c r="Q29" s="24" t="n"/>
      <c r="R29" s="17" t="n"/>
      <c r="S29" s="17" t="n"/>
      <c r="T29" s="27" t="n"/>
      <c r="U29" s="27" t="n"/>
      <c r="V29" s="10" t="n"/>
    </row>
    <row r="30">
      <c r="A30" s="16" t="n"/>
      <c r="B30" s="17" t="n"/>
      <c r="C30" s="17" t="n"/>
      <c r="D30" s="10" t="n"/>
      <c r="E30" s="10" t="n"/>
      <c r="F30" s="17" t="n"/>
      <c r="G30" s="19" t="n"/>
      <c r="H30" s="16" t="n"/>
      <c r="I30" s="16" t="n"/>
      <c r="J30" s="16" t="n"/>
      <c r="K30" s="26" t="n"/>
      <c r="L30" s="26" t="n"/>
      <c r="M30" s="16" t="n"/>
      <c r="N30" s="9" t="n"/>
      <c r="O30" s="16" t="n"/>
      <c r="P30" s="16" t="n"/>
      <c r="Q30" s="24" t="n"/>
      <c r="R30" s="17" t="n"/>
      <c r="S30" s="17" t="n"/>
      <c r="T30" s="27" t="n"/>
      <c r="U30" s="27" t="n"/>
      <c r="V30" s="10" t="n"/>
    </row>
    <row r="31">
      <c r="A31" s="16" t="n"/>
      <c r="B31" s="17" t="n"/>
      <c r="C31" s="17" t="n"/>
      <c r="D31" s="10" t="n"/>
      <c r="E31" s="10" t="n"/>
      <c r="F31" s="17" t="n"/>
      <c r="G31" s="19" t="n"/>
      <c r="H31" s="16" t="n"/>
      <c r="I31" s="16" t="n"/>
      <c r="J31" s="16" t="n"/>
      <c r="K31" s="26" t="n"/>
      <c r="L31" s="26" t="n"/>
      <c r="M31" s="16" t="n"/>
      <c r="N31" s="9" t="n"/>
      <c r="O31" s="16" t="n"/>
      <c r="P31" s="16" t="n"/>
      <c r="Q31" s="24" t="n"/>
      <c r="R31" s="17" t="n"/>
      <c r="S31" s="17" t="n"/>
      <c r="T31" s="27" t="n"/>
      <c r="U31" s="27" t="n"/>
      <c r="V31" s="10" t="n"/>
    </row>
    <row r="32">
      <c r="A32" s="16" t="n"/>
      <c r="B32" s="17" t="n"/>
      <c r="C32" s="17" t="n"/>
      <c r="D32" s="10" t="n"/>
      <c r="E32" s="10" t="n"/>
      <c r="F32" s="17" t="n"/>
      <c r="G32" s="19" t="n"/>
      <c r="H32" s="16" t="n"/>
      <c r="I32" s="16" t="n"/>
      <c r="J32" s="16" t="n"/>
      <c r="K32" s="26" t="n"/>
      <c r="L32" s="26" t="n"/>
      <c r="M32" s="16" t="n"/>
      <c r="N32" s="9" t="n"/>
      <c r="O32" s="16" t="n"/>
      <c r="P32" s="16" t="n"/>
      <c r="Q32" s="24" t="n"/>
      <c r="R32" s="17" t="n"/>
      <c r="S32" s="17" t="n"/>
      <c r="T32" s="27" t="n"/>
      <c r="U32" s="27" t="n"/>
      <c r="V32" s="10" t="n"/>
    </row>
    <row r="33">
      <c r="A33" s="16" t="n"/>
      <c r="B33" s="17" t="n"/>
      <c r="C33" s="17" t="n"/>
      <c r="D33" s="10" t="n"/>
      <c r="E33" s="10" t="n"/>
      <c r="F33" s="17" t="n"/>
      <c r="G33" s="19" t="n"/>
      <c r="H33" s="16" t="n"/>
      <c r="I33" s="16" t="n"/>
      <c r="J33" s="16" t="n"/>
      <c r="K33" s="26" t="n"/>
      <c r="L33" s="26" t="n"/>
      <c r="M33" s="16" t="n"/>
      <c r="N33" s="9" t="n"/>
      <c r="O33" s="16" t="n"/>
      <c r="P33" s="16" t="n"/>
      <c r="Q33" s="24" t="n"/>
      <c r="R33" s="17" t="n"/>
      <c r="S33" s="17" t="n"/>
      <c r="T33" s="27" t="n"/>
      <c r="U33" s="27" t="n"/>
      <c r="V33" s="10" t="n"/>
    </row>
    <row r="34">
      <c r="A34" s="16" t="n"/>
      <c r="B34" s="17" t="n"/>
      <c r="C34" s="17" t="n"/>
      <c r="D34" s="10" t="n"/>
      <c r="E34" s="10" t="n"/>
      <c r="F34" s="17" t="n"/>
      <c r="G34" s="19" t="n"/>
      <c r="H34" s="16" t="n"/>
      <c r="I34" s="16" t="n"/>
      <c r="J34" s="16" t="n"/>
      <c r="K34" s="26" t="n"/>
      <c r="L34" s="26" t="n"/>
      <c r="M34" s="16" t="n"/>
      <c r="N34" s="9" t="n"/>
      <c r="O34" s="16" t="n"/>
      <c r="P34" s="16" t="n"/>
      <c r="Q34" s="24" t="n"/>
      <c r="R34" s="17" t="n"/>
      <c r="S34" s="17" t="n"/>
      <c r="T34" s="27" t="n"/>
      <c r="U34" s="27" t="n"/>
      <c r="V34" s="10" t="n"/>
    </row>
    <row r="35">
      <c r="A35" s="16" t="n"/>
      <c r="B35" s="17" t="n"/>
      <c r="C35" s="17" t="n"/>
      <c r="D35" s="10" t="n"/>
      <c r="E35" s="10" t="n"/>
      <c r="F35" s="17" t="n"/>
      <c r="G35" s="19" t="n"/>
      <c r="H35" s="16" t="n"/>
      <c r="I35" s="16" t="n"/>
      <c r="J35" s="16" t="n"/>
      <c r="K35" s="26" t="n"/>
      <c r="L35" s="26" t="n"/>
      <c r="M35" s="16" t="n"/>
      <c r="N35" s="9" t="n"/>
      <c r="O35" s="16" t="n"/>
      <c r="P35" s="16" t="n"/>
      <c r="Q35" s="24" t="n"/>
      <c r="R35" s="17" t="n"/>
      <c r="S35" s="17" t="n"/>
      <c r="T35" s="27" t="n"/>
      <c r="U35" s="27" t="n"/>
      <c r="V35" s="10" t="n"/>
    </row>
    <row r="36">
      <c r="A36" s="16" t="n"/>
      <c r="B36" s="17" t="n"/>
      <c r="C36" s="17" t="n"/>
      <c r="D36" s="10" t="n"/>
      <c r="E36" s="10" t="n"/>
      <c r="F36" s="17" t="n"/>
      <c r="G36" s="19" t="n"/>
      <c r="H36" s="16" t="n"/>
      <c r="I36" s="16" t="n"/>
      <c r="J36" s="16" t="n"/>
      <c r="K36" s="26" t="n"/>
      <c r="L36" s="26" t="n"/>
      <c r="M36" s="16" t="n"/>
      <c r="N36" s="9" t="n"/>
      <c r="O36" s="16" t="n"/>
      <c r="P36" s="16" t="n"/>
      <c r="Q36" s="24" t="n"/>
      <c r="R36" s="17" t="n"/>
      <c r="S36" s="17" t="n"/>
      <c r="T36" s="27" t="n"/>
      <c r="U36" s="27" t="n"/>
      <c r="V36" s="10" t="n"/>
    </row>
    <row r="37">
      <c r="A37" s="16" t="n"/>
      <c r="B37" s="17" t="n"/>
      <c r="C37" s="17" t="n"/>
      <c r="D37" s="10" t="n"/>
      <c r="E37" s="10" t="n"/>
      <c r="F37" s="17" t="n"/>
      <c r="G37" s="19" t="n"/>
      <c r="H37" s="16" t="n"/>
      <c r="I37" s="16" t="n"/>
      <c r="J37" s="16" t="n"/>
      <c r="K37" s="26" t="n"/>
      <c r="L37" s="26" t="n"/>
      <c r="M37" s="16" t="n"/>
      <c r="N37" s="9" t="n"/>
      <c r="O37" s="16" t="n"/>
      <c r="P37" s="16" t="n"/>
      <c r="Q37" s="24" t="n"/>
      <c r="R37" s="17" t="n"/>
      <c r="S37" s="17" t="n"/>
      <c r="T37" s="27" t="n"/>
      <c r="U37" s="27" t="n"/>
      <c r="V37" s="10" t="n"/>
    </row>
    <row r="38">
      <c r="A38" s="16" t="n"/>
      <c r="B38" s="17" t="n"/>
      <c r="C38" s="17" t="n"/>
      <c r="D38" s="10" t="n"/>
      <c r="E38" s="10" t="n"/>
      <c r="F38" s="17" t="n"/>
      <c r="G38" s="19" t="n"/>
      <c r="H38" s="16" t="n"/>
      <c r="I38" s="16" t="n"/>
      <c r="J38" s="16" t="n"/>
      <c r="K38" s="26" t="n"/>
      <c r="L38" s="26" t="n"/>
      <c r="M38" s="16" t="n"/>
      <c r="N38" s="9" t="n"/>
      <c r="O38" s="16" t="n"/>
      <c r="P38" s="16" t="n"/>
      <c r="Q38" s="24" t="n"/>
      <c r="R38" s="17" t="n"/>
      <c r="S38" s="17" t="n"/>
      <c r="T38" s="27" t="n"/>
      <c r="U38" s="27" t="n"/>
      <c r="V38" s="10" t="n"/>
    </row>
    <row r="39">
      <c r="A39" s="16" t="n"/>
      <c r="B39" s="17" t="n"/>
      <c r="C39" s="17" t="n"/>
      <c r="D39" s="10" t="n"/>
      <c r="E39" s="10" t="n"/>
      <c r="F39" s="17" t="n"/>
      <c r="G39" s="19" t="n"/>
      <c r="H39" s="16" t="n"/>
      <c r="I39" s="16" t="n"/>
      <c r="J39" s="16" t="n"/>
      <c r="K39" s="26" t="n"/>
      <c r="L39" s="26" t="n"/>
      <c r="M39" s="16" t="n"/>
      <c r="N39" s="9" t="n"/>
      <c r="O39" s="16" t="n"/>
      <c r="P39" s="16" t="n"/>
      <c r="Q39" s="24" t="n"/>
      <c r="R39" s="17" t="n"/>
      <c r="S39" s="17" t="n"/>
      <c r="T39" s="27" t="n"/>
      <c r="U39" s="27" t="n"/>
      <c r="V39" s="10" t="n"/>
    </row>
    <row r="40">
      <c r="A40" s="16" t="n"/>
      <c r="B40" s="17" t="n"/>
      <c r="C40" s="17" t="n"/>
      <c r="D40" s="10" t="n"/>
      <c r="E40" s="10" t="n"/>
      <c r="F40" s="17" t="n"/>
      <c r="G40" s="19" t="n"/>
      <c r="H40" s="16" t="n"/>
      <c r="I40" s="16" t="n"/>
      <c r="J40" s="16" t="n"/>
      <c r="K40" s="26" t="n"/>
      <c r="L40" s="26" t="n"/>
      <c r="M40" s="16" t="n"/>
      <c r="N40" s="9" t="n"/>
      <c r="O40" s="16" t="n"/>
      <c r="P40" s="16" t="n"/>
      <c r="Q40" s="24" t="n"/>
      <c r="R40" s="17" t="n"/>
      <c r="S40" s="17" t="n"/>
      <c r="T40" s="27" t="n"/>
      <c r="U40" s="27" t="n"/>
      <c r="V40" s="10" t="n"/>
    </row>
    <row r="41">
      <c r="A41" s="16" t="n"/>
      <c r="B41" s="17" t="n"/>
      <c r="C41" s="17" t="n"/>
      <c r="D41" s="10" t="n"/>
      <c r="E41" s="10" t="n"/>
      <c r="F41" s="17" t="n"/>
      <c r="G41" s="19" t="n"/>
      <c r="H41" s="16" t="n"/>
      <c r="I41" s="16" t="n"/>
      <c r="J41" s="16" t="n"/>
      <c r="K41" s="26" t="n"/>
      <c r="L41" s="26" t="n"/>
      <c r="M41" s="16" t="n"/>
      <c r="N41" s="9" t="n"/>
      <c r="O41" s="16" t="n"/>
      <c r="P41" s="16" t="n"/>
      <c r="Q41" s="24" t="n"/>
      <c r="R41" s="17" t="n"/>
      <c r="S41" s="17" t="n"/>
      <c r="T41" s="27" t="n"/>
      <c r="U41" s="27" t="n"/>
      <c r="V41" s="10" t="n"/>
    </row>
    <row r="42">
      <c r="A42" s="16" t="n"/>
      <c r="B42" s="17" t="n"/>
      <c r="C42" s="17" t="n"/>
      <c r="D42" s="10" t="n"/>
      <c r="E42" s="10" t="n"/>
      <c r="F42" s="17" t="n"/>
      <c r="G42" s="19" t="n"/>
      <c r="H42" s="16" t="n"/>
      <c r="I42" s="16" t="n"/>
      <c r="J42" s="16" t="n"/>
      <c r="K42" s="26" t="n"/>
      <c r="L42" s="26" t="n"/>
      <c r="M42" s="16" t="n"/>
      <c r="N42" s="9" t="n"/>
      <c r="O42" s="16" t="n"/>
      <c r="P42" s="16" t="n"/>
      <c r="Q42" s="24" t="n"/>
      <c r="R42" s="17" t="n"/>
      <c r="S42" s="17" t="n"/>
      <c r="T42" s="27" t="n"/>
      <c r="U42" s="27" t="n"/>
      <c r="V42" s="10" t="n"/>
    </row>
    <row r="43">
      <c r="A43" s="16" t="n"/>
      <c r="B43" s="17" t="n"/>
      <c r="C43" s="17" t="n"/>
      <c r="D43" s="10" t="n"/>
      <c r="E43" s="10" t="n"/>
      <c r="F43" s="17" t="n"/>
      <c r="G43" s="19" t="n"/>
      <c r="H43" s="16" t="n"/>
      <c r="I43" s="16" t="n"/>
      <c r="J43" s="16" t="n"/>
      <c r="K43" s="26" t="n"/>
      <c r="L43" s="26" t="n"/>
      <c r="M43" s="16" t="n"/>
      <c r="N43" s="9" t="n"/>
      <c r="O43" s="16" t="n"/>
      <c r="P43" s="16" t="n"/>
      <c r="Q43" s="24" t="n"/>
      <c r="R43" s="17" t="n"/>
      <c r="S43" s="17" t="n"/>
      <c r="T43" s="27" t="n"/>
      <c r="U43" s="27" t="n"/>
      <c r="V43" s="10" t="n"/>
    </row>
    <row r="44">
      <c r="A44" s="16" t="n"/>
      <c r="B44" s="17" t="n"/>
      <c r="C44" s="17" t="n"/>
      <c r="D44" s="10" t="n"/>
      <c r="E44" s="10" t="n"/>
      <c r="F44" s="17" t="n"/>
      <c r="G44" s="19" t="n"/>
      <c r="H44" s="16" t="n"/>
      <c r="I44" s="16" t="n"/>
      <c r="J44" s="16" t="n"/>
      <c r="K44" s="26" t="n"/>
      <c r="L44" s="26" t="n"/>
      <c r="M44" s="16" t="n"/>
      <c r="N44" s="9" t="n"/>
      <c r="O44" s="16" t="n"/>
      <c r="P44" s="16" t="n"/>
      <c r="Q44" s="24" t="n"/>
      <c r="R44" s="17" t="n"/>
      <c r="S44" s="17" t="n"/>
      <c r="T44" s="27" t="n"/>
      <c r="U44" s="27" t="n"/>
      <c r="V44" s="10" t="n"/>
    </row>
    <row r="45">
      <c r="A45" s="16" t="n"/>
      <c r="B45" s="17" t="n"/>
      <c r="C45" s="17" t="n"/>
      <c r="D45" s="10" t="n"/>
      <c r="E45" s="10" t="n"/>
      <c r="F45" s="17" t="n"/>
      <c r="G45" s="19" t="n"/>
      <c r="H45" s="16" t="n"/>
      <c r="I45" s="16" t="n"/>
      <c r="J45" s="16" t="n"/>
      <c r="K45" s="26" t="n"/>
      <c r="L45" s="26" t="n"/>
      <c r="M45" s="16" t="n"/>
      <c r="N45" s="9" t="n"/>
      <c r="O45" s="16" t="n"/>
      <c r="P45" s="16" t="n"/>
      <c r="Q45" s="24" t="n"/>
      <c r="R45" s="17" t="n"/>
      <c r="S45" s="17" t="n"/>
      <c r="T45" s="27" t="n"/>
      <c r="U45" s="27" t="n"/>
      <c r="V45" s="10" t="n"/>
    </row>
    <row r="46">
      <c r="A46" s="16" t="n"/>
      <c r="B46" s="17" t="n"/>
      <c r="C46" s="17" t="n"/>
      <c r="D46" s="10" t="n"/>
      <c r="E46" s="10" t="n"/>
      <c r="F46" s="17" t="n"/>
      <c r="G46" s="19" t="n"/>
      <c r="H46" s="16" t="n"/>
      <c r="I46" s="16" t="n"/>
      <c r="J46" s="16" t="n"/>
      <c r="K46" s="26" t="n"/>
      <c r="L46" s="26" t="n"/>
      <c r="M46" s="16" t="n"/>
      <c r="N46" s="9" t="n"/>
      <c r="O46" s="16" t="n"/>
      <c r="P46" s="16" t="n"/>
      <c r="Q46" s="24" t="n"/>
      <c r="R46" s="17" t="n"/>
      <c r="S46" s="17" t="n"/>
      <c r="T46" s="27" t="n"/>
      <c r="U46" s="27" t="n"/>
      <c r="V46" s="10" t="n"/>
    </row>
    <row r="47">
      <c r="A47" s="16" t="n"/>
      <c r="B47" s="17" t="n"/>
      <c r="C47" s="17" t="n"/>
      <c r="D47" s="10" t="n"/>
      <c r="E47" s="10" t="n"/>
      <c r="F47" s="17" t="n"/>
      <c r="G47" s="19" t="n"/>
      <c r="H47" s="16" t="n"/>
      <c r="I47" s="16" t="n"/>
      <c r="J47" s="16" t="n"/>
      <c r="K47" s="26" t="n"/>
      <c r="L47" s="26" t="n"/>
      <c r="M47" s="16" t="n"/>
      <c r="N47" s="9" t="n"/>
      <c r="O47" s="16" t="n"/>
      <c r="P47" s="16" t="n"/>
      <c r="Q47" s="24" t="n"/>
      <c r="R47" s="17" t="n"/>
      <c r="S47" s="17" t="n"/>
      <c r="T47" s="27" t="n"/>
      <c r="U47" s="27" t="n"/>
      <c r="V47" s="10" t="n"/>
    </row>
    <row r="48">
      <c r="A48" s="16" t="n"/>
      <c r="B48" s="17" t="n"/>
      <c r="C48" s="17" t="n"/>
      <c r="D48" s="10" t="n"/>
      <c r="E48" s="10" t="n"/>
      <c r="F48" s="17" t="n"/>
      <c r="G48" s="19" t="n"/>
      <c r="H48" s="16" t="n"/>
      <c r="I48" s="16" t="n"/>
      <c r="J48" s="16" t="n"/>
      <c r="K48" s="26" t="n"/>
      <c r="L48" s="26" t="n"/>
      <c r="M48" s="16" t="n"/>
      <c r="N48" s="9" t="n"/>
      <c r="O48" s="16" t="n"/>
      <c r="P48" s="16" t="n"/>
      <c r="Q48" s="24" t="n"/>
      <c r="R48" s="17" t="n"/>
      <c r="S48" s="17" t="n"/>
      <c r="T48" s="27" t="n"/>
      <c r="U48" s="27" t="n"/>
      <c r="V48" s="10" t="n"/>
    </row>
    <row r="49">
      <c r="A49" s="16" t="n"/>
      <c r="B49" s="17" t="n"/>
      <c r="C49" s="17" t="n"/>
      <c r="D49" s="10" t="n"/>
      <c r="E49" s="10" t="n"/>
      <c r="F49" s="17" t="n"/>
      <c r="G49" s="19" t="n"/>
      <c r="H49" s="16" t="n"/>
      <c r="I49" s="16" t="n"/>
      <c r="J49" s="16" t="n"/>
      <c r="K49" s="26" t="n"/>
      <c r="L49" s="26" t="n"/>
      <c r="M49" s="16" t="n"/>
      <c r="N49" s="9" t="n"/>
      <c r="O49" s="16" t="n"/>
      <c r="P49" s="16" t="n"/>
      <c r="Q49" s="24" t="n"/>
      <c r="R49" s="17" t="n"/>
      <c r="S49" s="17" t="n"/>
      <c r="T49" s="27" t="n"/>
      <c r="U49" s="27" t="n"/>
      <c r="V49" s="10" t="n"/>
    </row>
    <row r="50">
      <c r="A50" s="16" t="n"/>
      <c r="B50" s="17" t="n"/>
      <c r="C50" s="17" t="n"/>
      <c r="D50" s="10" t="n"/>
      <c r="E50" s="10" t="n"/>
      <c r="F50" s="17" t="n"/>
      <c r="G50" s="19" t="n"/>
      <c r="H50" s="16" t="n"/>
      <c r="I50" s="16" t="n"/>
      <c r="J50" s="16" t="n"/>
      <c r="K50" s="26" t="n"/>
      <c r="L50" s="26" t="n"/>
      <c r="M50" s="16" t="n"/>
      <c r="N50" s="9" t="n"/>
      <c r="O50" s="16" t="n"/>
      <c r="P50" s="16" t="n"/>
      <c r="Q50" s="24" t="n"/>
      <c r="R50" s="17" t="n"/>
      <c r="S50" s="17" t="n"/>
      <c r="T50" s="27" t="n"/>
      <c r="U50" s="27" t="n"/>
      <c r="V50" s="10" t="n"/>
    </row>
    <row r="51">
      <c r="A51" s="16" t="n"/>
      <c r="B51" s="17" t="n"/>
      <c r="C51" s="17" t="n"/>
      <c r="D51" s="10" t="n"/>
      <c r="E51" s="10" t="n"/>
      <c r="F51" s="17" t="n"/>
      <c r="G51" s="19" t="n"/>
      <c r="H51" s="16" t="n"/>
      <c r="I51" s="16" t="n"/>
      <c r="J51" s="16" t="n"/>
      <c r="K51" s="26" t="n"/>
      <c r="L51" s="26" t="n"/>
      <c r="M51" s="16" t="n"/>
      <c r="N51" s="9" t="n"/>
      <c r="O51" s="16" t="n"/>
      <c r="P51" s="16" t="n"/>
      <c r="Q51" s="24" t="n"/>
      <c r="R51" s="17" t="n"/>
      <c r="S51" s="17" t="n"/>
      <c r="T51" s="27" t="n"/>
      <c r="U51" s="27" t="n"/>
      <c r="V51" s="10" t="n"/>
    </row>
    <row r="52">
      <c r="A52" s="16" t="n"/>
      <c r="B52" s="17" t="n"/>
      <c r="C52" s="17" t="n"/>
      <c r="D52" s="10" t="n"/>
      <c r="E52" s="10" t="n"/>
      <c r="F52" s="17" t="n"/>
      <c r="G52" s="19" t="n"/>
      <c r="H52" s="16" t="n"/>
      <c r="I52" s="16" t="n"/>
      <c r="J52" s="16" t="n"/>
      <c r="K52" s="26" t="n"/>
      <c r="L52" s="26" t="n"/>
      <c r="M52" s="16" t="n"/>
      <c r="N52" s="9" t="n"/>
      <c r="O52" s="16" t="n"/>
      <c r="P52" s="16" t="n"/>
      <c r="Q52" s="24" t="n"/>
      <c r="R52" s="17" t="n"/>
      <c r="S52" s="17" t="n"/>
      <c r="T52" s="27" t="n"/>
      <c r="U52" s="27" t="n"/>
      <c r="V52" s="10" t="n"/>
    </row>
    <row r="53">
      <c r="A53" s="16" t="n"/>
      <c r="B53" s="17" t="n"/>
      <c r="C53" s="17" t="n"/>
      <c r="D53" s="10" t="n"/>
      <c r="E53" s="10" t="n"/>
      <c r="F53" s="17" t="n"/>
      <c r="G53" s="19" t="n"/>
      <c r="H53" s="16" t="n"/>
      <c r="I53" s="16" t="n"/>
      <c r="J53" s="16" t="n"/>
      <c r="K53" s="26" t="n"/>
      <c r="L53" s="26" t="n"/>
      <c r="M53" s="16" t="n"/>
      <c r="N53" s="9" t="n"/>
      <c r="O53" s="16" t="n"/>
      <c r="P53" s="16" t="n"/>
      <c r="Q53" s="24" t="n"/>
      <c r="R53" s="17" t="n"/>
      <c r="S53" s="17" t="n"/>
      <c r="T53" s="27" t="n"/>
      <c r="U53" s="27" t="n"/>
      <c r="V53" s="10" t="n"/>
    </row>
    <row r="54">
      <c r="A54" s="16" t="n"/>
      <c r="B54" s="17" t="n"/>
      <c r="C54" s="17" t="n"/>
      <c r="D54" s="10" t="n"/>
      <c r="E54" s="10" t="n"/>
      <c r="F54" s="17" t="n"/>
      <c r="G54" s="19" t="n"/>
      <c r="H54" s="16" t="n"/>
      <c r="I54" s="16" t="n"/>
      <c r="J54" s="16" t="n"/>
      <c r="K54" s="26" t="n"/>
      <c r="L54" s="26" t="n"/>
      <c r="M54" s="16" t="n"/>
      <c r="N54" s="9" t="n"/>
      <c r="O54" s="16" t="n"/>
      <c r="P54" s="16" t="n"/>
      <c r="Q54" s="24" t="n"/>
      <c r="R54" s="17" t="n"/>
      <c r="S54" s="17" t="n"/>
      <c r="T54" s="27" t="n"/>
      <c r="U54" s="27" t="n"/>
      <c r="V54" s="10" t="n"/>
    </row>
    <row r="55">
      <c r="A55" s="16" t="n"/>
      <c r="B55" s="17" t="n"/>
      <c r="C55" s="17" t="n"/>
      <c r="D55" s="10" t="n"/>
      <c r="E55" s="10" t="n"/>
      <c r="F55" s="17" t="n"/>
      <c r="G55" s="19" t="n"/>
      <c r="H55" s="16" t="n"/>
      <c r="I55" s="16" t="n"/>
      <c r="J55" s="16" t="n"/>
      <c r="K55" s="26" t="n"/>
      <c r="L55" s="26" t="n"/>
      <c r="M55" s="16" t="n"/>
      <c r="N55" s="9" t="n"/>
      <c r="O55" s="16" t="n"/>
      <c r="P55" s="16" t="n"/>
      <c r="Q55" s="24" t="n"/>
      <c r="R55" s="17" t="n"/>
      <c r="S55" s="17" t="n"/>
      <c r="T55" s="27" t="n"/>
      <c r="U55" s="27" t="n"/>
      <c r="V55" s="10" t="n"/>
    </row>
    <row r="56">
      <c r="A56" s="16" t="n"/>
      <c r="B56" s="17" t="n"/>
      <c r="C56" s="17" t="n"/>
      <c r="D56" s="10" t="n"/>
      <c r="E56" s="10" t="n"/>
      <c r="F56" s="17" t="n"/>
      <c r="G56" s="19" t="n"/>
      <c r="H56" s="16" t="n"/>
      <c r="I56" s="16" t="n"/>
      <c r="J56" s="16" t="n"/>
      <c r="K56" s="26" t="n"/>
      <c r="L56" s="26" t="n"/>
      <c r="M56" s="16" t="n"/>
      <c r="N56" s="9" t="n"/>
      <c r="O56" s="16" t="n"/>
      <c r="P56" s="16" t="n"/>
      <c r="Q56" s="24" t="n"/>
      <c r="R56" s="17" t="n"/>
      <c r="S56" s="17" t="n"/>
      <c r="T56" s="27" t="n"/>
      <c r="U56" s="27" t="n"/>
      <c r="V56" s="10" t="n"/>
    </row>
    <row r="57">
      <c r="A57" s="16" t="n"/>
      <c r="B57" s="17" t="n"/>
      <c r="C57" s="17" t="n"/>
      <c r="D57" s="10" t="n"/>
      <c r="E57" s="10" t="n"/>
      <c r="F57" s="17" t="n"/>
      <c r="G57" s="19" t="n"/>
      <c r="H57" s="16" t="n"/>
      <c r="I57" s="16" t="n"/>
      <c r="J57" s="16" t="n"/>
      <c r="K57" s="26" t="n"/>
      <c r="L57" s="26" t="n"/>
      <c r="M57" s="16" t="n"/>
      <c r="N57" s="9" t="n"/>
      <c r="O57" s="16" t="n"/>
      <c r="P57" s="16" t="n"/>
      <c r="Q57" s="24" t="n"/>
      <c r="R57" s="17" t="n"/>
      <c r="S57" s="17" t="n"/>
      <c r="T57" s="27" t="n"/>
      <c r="U57" s="27" t="n"/>
      <c r="V57" s="10" t="n"/>
    </row>
    <row r="58">
      <c r="A58" s="16" t="n"/>
      <c r="B58" s="17" t="n"/>
      <c r="C58" s="17" t="n"/>
      <c r="D58" s="10" t="n"/>
      <c r="E58" s="10" t="n"/>
      <c r="F58" s="17" t="n"/>
      <c r="G58" s="19" t="n"/>
      <c r="H58" s="16" t="n"/>
      <c r="I58" s="16" t="n"/>
      <c r="J58" s="16" t="n"/>
      <c r="K58" s="26" t="n"/>
      <c r="L58" s="26" t="n"/>
      <c r="M58" s="16" t="n"/>
      <c r="N58" s="9" t="n"/>
      <c r="O58" s="16" t="n"/>
      <c r="P58" s="16" t="n"/>
      <c r="Q58" s="24" t="n"/>
      <c r="R58" s="17" t="n"/>
      <c r="S58" s="17" t="n"/>
      <c r="T58" s="27" t="n"/>
      <c r="U58" s="27" t="n"/>
      <c r="V58" s="10" t="n"/>
    </row>
    <row r="59">
      <c r="A59" s="16" t="n"/>
      <c r="B59" s="17" t="n"/>
      <c r="C59" s="17" t="n"/>
      <c r="D59" s="10" t="n"/>
      <c r="E59" s="10" t="n"/>
      <c r="F59" s="17" t="n"/>
      <c r="G59" s="19" t="n"/>
      <c r="H59" s="16" t="n"/>
      <c r="I59" s="16" t="n"/>
      <c r="J59" s="16" t="n"/>
      <c r="K59" s="26" t="n"/>
      <c r="L59" s="26" t="n"/>
      <c r="M59" s="16" t="n"/>
      <c r="N59" s="9" t="n"/>
      <c r="O59" s="16" t="n"/>
      <c r="P59" s="16" t="n"/>
      <c r="Q59" s="24" t="n"/>
      <c r="R59" s="17" t="n"/>
      <c r="S59" s="17" t="n"/>
      <c r="T59" s="27" t="n"/>
      <c r="U59" s="27" t="n"/>
      <c r="V59" s="10" t="n"/>
    </row>
    <row r="60">
      <c r="A60" s="16" t="n"/>
      <c r="B60" s="17" t="n"/>
      <c r="C60" s="17" t="n"/>
      <c r="D60" s="10" t="n"/>
      <c r="E60" s="10" t="n"/>
      <c r="F60" s="17" t="n"/>
      <c r="G60" s="19" t="n"/>
      <c r="H60" s="16" t="n"/>
      <c r="I60" s="16" t="n"/>
      <c r="J60" s="16" t="n"/>
      <c r="K60" s="26" t="n"/>
      <c r="L60" s="26" t="n"/>
      <c r="M60" s="16" t="n"/>
      <c r="N60" s="9" t="n"/>
      <c r="O60" s="16" t="n"/>
      <c r="P60" s="16" t="n"/>
      <c r="Q60" s="24" t="n"/>
      <c r="R60" s="17" t="n"/>
      <c r="S60" s="17" t="n"/>
      <c r="T60" s="27" t="n"/>
      <c r="U60" s="27" t="n"/>
      <c r="V60" s="10" t="n"/>
    </row>
    <row r="61">
      <c r="A61" s="16" t="n"/>
      <c r="B61" s="17" t="n"/>
      <c r="C61" s="17" t="n"/>
      <c r="D61" s="10" t="n"/>
      <c r="E61" s="10" t="n"/>
      <c r="F61" s="17" t="n"/>
      <c r="G61" s="19" t="n"/>
      <c r="H61" s="16" t="n"/>
      <c r="I61" s="16" t="n"/>
      <c r="J61" s="16" t="n"/>
      <c r="K61" s="26" t="n"/>
      <c r="L61" s="26" t="n"/>
      <c r="M61" s="16" t="n"/>
      <c r="N61" s="9" t="n"/>
      <c r="O61" s="16" t="n"/>
      <c r="P61" s="16" t="n"/>
      <c r="Q61" s="24" t="n"/>
      <c r="R61" s="17" t="n"/>
      <c r="S61" s="17" t="n"/>
      <c r="T61" s="27" t="n"/>
      <c r="U61" s="27" t="n"/>
      <c r="V61" s="10" t="n"/>
    </row>
    <row r="62">
      <c r="A62" s="16" t="n"/>
      <c r="B62" s="17" t="n"/>
      <c r="C62" s="17" t="n"/>
      <c r="D62" s="10" t="n"/>
      <c r="E62" s="10" t="n"/>
      <c r="F62" s="17" t="n"/>
      <c r="G62" s="19" t="n"/>
      <c r="H62" s="16" t="n"/>
      <c r="I62" s="16" t="n"/>
      <c r="J62" s="16" t="n"/>
      <c r="K62" s="26" t="n"/>
      <c r="L62" s="26" t="n"/>
      <c r="M62" s="16" t="n"/>
      <c r="N62" s="9" t="n"/>
      <c r="O62" s="16" t="n"/>
      <c r="P62" s="16" t="n"/>
      <c r="Q62" s="24" t="n"/>
      <c r="R62" s="17" t="n"/>
      <c r="S62" s="17" t="n"/>
      <c r="T62" s="27" t="n"/>
      <c r="U62" s="27" t="n"/>
      <c r="V62" s="10" t="n"/>
    </row>
    <row r="63">
      <c r="A63" s="16" t="n"/>
      <c r="B63" s="17" t="n"/>
      <c r="C63" s="17" t="n"/>
      <c r="D63" s="10" t="n"/>
      <c r="E63" s="10" t="n"/>
      <c r="F63" s="17" t="n"/>
      <c r="G63" s="19" t="n"/>
      <c r="H63" s="16" t="n"/>
      <c r="I63" s="16" t="n"/>
      <c r="J63" s="16" t="n"/>
      <c r="K63" s="26" t="n"/>
      <c r="L63" s="26" t="n"/>
      <c r="M63" s="16" t="n"/>
      <c r="N63" s="9" t="n"/>
      <c r="O63" s="16" t="n"/>
      <c r="P63" s="16" t="n"/>
      <c r="Q63" s="24" t="n"/>
      <c r="R63" s="17" t="n"/>
      <c r="S63" s="17" t="n"/>
      <c r="T63" s="27" t="n"/>
      <c r="U63" s="27" t="n"/>
      <c r="V63" s="10" t="n"/>
    </row>
    <row r="64">
      <c r="A64" s="16" t="n"/>
      <c r="B64" s="17" t="n"/>
      <c r="C64" s="17" t="n"/>
      <c r="D64" s="10" t="n"/>
      <c r="E64" s="10" t="n"/>
      <c r="F64" s="17" t="n"/>
      <c r="G64" s="19" t="n"/>
      <c r="H64" s="16" t="n"/>
      <c r="I64" s="16" t="n"/>
      <c r="J64" s="16" t="n"/>
      <c r="K64" s="26" t="n"/>
      <c r="L64" s="26" t="n"/>
      <c r="M64" s="16" t="n"/>
      <c r="N64" s="9" t="n"/>
      <c r="O64" s="16" t="n"/>
      <c r="P64" s="16" t="n"/>
      <c r="Q64" s="24" t="n"/>
      <c r="R64" s="17" t="n"/>
      <c r="S64" s="17" t="n"/>
      <c r="T64" s="27" t="n"/>
      <c r="U64" s="27" t="n"/>
      <c r="V64" s="10" t="n"/>
    </row>
    <row r="65">
      <c r="A65" s="16" t="n"/>
      <c r="B65" s="17" t="n"/>
      <c r="C65" s="17" t="n"/>
      <c r="D65" s="10" t="n"/>
      <c r="E65" s="10" t="n"/>
      <c r="F65" s="17" t="n"/>
      <c r="G65" s="19" t="n"/>
      <c r="H65" s="16" t="n"/>
      <c r="I65" s="16" t="n"/>
      <c r="J65" s="16" t="n"/>
      <c r="K65" s="26" t="n"/>
      <c r="L65" s="26" t="n"/>
      <c r="M65" s="16" t="n"/>
      <c r="N65" s="9" t="n"/>
      <c r="O65" s="16" t="n"/>
      <c r="P65" s="16" t="n"/>
      <c r="Q65" s="24" t="n"/>
      <c r="R65" s="17" t="n"/>
      <c r="S65" s="17" t="n"/>
      <c r="T65" s="27" t="n"/>
      <c r="U65" s="27" t="n"/>
      <c r="V65" s="10" t="n"/>
    </row>
    <row r="66">
      <c r="A66" s="16" t="n"/>
      <c r="B66" s="17" t="n"/>
      <c r="C66" s="17" t="n"/>
      <c r="D66" s="10" t="n"/>
      <c r="E66" s="10" t="n"/>
      <c r="F66" s="17" t="n"/>
      <c r="G66" s="19" t="n"/>
      <c r="H66" s="16" t="n"/>
      <c r="I66" s="16" t="n"/>
      <c r="J66" s="16" t="n"/>
      <c r="K66" s="26" t="n"/>
      <c r="L66" s="26" t="n"/>
      <c r="M66" s="16" t="n"/>
      <c r="N66" s="9" t="n"/>
      <c r="O66" s="16" t="n"/>
      <c r="P66" s="16" t="n"/>
      <c r="Q66" s="24" t="n"/>
      <c r="R66" s="17" t="n"/>
      <c r="S66" s="17" t="n"/>
      <c r="T66" s="27" t="n"/>
      <c r="U66" s="27" t="n"/>
      <c r="V66" s="10" t="n"/>
    </row>
    <row r="67">
      <c r="A67" s="16" t="n"/>
      <c r="B67" s="17" t="n"/>
      <c r="C67" s="17" t="n"/>
      <c r="D67" s="10" t="n"/>
      <c r="E67" s="10" t="n"/>
      <c r="F67" s="17" t="n"/>
      <c r="G67" s="19" t="n"/>
      <c r="H67" s="16" t="n"/>
      <c r="I67" s="16" t="n"/>
      <c r="J67" s="16" t="n"/>
      <c r="K67" s="26" t="n"/>
      <c r="L67" s="26" t="n"/>
      <c r="M67" s="16" t="n"/>
      <c r="N67" s="9" t="n"/>
      <c r="O67" s="16" t="n"/>
      <c r="P67" s="16" t="n"/>
      <c r="Q67" s="24" t="n"/>
      <c r="R67" s="17" t="n"/>
      <c r="S67" s="17" t="n"/>
      <c r="T67" s="27" t="n"/>
      <c r="U67" s="27" t="n"/>
      <c r="V67" s="10" t="n"/>
    </row>
    <row r="68">
      <c r="A68" s="16" t="n"/>
      <c r="B68" s="17" t="n"/>
      <c r="C68" s="17" t="n"/>
      <c r="D68" s="10" t="n"/>
      <c r="E68" s="10" t="n"/>
      <c r="F68" s="17" t="n"/>
      <c r="G68" s="19" t="n"/>
      <c r="H68" s="16" t="n"/>
      <c r="I68" s="16" t="n"/>
      <c r="J68" s="16" t="n"/>
      <c r="K68" s="26" t="n"/>
      <c r="L68" s="26" t="n"/>
      <c r="M68" s="16" t="n"/>
      <c r="N68" s="9" t="n"/>
      <c r="O68" s="16" t="n"/>
      <c r="P68" s="16" t="n"/>
      <c r="Q68" s="24" t="n"/>
      <c r="R68" s="17" t="n"/>
      <c r="S68" s="17" t="n"/>
      <c r="T68" s="27" t="n"/>
      <c r="U68" s="27" t="n"/>
      <c r="V68" s="10" t="n"/>
    </row>
    <row r="69">
      <c r="A69" s="16" t="n"/>
      <c r="B69" s="17" t="n"/>
      <c r="C69" s="17" t="n"/>
      <c r="D69" s="10" t="n"/>
      <c r="E69" s="10" t="n"/>
      <c r="F69" s="17" t="n"/>
      <c r="G69" s="19" t="n"/>
      <c r="H69" s="16" t="n"/>
      <c r="I69" s="16" t="n"/>
      <c r="J69" s="16" t="n"/>
      <c r="K69" s="26" t="n"/>
      <c r="L69" s="26" t="n"/>
      <c r="M69" s="16" t="n"/>
      <c r="N69" s="9" t="n"/>
      <c r="O69" s="16" t="n"/>
      <c r="P69" s="16" t="n"/>
      <c r="Q69" s="24" t="n"/>
      <c r="R69" s="17" t="n"/>
      <c r="S69" s="17" t="n"/>
      <c r="T69" s="27" t="n"/>
      <c r="U69" s="27" t="n"/>
      <c r="V69" s="10" t="n"/>
    </row>
    <row r="70">
      <c r="A70" s="16" t="n"/>
      <c r="B70" s="17" t="n"/>
      <c r="C70" s="17" t="n"/>
      <c r="D70" s="10" t="n"/>
      <c r="E70" s="10" t="n"/>
      <c r="F70" s="17" t="n"/>
      <c r="G70" s="19" t="n"/>
      <c r="H70" s="16" t="n"/>
      <c r="I70" s="16" t="n"/>
      <c r="J70" s="16" t="n"/>
      <c r="K70" s="26" t="n"/>
      <c r="L70" s="26" t="n"/>
      <c r="M70" s="16" t="n"/>
      <c r="N70" s="9" t="n"/>
      <c r="O70" s="16" t="n"/>
      <c r="P70" s="16" t="n"/>
      <c r="Q70" s="24" t="n"/>
      <c r="R70" s="17" t="n"/>
      <c r="S70" s="17" t="n"/>
      <c r="T70" s="27" t="n"/>
      <c r="U70" s="27" t="n"/>
      <c r="V70" s="10" t="n"/>
    </row>
    <row r="71">
      <c r="A71" s="16" t="n"/>
      <c r="B71" s="17" t="n"/>
      <c r="C71" s="17" t="n"/>
      <c r="D71" s="10" t="n"/>
      <c r="E71" s="10" t="n"/>
      <c r="F71" s="17" t="n"/>
      <c r="G71" s="19" t="n"/>
      <c r="H71" s="16" t="n"/>
      <c r="I71" s="16" t="n"/>
      <c r="J71" s="16" t="n"/>
      <c r="K71" s="26" t="n"/>
      <c r="L71" s="26" t="n"/>
      <c r="M71" s="16" t="n"/>
      <c r="N71" s="9" t="n"/>
      <c r="O71" s="16" t="n"/>
      <c r="P71" s="16" t="n"/>
      <c r="Q71" s="24" t="n"/>
      <c r="R71" s="17" t="n"/>
      <c r="S71" s="17" t="n"/>
      <c r="T71" s="27" t="n"/>
      <c r="U71" s="27" t="n"/>
      <c r="V71" s="10" t="n"/>
    </row>
    <row r="72">
      <c r="A72" s="16" t="n"/>
      <c r="B72" s="17" t="n"/>
      <c r="C72" s="17" t="n"/>
      <c r="D72" s="10" t="n"/>
      <c r="E72" s="10" t="n"/>
      <c r="F72" s="17" t="n"/>
      <c r="G72" s="19" t="n"/>
      <c r="H72" s="16" t="n"/>
      <c r="I72" s="16" t="n"/>
      <c r="J72" s="16" t="n"/>
      <c r="K72" s="26" t="n"/>
      <c r="L72" s="26" t="n"/>
      <c r="M72" s="16" t="n"/>
      <c r="N72" s="9" t="n"/>
      <c r="O72" s="16" t="n"/>
      <c r="P72" s="16" t="n"/>
      <c r="Q72" s="24" t="n"/>
      <c r="R72" s="17" t="n"/>
      <c r="S72" s="17" t="n"/>
      <c r="T72" s="27" t="n"/>
      <c r="U72" s="27" t="n"/>
      <c r="V72" s="10" t="n"/>
    </row>
    <row r="73">
      <c r="A73" s="16" t="n"/>
      <c r="B73" s="17" t="n"/>
      <c r="C73" s="17" t="n"/>
      <c r="D73" s="10" t="n"/>
      <c r="E73" s="10" t="n"/>
      <c r="F73" s="17" t="n"/>
      <c r="G73" s="19" t="n"/>
      <c r="H73" s="16" t="n"/>
      <c r="I73" s="16" t="n"/>
      <c r="J73" s="16" t="n"/>
      <c r="K73" s="26" t="n"/>
      <c r="L73" s="26" t="n"/>
      <c r="M73" s="16" t="n"/>
      <c r="N73" s="9" t="n"/>
      <c r="O73" s="16" t="n"/>
      <c r="P73" s="16" t="n"/>
      <c r="Q73" s="24" t="n"/>
      <c r="R73" s="17" t="n"/>
      <c r="S73" s="17" t="n"/>
      <c r="T73" s="27" t="n"/>
      <c r="U73" s="27" t="n"/>
      <c r="V73" s="10" t="n"/>
    </row>
    <row r="74">
      <c r="A74" s="16" t="n"/>
      <c r="B74" s="17" t="n"/>
      <c r="C74" s="17" t="n"/>
      <c r="D74" s="10" t="n"/>
      <c r="E74" s="10" t="n"/>
      <c r="F74" s="17" t="n"/>
      <c r="G74" s="19" t="n"/>
      <c r="H74" s="16" t="n"/>
      <c r="I74" s="16" t="n"/>
      <c r="J74" s="16" t="n"/>
      <c r="K74" s="26" t="n"/>
      <c r="L74" s="26" t="n"/>
      <c r="M74" s="16" t="n"/>
      <c r="N74" s="9" t="n"/>
      <c r="O74" s="16" t="n"/>
      <c r="P74" s="16" t="n"/>
      <c r="Q74" s="24" t="n"/>
      <c r="R74" s="17" t="n"/>
      <c r="S74" s="17" t="n"/>
      <c r="T74" s="27" t="n"/>
      <c r="U74" s="27" t="n"/>
      <c r="V74" s="10" t="n"/>
    </row>
    <row r="75">
      <c r="A75" s="16" t="n"/>
      <c r="B75" s="17" t="n"/>
      <c r="C75" s="17" t="n"/>
      <c r="D75" s="10" t="n"/>
      <c r="E75" s="10" t="n"/>
      <c r="F75" s="17" t="n"/>
      <c r="G75" s="19" t="n"/>
      <c r="H75" s="16" t="n"/>
      <c r="I75" s="16" t="n"/>
      <c r="J75" s="16" t="n"/>
      <c r="K75" s="26" t="n"/>
      <c r="L75" s="26" t="n"/>
      <c r="M75" s="16" t="n"/>
      <c r="N75" s="9" t="n"/>
      <c r="O75" s="16" t="n"/>
      <c r="P75" s="16" t="n"/>
      <c r="Q75" s="24" t="n"/>
      <c r="R75" s="17" t="n"/>
      <c r="S75" s="17" t="n"/>
      <c r="T75" s="27" t="n"/>
      <c r="U75" s="27" t="n"/>
      <c r="V75" s="10" t="n"/>
    </row>
    <row r="76">
      <c r="A76" s="16" t="n"/>
      <c r="B76" s="17" t="n"/>
      <c r="C76" s="17" t="n"/>
      <c r="D76" s="10" t="n"/>
      <c r="E76" s="10" t="n"/>
      <c r="F76" s="17" t="n"/>
      <c r="G76" s="19" t="n"/>
      <c r="H76" s="16" t="n"/>
      <c r="I76" s="16" t="n"/>
      <c r="J76" s="16" t="n"/>
      <c r="K76" s="26" t="n"/>
      <c r="L76" s="26" t="n"/>
      <c r="M76" s="16" t="n"/>
      <c r="N76" s="9" t="n"/>
      <c r="O76" s="16" t="n"/>
      <c r="P76" s="16" t="n"/>
      <c r="Q76" s="24" t="n"/>
      <c r="R76" s="17" t="n"/>
      <c r="S76" s="17" t="n"/>
      <c r="T76" s="27" t="n"/>
      <c r="U76" s="27" t="n"/>
      <c r="V76" s="10" t="n"/>
    </row>
    <row r="77">
      <c r="A77" s="16" t="n"/>
      <c r="B77" s="17" t="n"/>
      <c r="C77" s="17" t="n"/>
      <c r="D77" s="10" t="n"/>
      <c r="E77" s="10" t="n"/>
      <c r="F77" s="17" t="n"/>
      <c r="G77" s="19" t="n"/>
      <c r="H77" s="16" t="n"/>
      <c r="I77" s="16" t="n"/>
      <c r="J77" s="16" t="n"/>
      <c r="K77" s="26" t="n"/>
      <c r="L77" s="26" t="n"/>
      <c r="M77" s="16" t="n"/>
      <c r="N77" s="9" t="n"/>
      <c r="O77" s="16" t="n"/>
      <c r="P77" s="16" t="n"/>
      <c r="Q77" s="24" t="n"/>
      <c r="R77" s="17" t="n"/>
      <c r="S77" s="17" t="n"/>
      <c r="T77" s="27" t="n"/>
      <c r="U77" s="27" t="n"/>
      <c r="V77" s="10" t="n"/>
    </row>
    <row r="78">
      <c r="A78" s="16" t="n"/>
      <c r="B78" s="17" t="n"/>
      <c r="C78" s="17" t="n"/>
      <c r="D78" s="10" t="n"/>
      <c r="E78" s="10" t="n"/>
      <c r="F78" s="17" t="n"/>
      <c r="G78" s="19" t="n"/>
      <c r="H78" s="16" t="n"/>
      <c r="I78" s="16" t="n"/>
      <c r="J78" s="16" t="n"/>
      <c r="K78" s="26" t="n"/>
      <c r="L78" s="26" t="n"/>
      <c r="M78" s="16" t="n"/>
      <c r="N78" s="9" t="n"/>
      <c r="O78" s="16" t="n"/>
      <c r="P78" s="16" t="n"/>
      <c r="Q78" s="24" t="n"/>
      <c r="R78" s="17" t="n"/>
      <c r="S78" s="17" t="n"/>
      <c r="T78" s="27" t="n"/>
      <c r="U78" s="27" t="n"/>
      <c r="V78" s="10" t="n"/>
    </row>
    <row r="79">
      <c r="A79" s="16" t="n"/>
      <c r="B79" s="17" t="n"/>
      <c r="C79" s="17" t="n"/>
      <c r="D79" s="10" t="n"/>
      <c r="E79" s="10" t="n"/>
      <c r="F79" s="17" t="n"/>
      <c r="G79" s="19" t="n"/>
      <c r="H79" s="16" t="n"/>
      <c r="I79" s="16" t="n"/>
      <c r="J79" s="16" t="n"/>
      <c r="K79" s="26" t="n"/>
      <c r="L79" s="26" t="n"/>
      <c r="M79" s="16" t="n"/>
      <c r="N79" s="9" t="n"/>
      <c r="O79" s="16" t="n"/>
      <c r="P79" s="16" t="n"/>
      <c r="Q79" s="24" t="n"/>
      <c r="R79" s="17" t="n"/>
      <c r="S79" s="17" t="n"/>
      <c r="T79" s="27" t="n"/>
      <c r="U79" s="27" t="n"/>
      <c r="V79" s="10" t="n"/>
    </row>
    <row r="80">
      <c r="A80" s="16" t="n"/>
      <c r="B80" s="17" t="n"/>
      <c r="C80" s="17" t="n"/>
      <c r="D80" s="10" t="n"/>
      <c r="E80" s="10" t="n"/>
      <c r="F80" s="17" t="n"/>
      <c r="G80" s="19" t="n"/>
      <c r="H80" s="16" t="n"/>
      <c r="I80" s="16" t="n"/>
      <c r="J80" s="16" t="n"/>
      <c r="K80" s="26" t="n"/>
      <c r="L80" s="26" t="n"/>
      <c r="M80" s="16" t="n"/>
      <c r="N80" s="9" t="n"/>
      <c r="O80" s="16" t="n"/>
      <c r="P80" s="16" t="n"/>
      <c r="Q80" s="24" t="n"/>
      <c r="R80" s="17" t="n"/>
      <c r="S80" s="17" t="n"/>
      <c r="T80" s="27" t="n"/>
      <c r="U80" s="27" t="n"/>
      <c r="V80" s="10" t="n"/>
    </row>
    <row r="81">
      <c r="A81" s="16" t="n"/>
      <c r="B81" s="17" t="n"/>
      <c r="C81" s="17" t="n"/>
      <c r="D81" s="10" t="n"/>
      <c r="E81" s="10" t="n"/>
      <c r="F81" s="17" t="n"/>
      <c r="G81" s="19" t="n"/>
      <c r="H81" s="16" t="n"/>
      <c r="I81" s="16" t="n"/>
      <c r="J81" s="16" t="n"/>
      <c r="K81" s="26" t="n"/>
      <c r="L81" s="26" t="n"/>
      <c r="M81" s="16" t="n"/>
      <c r="N81" s="9" t="n"/>
      <c r="O81" s="16" t="n"/>
      <c r="P81" s="16" t="n"/>
      <c r="Q81" s="24" t="n"/>
      <c r="R81" s="17" t="n"/>
      <c r="S81" s="17" t="n"/>
      <c r="T81" s="27" t="n"/>
      <c r="U81" s="27" t="n"/>
      <c r="V81" s="10" t="n"/>
    </row>
    <row r="82">
      <c r="A82" s="16" t="n"/>
      <c r="B82" s="17" t="n"/>
      <c r="C82" s="17" t="n"/>
      <c r="D82" s="10" t="n"/>
      <c r="E82" s="10" t="n"/>
      <c r="F82" s="17" t="n"/>
      <c r="G82" s="19" t="n"/>
      <c r="H82" s="16" t="n"/>
      <c r="I82" s="16" t="n"/>
      <c r="J82" s="16" t="n"/>
      <c r="K82" s="26" t="n"/>
      <c r="L82" s="26" t="n"/>
      <c r="M82" s="16" t="n"/>
      <c r="N82" s="9" t="n"/>
      <c r="O82" s="16" t="n"/>
      <c r="P82" s="16" t="n"/>
      <c r="Q82" s="24" t="n"/>
      <c r="R82" s="17" t="n"/>
      <c r="S82" s="17" t="n"/>
      <c r="T82" s="27" t="n"/>
      <c r="U82" s="27" t="n"/>
      <c r="V82" s="10" t="n"/>
    </row>
    <row r="83">
      <c r="A83" s="16" t="n"/>
      <c r="B83" s="17" t="n"/>
      <c r="C83" s="17" t="n"/>
      <c r="D83" s="10" t="n"/>
      <c r="E83" s="10" t="n"/>
      <c r="F83" s="17" t="n"/>
      <c r="G83" s="19" t="n"/>
      <c r="H83" s="16" t="n"/>
      <c r="I83" s="16" t="n"/>
      <c r="J83" s="16" t="n"/>
      <c r="K83" s="26" t="n"/>
      <c r="L83" s="26" t="n"/>
      <c r="M83" s="16" t="n"/>
      <c r="N83" s="9" t="n"/>
      <c r="O83" s="16" t="n"/>
      <c r="P83" s="16" t="n"/>
      <c r="Q83" s="24" t="n"/>
      <c r="R83" s="17" t="n"/>
      <c r="S83" s="17" t="n"/>
      <c r="T83" s="27" t="n"/>
      <c r="U83" s="27" t="n"/>
      <c r="V83" s="10" t="n"/>
    </row>
    <row r="84">
      <c r="A84" s="16" t="n"/>
      <c r="B84" s="17" t="n"/>
      <c r="C84" s="17" t="n"/>
      <c r="D84" s="10" t="n"/>
      <c r="E84" s="10" t="n"/>
      <c r="F84" s="17" t="n"/>
      <c r="G84" s="19" t="n"/>
      <c r="H84" s="16" t="n"/>
      <c r="I84" s="16" t="n"/>
      <c r="J84" s="16" t="n"/>
      <c r="K84" s="26" t="n"/>
      <c r="L84" s="26" t="n"/>
      <c r="M84" s="16" t="n"/>
      <c r="N84" s="9" t="n"/>
      <c r="O84" s="16" t="n"/>
      <c r="P84" s="16" t="n"/>
      <c r="Q84" s="24" t="n"/>
      <c r="R84" s="17" t="n"/>
      <c r="S84" s="17" t="n"/>
      <c r="T84" s="27" t="n"/>
      <c r="U84" s="27" t="n"/>
      <c r="V84" s="10" t="n"/>
    </row>
    <row r="85">
      <c r="A85" s="16" t="n"/>
      <c r="B85" s="17" t="n"/>
      <c r="C85" s="17" t="n"/>
      <c r="D85" s="10" t="n"/>
      <c r="E85" s="10" t="n"/>
      <c r="F85" s="17" t="n"/>
      <c r="G85" s="19" t="n"/>
      <c r="H85" s="16" t="n"/>
      <c r="I85" s="16" t="n"/>
      <c r="J85" s="16" t="n"/>
      <c r="K85" s="26" t="n"/>
      <c r="L85" s="26" t="n"/>
      <c r="M85" s="16" t="n"/>
      <c r="N85" s="9" t="n"/>
      <c r="O85" s="16" t="n"/>
      <c r="P85" s="16" t="n"/>
      <c r="Q85" s="24" t="n"/>
      <c r="R85" s="17" t="n"/>
      <c r="S85" s="17" t="n"/>
      <c r="T85" s="27" t="n"/>
      <c r="U85" s="27" t="n"/>
      <c r="V85" s="10" t="n"/>
    </row>
    <row r="86">
      <c r="A86" s="16" t="n"/>
      <c r="B86" s="17" t="n"/>
      <c r="C86" s="17" t="n"/>
      <c r="D86" s="10" t="n"/>
      <c r="E86" s="10" t="n"/>
      <c r="F86" s="17" t="n"/>
      <c r="G86" s="19" t="n"/>
      <c r="H86" s="16" t="n"/>
      <c r="I86" s="16" t="n"/>
      <c r="J86" s="16" t="n"/>
      <c r="K86" s="26" t="n"/>
      <c r="L86" s="26" t="n"/>
      <c r="M86" s="16" t="n"/>
      <c r="N86" s="9" t="n"/>
      <c r="O86" s="16" t="n"/>
      <c r="P86" s="16" t="n"/>
      <c r="Q86" s="24" t="n"/>
      <c r="R86" s="17" t="n"/>
      <c r="S86" s="17" t="n"/>
      <c r="T86" s="27" t="n"/>
      <c r="U86" s="27" t="n"/>
      <c r="V86" s="10" t="n"/>
    </row>
    <row r="87">
      <c r="A87" s="16" t="n"/>
      <c r="B87" s="17" t="n"/>
      <c r="C87" s="17" t="n"/>
      <c r="D87" s="10" t="n"/>
      <c r="E87" s="10" t="n"/>
      <c r="F87" s="17" t="n"/>
      <c r="G87" s="19" t="n"/>
      <c r="H87" s="16" t="n"/>
      <c r="I87" s="16" t="n"/>
      <c r="J87" s="16" t="n"/>
      <c r="K87" s="26" t="n"/>
      <c r="L87" s="26" t="n"/>
      <c r="M87" s="16" t="n"/>
      <c r="N87" s="9" t="n"/>
      <c r="O87" s="16" t="n"/>
      <c r="P87" s="16" t="n"/>
      <c r="Q87" s="24" t="n"/>
      <c r="R87" s="17" t="n"/>
      <c r="S87" s="17" t="n"/>
      <c r="T87" s="27" t="n"/>
      <c r="U87" s="27" t="n"/>
      <c r="V87" s="10" t="n"/>
    </row>
    <row r="88">
      <c r="A88" s="16" t="n"/>
      <c r="B88" s="17" t="n"/>
      <c r="C88" s="17" t="n"/>
      <c r="D88" s="10" t="n"/>
      <c r="E88" s="10" t="n"/>
      <c r="F88" s="17" t="n"/>
      <c r="G88" s="19" t="n"/>
      <c r="H88" s="16" t="n"/>
      <c r="I88" s="16" t="n"/>
      <c r="J88" s="16" t="n"/>
      <c r="K88" s="26" t="n"/>
      <c r="L88" s="26" t="n"/>
      <c r="M88" s="16" t="n"/>
      <c r="N88" s="9" t="n"/>
      <c r="O88" s="16" t="n"/>
      <c r="P88" s="16" t="n"/>
      <c r="Q88" s="24" t="n"/>
      <c r="R88" s="17" t="n"/>
      <c r="S88" s="17" t="n"/>
      <c r="T88" s="27" t="n"/>
      <c r="U88" s="27" t="n"/>
      <c r="V88" s="10" t="n"/>
    </row>
    <row r="89">
      <c r="A89" s="16" t="n"/>
      <c r="B89" s="17" t="n"/>
      <c r="C89" s="17" t="n"/>
      <c r="D89" s="10" t="n"/>
      <c r="E89" s="10" t="n"/>
      <c r="F89" s="17" t="n"/>
      <c r="G89" s="19" t="n"/>
      <c r="H89" s="16" t="n"/>
      <c r="I89" s="16" t="n"/>
      <c r="J89" s="16" t="n"/>
      <c r="K89" s="26" t="n"/>
      <c r="L89" s="26" t="n"/>
      <c r="M89" s="16" t="n"/>
      <c r="N89" s="9" t="n"/>
      <c r="O89" s="16" t="n"/>
      <c r="P89" s="16" t="n"/>
      <c r="Q89" s="24" t="n"/>
      <c r="R89" s="17" t="n"/>
      <c r="S89" s="17" t="n"/>
      <c r="T89" s="27" t="n"/>
      <c r="U89" s="27" t="n"/>
      <c r="V89" s="10" t="n"/>
    </row>
    <row r="90">
      <c r="A90" s="16" t="n"/>
      <c r="B90" s="17" t="n"/>
      <c r="C90" s="17" t="n"/>
      <c r="D90" s="10" t="n"/>
      <c r="E90" s="10" t="n"/>
      <c r="F90" s="17" t="n"/>
      <c r="G90" s="19" t="n"/>
      <c r="H90" s="16" t="n"/>
      <c r="I90" s="16" t="n"/>
      <c r="J90" s="16" t="n"/>
      <c r="K90" s="26" t="n"/>
      <c r="L90" s="26" t="n"/>
      <c r="M90" s="16" t="n"/>
      <c r="N90" s="9" t="n"/>
      <c r="O90" s="16" t="n"/>
      <c r="P90" s="16" t="n"/>
      <c r="Q90" s="24" t="n"/>
      <c r="R90" s="17" t="n"/>
      <c r="S90" s="17" t="n"/>
      <c r="T90" s="27" t="n"/>
      <c r="U90" s="27" t="n"/>
      <c r="V90" s="10" t="n"/>
    </row>
    <row r="91">
      <c r="A91" s="16" t="n"/>
      <c r="B91" s="17" t="n"/>
      <c r="C91" s="17" t="n"/>
      <c r="D91" s="10" t="n"/>
      <c r="E91" s="10" t="n"/>
      <c r="F91" s="17" t="n"/>
      <c r="G91" s="19" t="n"/>
      <c r="H91" s="16" t="n"/>
      <c r="I91" s="16" t="n"/>
      <c r="J91" s="16" t="n"/>
      <c r="K91" s="26" t="n"/>
      <c r="L91" s="26" t="n"/>
      <c r="M91" s="16" t="n"/>
      <c r="N91" s="9" t="n"/>
      <c r="O91" s="16" t="n"/>
      <c r="P91" s="16" t="n"/>
      <c r="Q91" s="24" t="n"/>
      <c r="R91" s="17" t="n"/>
      <c r="S91" s="17" t="n"/>
      <c r="T91" s="27" t="n"/>
      <c r="U91" s="27" t="n"/>
      <c r="V91" s="10" t="n"/>
    </row>
    <row r="92">
      <c r="A92" s="16" t="n"/>
      <c r="B92" s="17" t="n"/>
      <c r="C92" s="17" t="n"/>
      <c r="D92" s="10" t="n"/>
      <c r="E92" s="10" t="n"/>
      <c r="F92" s="17" t="n"/>
      <c r="G92" s="19" t="n"/>
      <c r="H92" s="16" t="n"/>
      <c r="I92" s="16" t="n"/>
      <c r="J92" s="16" t="n"/>
      <c r="K92" s="26" t="n"/>
      <c r="L92" s="26" t="n"/>
      <c r="M92" s="16" t="n"/>
      <c r="N92" s="9" t="n"/>
      <c r="O92" s="16" t="n"/>
      <c r="P92" s="16" t="n"/>
      <c r="Q92" s="24" t="n"/>
      <c r="R92" s="17" t="n"/>
      <c r="S92" s="17" t="n"/>
      <c r="T92" s="27" t="n"/>
      <c r="U92" s="27" t="n"/>
      <c r="V92" s="10" t="n"/>
    </row>
    <row r="93">
      <c r="A93" s="16" t="n"/>
      <c r="B93" s="17" t="n"/>
      <c r="C93" s="17" t="n"/>
      <c r="D93" s="10" t="n"/>
      <c r="E93" s="10" t="n"/>
      <c r="F93" s="17" t="n"/>
      <c r="G93" s="19" t="n"/>
      <c r="H93" s="16" t="n"/>
      <c r="I93" s="16" t="n"/>
      <c r="J93" s="16" t="n"/>
      <c r="K93" s="26" t="n"/>
      <c r="L93" s="26" t="n"/>
      <c r="M93" s="16" t="n"/>
      <c r="N93" s="9" t="n"/>
      <c r="O93" s="16" t="n"/>
      <c r="P93" s="16" t="n"/>
      <c r="Q93" s="24" t="n"/>
      <c r="R93" s="17" t="n"/>
      <c r="S93" s="17" t="n"/>
      <c r="T93" s="27" t="n"/>
      <c r="U93" s="27" t="n"/>
      <c r="V93" s="10" t="n"/>
    </row>
    <row r="94">
      <c r="A94" s="16" t="n"/>
      <c r="B94" s="17" t="n"/>
      <c r="C94" s="17" t="n"/>
      <c r="D94" s="10" t="n"/>
      <c r="E94" s="10" t="n"/>
      <c r="F94" s="17" t="n"/>
      <c r="G94" s="19" t="n"/>
      <c r="H94" s="16" t="n"/>
      <c r="I94" s="16" t="n"/>
      <c r="J94" s="16" t="n"/>
      <c r="K94" s="26" t="n"/>
      <c r="L94" s="26" t="n"/>
      <c r="M94" s="16" t="n"/>
      <c r="N94" s="9" t="n"/>
      <c r="O94" s="16" t="n"/>
      <c r="P94" s="16" t="n"/>
      <c r="Q94" s="24" t="n"/>
      <c r="R94" s="17" t="n"/>
      <c r="S94" s="17" t="n"/>
      <c r="T94" s="27" t="n"/>
      <c r="U94" s="27" t="n"/>
      <c r="V94" s="10" t="n"/>
    </row>
    <row r="95">
      <c r="A95" s="16" t="n"/>
      <c r="B95" s="17" t="n"/>
      <c r="C95" s="17" t="n"/>
      <c r="D95" s="10" t="n"/>
      <c r="E95" s="10" t="n"/>
      <c r="F95" s="17" t="n"/>
      <c r="G95" s="19" t="n"/>
      <c r="H95" s="16" t="n"/>
      <c r="I95" s="16" t="n"/>
      <c r="J95" s="16" t="n"/>
      <c r="K95" s="26" t="n"/>
      <c r="L95" s="26" t="n"/>
      <c r="M95" s="16" t="n"/>
      <c r="N95" s="9" t="n"/>
      <c r="O95" s="16" t="n"/>
      <c r="P95" s="16" t="n"/>
      <c r="Q95" s="24" t="n"/>
      <c r="R95" s="17" t="n"/>
      <c r="S95" s="17" t="n"/>
      <c r="T95" s="27" t="n"/>
      <c r="U95" s="27" t="n"/>
      <c r="V95" s="10" t="n"/>
    </row>
    <row r="96">
      <c r="A96" s="16" t="n"/>
      <c r="B96" s="17" t="n"/>
      <c r="C96" s="17" t="n"/>
      <c r="D96" s="10" t="n"/>
      <c r="E96" s="10" t="n"/>
      <c r="F96" s="17" t="n"/>
      <c r="G96" s="19" t="n"/>
      <c r="H96" s="16" t="n"/>
      <c r="I96" s="16" t="n"/>
      <c r="J96" s="16" t="n"/>
      <c r="K96" s="26" t="n"/>
      <c r="L96" s="26" t="n"/>
      <c r="M96" s="16" t="n"/>
      <c r="N96" s="9" t="n"/>
      <c r="O96" s="16" t="n"/>
      <c r="P96" s="16" t="n"/>
      <c r="Q96" s="24" t="n"/>
      <c r="R96" s="17" t="n"/>
      <c r="S96" s="17" t="n"/>
      <c r="T96" s="27" t="n"/>
      <c r="U96" s="27" t="n"/>
      <c r="V96" s="10" t="n"/>
    </row>
    <row r="97">
      <c r="A97" s="16" t="n"/>
      <c r="B97" s="17" t="n"/>
      <c r="C97" s="17" t="n"/>
      <c r="D97" s="10" t="n"/>
      <c r="E97" s="10" t="n"/>
      <c r="F97" s="17" t="n"/>
      <c r="G97" s="19" t="n"/>
      <c r="H97" s="16" t="n"/>
      <c r="I97" s="16" t="n"/>
      <c r="J97" s="16" t="n"/>
      <c r="K97" s="26" t="n"/>
      <c r="L97" s="26" t="n"/>
      <c r="M97" s="16" t="n"/>
      <c r="N97" s="9" t="n"/>
      <c r="O97" s="16" t="n"/>
      <c r="P97" s="16" t="n"/>
      <c r="Q97" s="24" t="n"/>
      <c r="R97" s="17" t="n"/>
      <c r="S97" s="17" t="n"/>
      <c r="T97" s="27" t="n"/>
      <c r="U97" s="27" t="n"/>
      <c r="V97" s="10" t="n"/>
    </row>
    <row r="98">
      <c r="A98" s="16" t="n"/>
      <c r="B98" s="17" t="n"/>
      <c r="C98" s="17" t="n"/>
      <c r="D98" s="10" t="n"/>
      <c r="E98" s="10" t="n"/>
      <c r="F98" s="17" t="n"/>
      <c r="G98" s="19" t="n"/>
      <c r="H98" s="16" t="n"/>
      <c r="I98" s="16" t="n"/>
      <c r="J98" s="16" t="n"/>
      <c r="K98" s="26" t="n"/>
      <c r="L98" s="26" t="n"/>
      <c r="M98" s="16" t="n"/>
      <c r="N98" s="9" t="n"/>
      <c r="O98" s="16" t="n"/>
      <c r="P98" s="16" t="n"/>
      <c r="Q98" s="24" t="n"/>
      <c r="R98" s="17" t="n"/>
      <c r="S98" s="17" t="n"/>
      <c r="T98" s="27" t="n"/>
      <c r="U98" s="27" t="n"/>
      <c r="V98" s="10" t="n"/>
    </row>
    <row r="99">
      <c r="A99" s="16" t="n"/>
      <c r="B99" s="17" t="n"/>
      <c r="C99" s="17" t="n"/>
      <c r="D99" s="10" t="n"/>
      <c r="E99" s="10" t="n"/>
      <c r="F99" s="17" t="n"/>
      <c r="G99" s="19" t="n"/>
      <c r="H99" s="16" t="n"/>
      <c r="I99" s="16" t="n"/>
      <c r="J99" s="16" t="n"/>
      <c r="K99" s="26" t="n"/>
      <c r="L99" s="26" t="n"/>
      <c r="M99" s="16" t="n"/>
      <c r="N99" s="9" t="n"/>
      <c r="O99" s="16" t="n"/>
      <c r="P99" s="16" t="n"/>
      <c r="Q99" s="24" t="n"/>
      <c r="R99" s="17" t="n"/>
      <c r="S99" s="17" t="n"/>
      <c r="T99" s="27" t="n"/>
      <c r="U99" s="27" t="n"/>
      <c r="V99" s="10" t="n"/>
    </row>
    <row r="100">
      <c r="A100" s="16" t="n"/>
      <c r="B100" s="17" t="n"/>
      <c r="C100" s="17" t="n"/>
      <c r="D100" s="10" t="n"/>
      <c r="E100" s="10" t="n"/>
      <c r="F100" s="17" t="n"/>
      <c r="G100" s="19" t="n"/>
      <c r="H100" s="16" t="n"/>
      <c r="I100" s="16" t="n"/>
      <c r="J100" s="16" t="n"/>
      <c r="K100" s="26" t="n"/>
      <c r="L100" s="26" t="n"/>
      <c r="M100" s="16" t="n"/>
      <c r="N100" s="9" t="n"/>
      <c r="O100" s="16" t="n"/>
      <c r="P100" s="16" t="n"/>
      <c r="Q100" s="24" t="n"/>
      <c r="R100" s="17" t="n"/>
      <c r="S100" s="17" t="n"/>
      <c r="T100" s="27" t="n"/>
      <c r="U100" s="27" t="n"/>
      <c r="V100" s="10" t="n"/>
    </row>
    <row r="101">
      <c r="A101" s="16" t="n"/>
      <c r="B101" s="17" t="n"/>
      <c r="C101" s="17" t="n"/>
      <c r="D101" s="10" t="n"/>
      <c r="E101" s="10" t="n"/>
      <c r="F101" s="17" t="n"/>
      <c r="G101" s="19" t="n"/>
      <c r="H101" s="16" t="n"/>
      <c r="I101" s="16" t="n"/>
      <c r="J101" s="16" t="n"/>
      <c r="K101" s="26" t="n"/>
      <c r="L101" s="26" t="n"/>
      <c r="M101" s="16" t="n"/>
      <c r="N101" s="9" t="n"/>
      <c r="O101" s="16" t="n"/>
      <c r="P101" s="16" t="n"/>
      <c r="Q101" s="24" t="n"/>
      <c r="R101" s="17" t="n"/>
      <c r="S101" s="17" t="n"/>
      <c r="T101" s="27" t="n"/>
      <c r="U101" s="27" t="n"/>
      <c r="V101" s="10" t="n"/>
    </row>
    <row r="102">
      <c r="A102" s="16" t="n"/>
      <c r="B102" s="17" t="n"/>
      <c r="C102" s="17" t="n"/>
      <c r="D102" s="10" t="n"/>
      <c r="E102" s="10" t="n"/>
      <c r="F102" s="17" t="n"/>
      <c r="G102" s="19" t="n"/>
      <c r="H102" s="16" t="n"/>
      <c r="I102" s="16" t="n"/>
      <c r="J102" s="16" t="n"/>
      <c r="K102" s="26" t="n"/>
      <c r="L102" s="26" t="n"/>
      <c r="M102" s="16" t="n"/>
      <c r="N102" s="9" t="n"/>
      <c r="O102" s="16" t="n"/>
      <c r="P102" s="16" t="n"/>
      <c r="Q102" s="24" t="n"/>
      <c r="R102" s="17" t="n"/>
      <c r="S102" s="17" t="n"/>
      <c r="T102" s="27" t="n"/>
      <c r="U102" s="27" t="n"/>
      <c r="V102" s="10" t="n"/>
    </row>
    <row r="103">
      <c r="A103" s="16" t="n"/>
      <c r="B103" s="17" t="n"/>
      <c r="C103" s="17" t="n"/>
      <c r="D103" s="10" t="n"/>
      <c r="E103" s="10" t="n"/>
      <c r="F103" s="17" t="n"/>
      <c r="G103" s="19" t="n"/>
      <c r="H103" s="16" t="n"/>
      <c r="I103" s="16" t="n"/>
      <c r="J103" s="16" t="n"/>
      <c r="K103" s="26" t="n"/>
      <c r="L103" s="26" t="n"/>
      <c r="M103" s="16" t="n"/>
      <c r="N103" s="9" t="n"/>
      <c r="O103" s="16" t="n"/>
      <c r="P103" s="16" t="n"/>
      <c r="Q103" s="24" t="n"/>
      <c r="R103" s="17" t="n"/>
      <c r="S103" s="17" t="n"/>
      <c r="T103" s="27" t="n"/>
      <c r="U103" s="27" t="n"/>
      <c r="V103" s="10" t="n"/>
    </row>
    <row r="104">
      <c r="A104" s="16" t="n"/>
      <c r="B104" s="17" t="n"/>
      <c r="C104" s="17" t="n"/>
      <c r="D104" s="10" t="n"/>
      <c r="E104" s="10" t="n"/>
      <c r="F104" s="17" t="n"/>
      <c r="G104" s="19" t="n"/>
      <c r="H104" s="16" t="n"/>
      <c r="I104" s="16" t="n"/>
      <c r="J104" s="16" t="n"/>
      <c r="K104" s="26" t="n"/>
      <c r="L104" s="26" t="n"/>
      <c r="M104" s="16" t="n"/>
      <c r="N104" s="9" t="n"/>
      <c r="O104" s="16" t="n"/>
      <c r="P104" s="16" t="n"/>
      <c r="Q104" s="24" t="n"/>
      <c r="R104" s="17" t="n"/>
      <c r="S104" s="17" t="n"/>
      <c r="T104" s="27" t="n"/>
      <c r="U104" s="27" t="n"/>
      <c r="V104" s="10" t="n"/>
    </row>
    <row r="105">
      <c r="A105" s="16" t="n"/>
      <c r="B105" s="17" t="n"/>
      <c r="C105" s="17" t="n"/>
      <c r="D105" s="10" t="n"/>
      <c r="E105" s="10" t="n"/>
      <c r="F105" s="17" t="n"/>
      <c r="G105" s="19" t="n"/>
      <c r="H105" s="16" t="n"/>
      <c r="I105" s="16" t="n"/>
      <c r="J105" s="16" t="n"/>
      <c r="K105" s="26" t="n"/>
      <c r="L105" s="26" t="n"/>
      <c r="M105" s="16" t="n"/>
      <c r="N105" s="9" t="n"/>
      <c r="O105" s="16" t="n"/>
      <c r="P105" s="16" t="n"/>
      <c r="Q105" s="24" t="n"/>
      <c r="R105" s="17" t="n"/>
      <c r="S105" s="17" t="n"/>
      <c r="T105" s="27" t="n"/>
      <c r="U105" s="27" t="n"/>
      <c r="V105" s="10" t="n"/>
    </row>
    <row r="106">
      <c r="A106" s="16" t="n"/>
      <c r="B106" s="17" t="n"/>
      <c r="C106" s="17" t="n"/>
      <c r="D106" s="10" t="n"/>
      <c r="E106" s="10" t="n"/>
      <c r="F106" s="17" t="n"/>
      <c r="G106" s="19" t="n"/>
      <c r="H106" s="16" t="n"/>
      <c r="I106" s="16" t="n"/>
      <c r="J106" s="16" t="n"/>
      <c r="K106" s="26" t="n"/>
      <c r="L106" s="26" t="n"/>
      <c r="M106" s="16" t="n"/>
      <c r="N106" s="9" t="n"/>
      <c r="O106" s="16" t="n"/>
      <c r="P106" s="16" t="n"/>
      <c r="Q106" s="24" t="n"/>
      <c r="R106" s="17" t="n"/>
      <c r="S106" s="17" t="n"/>
      <c r="T106" s="27" t="n"/>
      <c r="U106" s="27" t="n"/>
      <c r="V106" s="10" t="n"/>
    </row>
    <row r="107">
      <c r="A107" s="16" t="n"/>
      <c r="B107" s="17" t="n"/>
      <c r="C107" s="17" t="n"/>
      <c r="D107" s="10" t="n"/>
      <c r="E107" s="10" t="n"/>
      <c r="F107" s="17" t="n"/>
      <c r="G107" s="19" t="n"/>
      <c r="H107" s="16" t="n"/>
      <c r="I107" s="16" t="n"/>
      <c r="J107" s="16" t="n"/>
      <c r="K107" s="26" t="n"/>
      <c r="L107" s="26" t="n"/>
      <c r="M107" s="16" t="n"/>
      <c r="N107" s="9" t="n"/>
      <c r="O107" s="16" t="n"/>
      <c r="P107" s="16" t="n"/>
      <c r="Q107" s="24" t="n"/>
      <c r="R107" s="17" t="n"/>
      <c r="S107" s="17" t="n"/>
      <c r="T107" s="27" t="n"/>
      <c r="U107" s="27" t="n"/>
      <c r="V107" s="10" t="n"/>
    </row>
    <row r="108">
      <c r="A108" s="16" t="n"/>
      <c r="B108" s="17" t="n"/>
      <c r="C108" s="17" t="n"/>
      <c r="D108" s="10" t="n"/>
      <c r="E108" s="10" t="n"/>
      <c r="F108" s="17" t="n"/>
      <c r="G108" s="19" t="n"/>
      <c r="H108" s="16" t="n"/>
      <c r="I108" s="16" t="n"/>
      <c r="J108" s="16" t="n"/>
      <c r="K108" s="26" t="n"/>
      <c r="L108" s="26" t="n"/>
      <c r="M108" s="16" t="n"/>
      <c r="N108" s="9" t="n"/>
      <c r="O108" s="16" t="n"/>
      <c r="P108" s="16" t="n"/>
      <c r="Q108" s="24" t="n"/>
      <c r="R108" s="17" t="n"/>
      <c r="S108" s="17" t="n"/>
      <c r="T108" s="27" t="n"/>
      <c r="U108" s="27" t="n"/>
      <c r="V108" s="10" t="n"/>
    </row>
    <row r="109">
      <c r="A109" s="16" t="n"/>
      <c r="B109" s="17" t="n"/>
      <c r="C109" s="17" t="n"/>
      <c r="D109" s="10" t="n"/>
      <c r="E109" s="10" t="n"/>
      <c r="F109" s="17" t="n"/>
      <c r="G109" s="19" t="n"/>
      <c r="H109" s="16" t="n"/>
      <c r="I109" s="16" t="n"/>
      <c r="J109" s="16" t="n"/>
      <c r="K109" s="26" t="n"/>
      <c r="L109" s="26" t="n"/>
      <c r="M109" s="16" t="n"/>
      <c r="N109" s="9" t="n"/>
      <c r="O109" s="16" t="n"/>
      <c r="P109" s="16" t="n"/>
      <c r="Q109" s="24" t="n"/>
      <c r="R109" s="17" t="n"/>
      <c r="S109" s="17" t="n"/>
      <c r="T109" s="27" t="n"/>
      <c r="U109" s="27" t="n"/>
      <c r="V109" s="10" t="n"/>
    </row>
    <row r="110">
      <c r="A110" s="16" t="n"/>
      <c r="B110" s="17" t="n"/>
      <c r="C110" s="17" t="n"/>
      <c r="D110" s="10" t="n"/>
      <c r="E110" s="10" t="n"/>
      <c r="F110" s="17" t="n"/>
      <c r="G110" s="19" t="n"/>
      <c r="H110" s="16" t="n"/>
      <c r="I110" s="16" t="n"/>
      <c r="J110" s="16" t="n"/>
      <c r="K110" s="26" t="n"/>
      <c r="L110" s="26" t="n"/>
      <c r="M110" s="16" t="n"/>
      <c r="N110" s="9" t="n"/>
      <c r="O110" s="16" t="n"/>
      <c r="P110" s="16" t="n"/>
      <c r="Q110" s="24" t="n"/>
      <c r="R110" s="17" t="n"/>
      <c r="S110" s="17" t="n"/>
      <c r="T110" s="27" t="n"/>
      <c r="U110" s="27" t="n"/>
      <c r="V110" s="10" t="n"/>
    </row>
    <row r="111">
      <c r="A111" s="16" t="n"/>
      <c r="B111" s="17" t="n"/>
      <c r="C111" s="17" t="n"/>
      <c r="D111" s="10" t="n"/>
      <c r="E111" s="10" t="n"/>
      <c r="F111" s="17" t="n"/>
      <c r="G111" s="19" t="n"/>
      <c r="H111" s="16" t="n"/>
      <c r="I111" s="16" t="n"/>
      <c r="J111" s="16" t="n"/>
      <c r="K111" s="26" t="n"/>
      <c r="L111" s="26" t="n"/>
      <c r="M111" s="16" t="n"/>
      <c r="N111" s="9" t="n"/>
      <c r="O111" s="16" t="n"/>
      <c r="P111" s="16" t="n"/>
      <c r="Q111" s="24" t="n"/>
      <c r="R111" s="17" t="n"/>
      <c r="S111" s="17" t="n"/>
      <c r="T111" s="27" t="n"/>
      <c r="U111" s="27" t="n"/>
      <c r="V111" s="10" t="n"/>
    </row>
    <row r="112">
      <c r="A112" s="16" t="n"/>
      <c r="B112" s="17" t="n"/>
      <c r="C112" s="17" t="n"/>
      <c r="D112" s="10" t="n"/>
      <c r="E112" s="10" t="n"/>
      <c r="F112" s="17" t="n"/>
      <c r="G112" s="19" t="n"/>
      <c r="H112" s="16" t="n"/>
      <c r="I112" s="16" t="n"/>
      <c r="J112" s="16" t="n"/>
      <c r="K112" s="26" t="n"/>
      <c r="L112" s="26" t="n"/>
      <c r="M112" s="16" t="n"/>
      <c r="N112" s="9" t="n"/>
      <c r="O112" s="16" t="n"/>
      <c r="P112" s="16" t="n"/>
      <c r="Q112" s="24" t="n"/>
      <c r="R112" s="17" t="n"/>
      <c r="S112" s="17" t="n"/>
      <c r="T112" s="27" t="n"/>
      <c r="U112" s="27" t="n"/>
      <c r="V112" s="10" t="n"/>
    </row>
    <row r="113">
      <c r="A113" s="16" t="n"/>
      <c r="B113" s="17" t="n"/>
      <c r="C113" s="17" t="n"/>
      <c r="D113" s="10" t="n"/>
      <c r="E113" s="10" t="n"/>
      <c r="F113" s="17" t="n"/>
      <c r="G113" s="19" t="n"/>
      <c r="H113" s="16" t="n"/>
      <c r="I113" s="16" t="n"/>
      <c r="J113" s="16" t="n"/>
      <c r="K113" s="26" t="n"/>
      <c r="L113" s="26" t="n"/>
      <c r="M113" s="16" t="n"/>
      <c r="N113" s="9" t="n"/>
      <c r="O113" s="16" t="n"/>
      <c r="P113" s="16" t="n"/>
      <c r="Q113" s="24" t="n"/>
      <c r="R113" s="17" t="n"/>
      <c r="S113" s="17" t="n"/>
      <c r="T113" s="27" t="n"/>
      <c r="U113" s="27" t="n"/>
      <c r="V113" s="10" t="n"/>
    </row>
    <row r="114">
      <c r="A114" s="16" t="n"/>
      <c r="B114" s="17" t="n"/>
      <c r="C114" s="17" t="n"/>
      <c r="D114" s="10" t="n"/>
      <c r="E114" s="10" t="n"/>
      <c r="F114" s="17" t="n"/>
      <c r="G114" s="19" t="n"/>
      <c r="H114" s="16" t="n"/>
      <c r="I114" s="16" t="n"/>
      <c r="J114" s="16" t="n"/>
      <c r="K114" s="26" t="n"/>
      <c r="L114" s="26" t="n"/>
      <c r="M114" s="16" t="n"/>
      <c r="N114" s="9" t="n"/>
      <c r="O114" s="16" t="n"/>
      <c r="P114" s="16" t="n"/>
      <c r="Q114" s="24" t="n"/>
      <c r="R114" s="17" t="n"/>
      <c r="S114" s="17" t="n"/>
      <c r="T114" s="27" t="n"/>
      <c r="U114" s="27" t="n"/>
      <c r="V114" s="10" t="n"/>
    </row>
    <row r="115">
      <c r="A115" s="16" t="n"/>
      <c r="B115" s="17" t="n"/>
      <c r="C115" s="17" t="n"/>
      <c r="D115" s="10" t="n"/>
      <c r="E115" s="10" t="n"/>
      <c r="F115" s="17" t="n"/>
      <c r="G115" s="19" t="n"/>
      <c r="H115" s="16" t="n"/>
      <c r="I115" s="16" t="n"/>
      <c r="J115" s="16" t="n"/>
      <c r="K115" s="26" t="n"/>
      <c r="L115" s="26" t="n"/>
      <c r="M115" s="16" t="n"/>
      <c r="N115" s="9" t="n"/>
      <c r="O115" s="16" t="n"/>
      <c r="P115" s="16" t="n"/>
      <c r="Q115" s="24" t="n"/>
      <c r="R115" s="17" t="n"/>
      <c r="S115" s="17" t="n"/>
      <c r="T115" s="27" t="n"/>
      <c r="U115" s="27" t="n"/>
      <c r="V115" s="10" t="n"/>
    </row>
    <row r="116">
      <c r="A116" s="16" t="n"/>
      <c r="B116" s="17" t="n"/>
      <c r="C116" s="17" t="n"/>
      <c r="D116" s="10" t="n"/>
      <c r="E116" s="10" t="n"/>
      <c r="F116" s="17" t="n"/>
      <c r="G116" s="19" t="n"/>
      <c r="H116" s="16" t="n"/>
      <c r="I116" s="16" t="n"/>
      <c r="J116" s="16" t="n"/>
      <c r="K116" s="26" t="n"/>
      <c r="L116" s="26" t="n"/>
      <c r="M116" s="16" t="n"/>
      <c r="N116" s="9" t="n"/>
      <c r="O116" s="16" t="n"/>
      <c r="P116" s="16" t="n"/>
      <c r="Q116" s="24" t="n"/>
      <c r="R116" s="17" t="n"/>
      <c r="S116" s="17" t="n"/>
      <c r="T116" s="27" t="n"/>
      <c r="U116" s="27" t="n"/>
      <c r="V116" s="10" t="n"/>
    </row>
    <row r="117">
      <c r="A117" s="16" t="n"/>
      <c r="B117" s="17" t="n"/>
      <c r="C117" s="17" t="n"/>
      <c r="D117" s="10" t="n"/>
      <c r="E117" s="10" t="n"/>
      <c r="F117" s="17" t="n"/>
      <c r="G117" s="19" t="n"/>
      <c r="H117" s="16" t="n"/>
      <c r="I117" s="16" t="n"/>
      <c r="J117" s="16" t="n"/>
      <c r="K117" s="26" t="n"/>
      <c r="L117" s="26" t="n"/>
      <c r="M117" s="16" t="n"/>
      <c r="N117" s="9" t="n"/>
      <c r="O117" s="16" t="n"/>
      <c r="P117" s="16" t="n"/>
      <c r="Q117" s="24" t="n"/>
      <c r="R117" s="17" t="n"/>
      <c r="S117" s="17" t="n"/>
      <c r="T117" s="27" t="n"/>
      <c r="U117" s="27" t="n"/>
      <c r="V117" s="10" t="n"/>
    </row>
    <row r="118">
      <c r="A118" s="16" t="n"/>
      <c r="B118" s="17" t="n"/>
      <c r="C118" s="17" t="n"/>
      <c r="D118" s="10" t="n"/>
      <c r="E118" s="10" t="n"/>
      <c r="F118" s="17" t="n"/>
      <c r="G118" s="19" t="n"/>
      <c r="H118" s="16" t="n"/>
      <c r="I118" s="16" t="n"/>
      <c r="J118" s="16" t="n"/>
      <c r="K118" s="26" t="n"/>
      <c r="L118" s="26" t="n"/>
      <c r="M118" s="16" t="n"/>
      <c r="N118" s="9" t="n"/>
      <c r="O118" s="16" t="n"/>
      <c r="P118" s="16" t="n"/>
      <c r="Q118" s="24" t="n"/>
      <c r="R118" s="17" t="n"/>
      <c r="S118" s="17" t="n"/>
      <c r="T118" s="27" t="n"/>
      <c r="U118" s="27" t="n"/>
      <c r="V118" s="10" t="n"/>
    </row>
    <row r="119">
      <c r="A119" s="16" t="n"/>
      <c r="B119" s="17" t="n"/>
      <c r="C119" s="17" t="n"/>
      <c r="D119" s="10" t="n"/>
      <c r="E119" s="10" t="n"/>
      <c r="F119" s="17" t="n"/>
      <c r="G119" s="19" t="n"/>
      <c r="H119" s="16" t="n"/>
      <c r="I119" s="16" t="n"/>
      <c r="J119" s="16" t="n"/>
      <c r="K119" s="26" t="n"/>
      <c r="L119" s="26" t="n"/>
      <c r="M119" s="16" t="n"/>
      <c r="N119" s="9" t="n"/>
      <c r="O119" s="16" t="n"/>
      <c r="P119" s="16" t="n"/>
      <c r="Q119" s="24" t="n"/>
      <c r="R119" s="17" t="n"/>
      <c r="S119" s="17" t="n"/>
      <c r="T119" s="27" t="n"/>
      <c r="U119" s="27" t="n"/>
      <c r="V119" s="10" t="n"/>
    </row>
    <row r="120">
      <c r="A120" s="16" t="n"/>
      <c r="B120" s="17" t="n"/>
      <c r="C120" s="17" t="n"/>
      <c r="D120" s="10" t="n"/>
      <c r="E120" s="10" t="n"/>
      <c r="F120" s="17" t="n"/>
      <c r="G120" s="19" t="n"/>
      <c r="H120" s="16" t="n"/>
      <c r="I120" s="16" t="n"/>
      <c r="J120" s="16" t="n"/>
      <c r="K120" s="26" t="n"/>
      <c r="L120" s="26" t="n"/>
      <c r="M120" s="16" t="n"/>
      <c r="N120" s="9" t="n"/>
      <c r="O120" s="16" t="n"/>
      <c r="P120" s="16" t="n"/>
      <c r="Q120" s="24" t="n"/>
      <c r="R120" s="17" t="n"/>
      <c r="S120" s="17" t="n"/>
      <c r="T120" s="27" t="n"/>
      <c r="U120" s="27" t="n"/>
      <c r="V120" s="10" t="n"/>
    </row>
    <row r="121">
      <c r="A121" s="16" t="n"/>
      <c r="B121" s="17" t="n"/>
      <c r="C121" s="17" t="n"/>
      <c r="D121" s="10" t="n"/>
      <c r="E121" s="10" t="n"/>
      <c r="F121" s="17" t="n"/>
      <c r="G121" s="19" t="n"/>
      <c r="H121" s="16" t="n"/>
      <c r="I121" s="16" t="n"/>
      <c r="J121" s="16" t="n"/>
      <c r="K121" s="26" t="n"/>
      <c r="L121" s="26" t="n"/>
      <c r="M121" s="16" t="n"/>
      <c r="N121" s="9" t="n"/>
      <c r="O121" s="16" t="n"/>
      <c r="P121" s="16" t="n"/>
      <c r="Q121" s="24" t="n"/>
      <c r="R121" s="17" t="n"/>
      <c r="S121" s="17" t="n"/>
      <c r="T121" s="27" t="n"/>
      <c r="U121" s="27" t="n"/>
      <c r="V121" s="10" t="n"/>
    </row>
    <row r="122">
      <c r="A122" s="16" t="n"/>
      <c r="B122" s="17" t="n"/>
      <c r="C122" s="17" t="n"/>
      <c r="D122" s="10" t="n"/>
      <c r="E122" s="10" t="n"/>
      <c r="F122" s="17" t="n"/>
      <c r="G122" s="19" t="n"/>
      <c r="H122" s="16" t="n"/>
      <c r="I122" s="16" t="n"/>
      <c r="J122" s="16" t="n"/>
      <c r="K122" s="26" t="n"/>
      <c r="L122" s="26" t="n"/>
      <c r="M122" s="16" t="n"/>
      <c r="N122" s="9" t="n"/>
      <c r="O122" s="16" t="n"/>
      <c r="P122" s="16" t="n"/>
      <c r="Q122" s="24" t="n"/>
      <c r="R122" s="17" t="n"/>
      <c r="S122" s="17" t="n"/>
      <c r="T122" s="27" t="n"/>
      <c r="U122" s="27" t="n"/>
      <c r="V122" s="10" t="n"/>
    </row>
    <row r="123">
      <c r="A123" s="16" t="n"/>
      <c r="B123" s="17" t="n"/>
      <c r="C123" s="17" t="n"/>
      <c r="D123" s="10" t="n"/>
      <c r="E123" s="10" t="n"/>
      <c r="F123" s="17" t="n"/>
      <c r="G123" s="19" t="n"/>
      <c r="H123" s="16" t="n"/>
      <c r="I123" s="16" t="n"/>
      <c r="J123" s="16" t="n"/>
      <c r="K123" s="26" t="n"/>
      <c r="L123" s="26" t="n"/>
      <c r="M123" s="16" t="n"/>
      <c r="N123" s="9" t="n"/>
      <c r="O123" s="16" t="n"/>
      <c r="P123" s="16" t="n"/>
      <c r="Q123" s="24" t="n"/>
      <c r="R123" s="17" t="n"/>
      <c r="S123" s="17" t="n"/>
      <c r="T123" s="27" t="n"/>
      <c r="U123" s="27" t="n"/>
      <c r="V123" s="10" t="n"/>
    </row>
    <row r="124">
      <c r="A124" s="16" t="n"/>
      <c r="B124" s="17" t="n"/>
      <c r="C124" s="17" t="n"/>
      <c r="D124" s="10" t="n"/>
      <c r="E124" s="10" t="n"/>
      <c r="F124" s="17" t="n"/>
      <c r="G124" s="19" t="n"/>
      <c r="H124" s="16" t="n"/>
      <c r="I124" s="16" t="n"/>
      <c r="J124" s="16" t="n"/>
      <c r="K124" s="26" t="n"/>
      <c r="L124" s="26" t="n"/>
      <c r="M124" s="16" t="n"/>
      <c r="N124" s="9" t="n"/>
      <c r="O124" s="16" t="n"/>
      <c r="P124" s="16" t="n"/>
      <c r="Q124" s="24" t="n"/>
      <c r="R124" s="17" t="n"/>
      <c r="S124" s="17" t="n"/>
      <c r="T124" s="27" t="n"/>
      <c r="U124" s="27" t="n"/>
      <c r="V124" s="10" t="n"/>
    </row>
    <row r="125">
      <c r="A125" s="16" t="n"/>
      <c r="B125" s="17" t="n"/>
      <c r="C125" s="17" t="n"/>
      <c r="D125" s="10" t="n"/>
      <c r="E125" s="10" t="n"/>
      <c r="F125" s="17" t="n"/>
      <c r="G125" s="19" t="n"/>
      <c r="H125" s="16" t="n"/>
      <c r="I125" s="16" t="n"/>
      <c r="J125" s="16" t="n"/>
      <c r="K125" s="26" t="n"/>
      <c r="L125" s="26" t="n"/>
      <c r="M125" s="16" t="n"/>
      <c r="N125" s="9" t="n"/>
      <c r="O125" s="16" t="n"/>
      <c r="P125" s="16" t="n"/>
      <c r="Q125" s="24" t="n"/>
      <c r="R125" s="17" t="n"/>
      <c r="S125" s="17" t="n"/>
      <c r="T125" s="27" t="n"/>
      <c r="U125" s="27" t="n"/>
      <c r="V125" s="10" t="n"/>
    </row>
    <row r="126">
      <c r="A126" s="16" t="n"/>
      <c r="B126" s="17" t="n"/>
      <c r="C126" s="17" t="n"/>
      <c r="D126" s="10" t="n"/>
      <c r="E126" s="10" t="n"/>
      <c r="F126" s="17" t="n"/>
      <c r="G126" s="19" t="n"/>
      <c r="H126" s="16" t="n"/>
      <c r="I126" s="16" t="n"/>
      <c r="J126" s="16" t="n"/>
      <c r="K126" s="26" t="n"/>
      <c r="L126" s="26" t="n"/>
      <c r="M126" s="16" t="n"/>
      <c r="N126" s="9" t="n"/>
      <c r="O126" s="16" t="n"/>
      <c r="P126" s="16" t="n"/>
      <c r="Q126" s="24" t="n"/>
      <c r="R126" s="17" t="n"/>
      <c r="S126" s="17" t="n"/>
      <c r="T126" s="27" t="n"/>
      <c r="U126" s="27" t="n"/>
      <c r="V126" s="10" t="n"/>
    </row>
    <row r="127">
      <c r="A127" s="16" t="n"/>
      <c r="B127" s="17" t="n"/>
      <c r="C127" s="17" t="n"/>
      <c r="D127" s="10" t="n"/>
      <c r="E127" s="10" t="n"/>
      <c r="F127" s="17" t="n"/>
      <c r="G127" s="19" t="n"/>
      <c r="H127" s="16" t="n"/>
      <c r="I127" s="16" t="n"/>
      <c r="J127" s="16" t="n"/>
      <c r="K127" s="26" t="n"/>
      <c r="L127" s="26" t="n"/>
      <c r="M127" s="16" t="n"/>
      <c r="N127" s="9" t="n"/>
      <c r="O127" s="16" t="n"/>
      <c r="P127" s="16" t="n"/>
      <c r="Q127" s="24" t="n"/>
      <c r="R127" s="17" t="n"/>
      <c r="S127" s="17" t="n"/>
      <c r="T127" s="27" t="n"/>
      <c r="U127" s="27" t="n"/>
      <c r="V127" s="10" t="n"/>
    </row>
    <row r="128">
      <c r="A128" s="16" t="n"/>
      <c r="B128" s="17" t="n"/>
      <c r="C128" s="17" t="n"/>
      <c r="D128" s="10" t="n"/>
      <c r="E128" s="10" t="n"/>
      <c r="F128" s="17" t="n"/>
      <c r="G128" s="19" t="n"/>
      <c r="H128" s="16" t="n"/>
      <c r="I128" s="16" t="n"/>
      <c r="J128" s="16" t="n"/>
      <c r="K128" s="26" t="n"/>
      <c r="L128" s="26" t="n"/>
      <c r="M128" s="16" t="n"/>
      <c r="N128" s="9" t="n"/>
      <c r="O128" s="16" t="n"/>
      <c r="P128" s="16" t="n"/>
      <c r="Q128" s="24" t="n"/>
      <c r="R128" s="17" t="n"/>
      <c r="S128" s="17" t="n"/>
      <c r="T128" s="27" t="n"/>
      <c r="U128" s="27" t="n"/>
      <c r="V128" s="10" t="n"/>
    </row>
    <row r="129">
      <c r="A129" s="16" t="n"/>
      <c r="B129" s="17" t="n"/>
      <c r="C129" s="17" t="n"/>
      <c r="D129" s="10" t="n"/>
      <c r="E129" s="10" t="n"/>
      <c r="F129" s="17" t="n"/>
      <c r="G129" s="19" t="n"/>
      <c r="H129" s="16" t="n"/>
      <c r="I129" s="16" t="n"/>
      <c r="J129" s="16" t="n"/>
      <c r="K129" s="26" t="n"/>
      <c r="L129" s="26" t="n"/>
      <c r="M129" s="16" t="n"/>
      <c r="N129" s="9" t="n"/>
      <c r="O129" s="16" t="n"/>
      <c r="P129" s="16" t="n"/>
      <c r="Q129" s="24" t="n"/>
      <c r="R129" s="17" t="n"/>
      <c r="S129" s="17" t="n"/>
      <c r="T129" s="27" t="n"/>
      <c r="U129" s="27" t="n"/>
      <c r="V129" s="10" t="n"/>
    </row>
    <row r="130">
      <c r="A130" s="16" t="n"/>
      <c r="B130" s="17" t="n"/>
      <c r="C130" s="17" t="n"/>
      <c r="D130" s="10" t="n"/>
      <c r="E130" s="10" t="n"/>
      <c r="F130" s="17" t="n"/>
      <c r="G130" s="19" t="n"/>
      <c r="H130" s="16" t="n"/>
      <c r="I130" s="16" t="n"/>
      <c r="J130" s="16" t="n"/>
      <c r="K130" s="26" t="n"/>
      <c r="L130" s="26" t="n"/>
      <c r="M130" s="16" t="n"/>
      <c r="N130" s="9" t="n"/>
      <c r="O130" s="16" t="n"/>
      <c r="P130" s="16" t="n"/>
      <c r="Q130" s="24" t="n"/>
      <c r="R130" s="17" t="n"/>
      <c r="S130" s="17" t="n"/>
      <c r="T130" s="27" t="n"/>
      <c r="U130" s="27" t="n"/>
      <c r="V130" s="10" t="n"/>
    </row>
    <row r="131">
      <c r="A131" s="16" t="n"/>
      <c r="B131" s="17" t="n"/>
      <c r="C131" s="17" t="n"/>
      <c r="D131" s="10" t="n"/>
      <c r="E131" s="10" t="n"/>
      <c r="F131" s="17" t="n"/>
      <c r="G131" s="19" t="n"/>
      <c r="H131" s="16" t="n"/>
      <c r="I131" s="16" t="n"/>
      <c r="J131" s="16" t="n"/>
      <c r="K131" s="26" t="n"/>
      <c r="L131" s="26" t="n"/>
      <c r="M131" s="16" t="n"/>
      <c r="N131" s="9" t="n"/>
      <c r="O131" s="16" t="n"/>
      <c r="P131" s="16" t="n"/>
      <c r="Q131" s="24" t="n"/>
      <c r="R131" s="17" t="n"/>
      <c r="S131" s="17" t="n"/>
      <c r="T131" s="27" t="n"/>
      <c r="U131" s="27" t="n"/>
      <c r="V131" s="10" t="n"/>
    </row>
    <row r="132">
      <c r="A132" s="16" t="n"/>
      <c r="B132" s="17" t="n"/>
      <c r="C132" s="17" t="n"/>
      <c r="D132" s="10" t="n"/>
      <c r="E132" s="10" t="n"/>
      <c r="F132" s="17" t="n"/>
      <c r="G132" s="19" t="n"/>
      <c r="H132" s="16" t="n"/>
      <c r="I132" s="16" t="n"/>
      <c r="J132" s="16" t="n"/>
      <c r="K132" s="26" t="n"/>
      <c r="L132" s="26" t="n"/>
      <c r="M132" s="16" t="n"/>
      <c r="N132" s="9" t="n"/>
      <c r="O132" s="16" t="n"/>
      <c r="P132" s="16" t="n"/>
      <c r="Q132" s="24" t="n"/>
      <c r="R132" s="17" t="n"/>
      <c r="S132" s="17" t="n"/>
      <c r="T132" s="27" t="n"/>
      <c r="U132" s="27" t="n"/>
      <c r="V132" s="10" t="n"/>
    </row>
    <row r="133">
      <c r="A133" s="16" t="n"/>
      <c r="B133" s="17" t="n"/>
      <c r="C133" s="17" t="n"/>
      <c r="D133" s="10" t="n"/>
      <c r="E133" s="10" t="n"/>
      <c r="F133" s="17" t="n"/>
      <c r="G133" s="19" t="n"/>
      <c r="H133" s="16" t="n"/>
      <c r="I133" s="16" t="n"/>
      <c r="J133" s="16" t="n"/>
      <c r="K133" s="26" t="n"/>
      <c r="L133" s="26" t="n"/>
      <c r="M133" s="16" t="n"/>
      <c r="N133" s="9" t="n"/>
      <c r="O133" s="16" t="n"/>
      <c r="P133" s="16" t="n"/>
      <c r="Q133" s="24" t="n"/>
      <c r="R133" s="17" t="n"/>
      <c r="S133" s="17" t="n"/>
      <c r="T133" s="27" t="n"/>
      <c r="U133" s="27" t="n"/>
      <c r="V133" s="10" t="n"/>
    </row>
    <row r="134">
      <c r="A134" s="16" t="n"/>
      <c r="B134" s="17" t="n"/>
      <c r="C134" s="17" t="n"/>
      <c r="D134" s="10" t="n"/>
      <c r="E134" s="10" t="n"/>
      <c r="F134" s="17" t="n"/>
      <c r="G134" s="19" t="n"/>
      <c r="H134" s="16" t="n"/>
      <c r="I134" s="16" t="n"/>
      <c r="J134" s="16" t="n"/>
      <c r="K134" s="26" t="n"/>
      <c r="L134" s="26" t="n"/>
      <c r="M134" s="16" t="n"/>
      <c r="N134" s="9" t="n"/>
      <c r="O134" s="16" t="n"/>
      <c r="P134" s="16" t="n"/>
      <c r="Q134" s="24" t="n"/>
      <c r="R134" s="17" t="n"/>
      <c r="S134" s="17" t="n"/>
      <c r="T134" s="27" t="n"/>
      <c r="U134" s="27" t="n"/>
      <c r="V134" s="10" t="n"/>
    </row>
    <row r="135">
      <c r="A135" s="16" t="n"/>
      <c r="B135" s="17" t="n"/>
      <c r="C135" s="17" t="n"/>
      <c r="D135" s="10" t="n"/>
      <c r="E135" s="10" t="n"/>
      <c r="F135" s="17" t="n"/>
      <c r="G135" s="19" t="n"/>
      <c r="H135" s="16" t="n"/>
      <c r="I135" s="16" t="n"/>
      <c r="J135" s="16" t="n"/>
      <c r="K135" s="26" t="n"/>
      <c r="L135" s="26" t="n"/>
      <c r="M135" s="16" t="n"/>
      <c r="N135" s="9" t="n"/>
      <c r="O135" s="16" t="n"/>
      <c r="P135" s="16" t="n"/>
      <c r="Q135" s="24" t="n"/>
      <c r="R135" s="17" t="n"/>
      <c r="S135" s="17" t="n"/>
      <c r="T135" s="27" t="n"/>
      <c r="U135" s="27" t="n"/>
      <c r="V135" s="10" t="n"/>
    </row>
    <row r="136">
      <c r="A136" s="16" t="n"/>
      <c r="B136" s="17" t="n"/>
      <c r="C136" s="17" t="n"/>
      <c r="D136" s="10" t="n"/>
      <c r="E136" s="10" t="n"/>
      <c r="F136" s="17" t="n"/>
      <c r="G136" s="19" t="n"/>
      <c r="H136" s="16" t="n"/>
      <c r="I136" s="16" t="n"/>
      <c r="J136" s="16" t="n"/>
      <c r="K136" s="26" t="n"/>
      <c r="L136" s="26" t="n"/>
      <c r="M136" s="16" t="n"/>
      <c r="N136" s="9" t="n"/>
      <c r="O136" s="16" t="n"/>
      <c r="P136" s="16" t="n"/>
      <c r="Q136" s="24" t="n"/>
      <c r="R136" s="17" t="n"/>
      <c r="S136" s="17" t="n"/>
      <c r="T136" s="27" t="n"/>
      <c r="U136" s="27" t="n"/>
      <c r="V136" s="10" t="n"/>
    </row>
    <row r="137">
      <c r="A137" s="16" t="n"/>
      <c r="B137" s="17" t="n"/>
      <c r="C137" s="17" t="n"/>
      <c r="D137" s="10" t="n"/>
      <c r="E137" s="10" t="n"/>
      <c r="F137" s="17" t="n"/>
      <c r="G137" s="19" t="n"/>
      <c r="H137" s="16" t="n"/>
      <c r="I137" s="16" t="n"/>
      <c r="J137" s="16" t="n"/>
      <c r="K137" s="26" t="n"/>
      <c r="L137" s="26" t="n"/>
      <c r="M137" s="16" t="n"/>
      <c r="N137" s="9" t="n"/>
      <c r="O137" s="16" t="n"/>
      <c r="P137" s="16" t="n"/>
      <c r="Q137" s="24" t="n"/>
      <c r="R137" s="17" t="n"/>
      <c r="S137" s="17" t="n"/>
      <c r="T137" s="27" t="n"/>
      <c r="U137" s="27" t="n"/>
      <c r="V137" s="10" t="n"/>
    </row>
    <row r="138">
      <c r="A138" s="16" t="n"/>
      <c r="B138" s="17" t="n"/>
      <c r="C138" s="17" t="n"/>
      <c r="D138" s="10" t="n"/>
      <c r="E138" s="10" t="n"/>
      <c r="F138" s="17" t="n"/>
      <c r="G138" s="19" t="n"/>
      <c r="H138" s="16" t="n"/>
      <c r="I138" s="16" t="n"/>
      <c r="J138" s="16" t="n"/>
      <c r="K138" s="26" t="n"/>
      <c r="L138" s="26" t="n"/>
      <c r="M138" s="16" t="n"/>
      <c r="N138" s="9" t="n"/>
      <c r="O138" s="16" t="n"/>
      <c r="P138" s="16" t="n"/>
      <c r="Q138" s="24" t="n"/>
      <c r="R138" s="17" t="n"/>
      <c r="S138" s="17" t="n"/>
      <c r="T138" s="27" t="n"/>
      <c r="U138" s="27" t="n"/>
      <c r="V138" s="10" t="n"/>
    </row>
    <row r="139">
      <c r="A139" s="16" t="n"/>
      <c r="B139" s="17" t="n"/>
      <c r="C139" s="17" t="n"/>
      <c r="D139" s="10" t="n"/>
      <c r="E139" s="10" t="n"/>
      <c r="F139" s="17" t="n"/>
      <c r="G139" s="19" t="n"/>
      <c r="H139" s="16" t="n"/>
      <c r="I139" s="16" t="n"/>
      <c r="J139" s="16" t="n"/>
      <c r="K139" s="26" t="n"/>
      <c r="L139" s="26" t="n"/>
      <c r="M139" s="16" t="n"/>
      <c r="N139" s="9" t="n"/>
      <c r="O139" s="16" t="n"/>
      <c r="P139" s="16" t="n"/>
      <c r="Q139" s="24" t="n"/>
      <c r="R139" s="17" t="n"/>
      <c r="S139" s="17" t="n"/>
      <c r="T139" s="27" t="n"/>
      <c r="U139" s="27" t="n"/>
      <c r="V139" s="10" t="n"/>
    </row>
    <row r="140">
      <c r="A140" s="16" t="n"/>
      <c r="B140" s="17" t="n"/>
      <c r="C140" s="17" t="n"/>
      <c r="D140" s="10" t="n"/>
      <c r="E140" s="10" t="n"/>
      <c r="F140" s="17" t="n"/>
      <c r="G140" s="19" t="n"/>
      <c r="H140" s="16" t="n"/>
      <c r="I140" s="16" t="n"/>
      <c r="J140" s="16" t="n"/>
      <c r="K140" s="26" t="n"/>
      <c r="L140" s="26" t="n"/>
      <c r="M140" s="16" t="n"/>
      <c r="N140" s="9" t="n"/>
      <c r="O140" s="16" t="n"/>
      <c r="P140" s="16" t="n"/>
      <c r="Q140" s="24" t="n"/>
      <c r="R140" s="17" t="n"/>
      <c r="S140" s="17" t="n"/>
      <c r="T140" s="27" t="n"/>
      <c r="U140" s="27" t="n"/>
      <c r="V140" s="10" t="n"/>
    </row>
    <row r="141">
      <c r="A141" s="16" t="n"/>
      <c r="B141" s="17" t="n"/>
      <c r="C141" s="17" t="n"/>
      <c r="D141" s="10" t="n"/>
      <c r="E141" s="10" t="n"/>
      <c r="F141" s="17" t="n"/>
      <c r="G141" s="19" t="n"/>
      <c r="H141" s="16" t="n"/>
      <c r="I141" s="16" t="n"/>
      <c r="J141" s="16" t="n"/>
      <c r="K141" s="26" t="n"/>
      <c r="L141" s="26" t="n"/>
      <c r="M141" s="16" t="n"/>
      <c r="N141" s="9" t="n"/>
      <c r="O141" s="16" t="n"/>
      <c r="P141" s="16" t="n"/>
      <c r="Q141" s="24" t="n"/>
      <c r="R141" s="17" t="n"/>
      <c r="S141" s="17" t="n"/>
      <c r="T141" s="27" t="n"/>
      <c r="U141" s="27" t="n"/>
      <c r="V141" s="10" t="n"/>
    </row>
    <row r="142">
      <c r="A142" s="16" t="n"/>
      <c r="B142" s="17" t="n"/>
      <c r="C142" s="17" t="n"/>
      <c r="D142" s="10" t="n"/>
      <c r="E142" s="10" t="n"/>
      <c r="F142" s="17" t="n"/>
      <c r="G142" s="19" t="n"/>
      <c r="H142" s="16" t="n"/>
      <c r="I142" s="16" t="n"/>
      <c r="J142" s="16" t="n"/>
      <c r="K142" s="26" t="n"/>
      <c r="L142" s="26" t="n"/>
      <c r="M142" s="16" t="n"/>
      <c r="N142" s="9" t="n"/>
      <c r="O142" s="16" t="n"/>
      <c r="P142" s="16" t="n"/>
      <c r="Q142" s="24" t="n"/>
      <c r="R142" s="17" t="n"/>
      <c r="S142" s="17" t="n"/>
      <c r="T142" s="27" t="n"/>
      <c r="U142" s="27" t="n"/>
      <c r="V142" s="10" t="n"/>
    </row>
    <row r="143">
      <c r="A143" s="16" t="n"/>
      <c r="B143" s="17" t="n"/>
      <c r="C143" s="17" t="n"/>
      <c r="D143" s="10" t="n"/>
      <c r="E143" s="10" t="n"/>
      <c r="F143" s="17" t="n"/>
      <c r="G143" s="19" t="n"/>
      <c r="H143" s="16" t="n"/>
      <c r="I143" s="16" t="n"/>
      <c r="J143" s="16" t="n"/>
      <c r="K143" s="26" t="n"/>
      <c r="L143" s="26" t="n"/>
      <c r="M143" s="16" t="n"/>
      <c r="N143" s="9" t="n"/>
      <c r="O143" s="16" t="n"/>
      <c r="P143" s="16" t="n"/>
      <c r="Q143" s="24" t="n"/>
      <c r="R143" s="17" t="n"/>
      <c r="S143" s="17" t="n"/>
      <c r="T143" s="27" t="n"/>
      <c r="U143" s="27" t="n"/>
      <c r="V143" s="10" t="n"/>
    </row>
    <row r="144">
      <c r="A144" s="16" t="n"/>
      <c r="B144" s="17" t="n"/>
      <c r="C144" s="17" t="n"/>
      <c r="D144" s="10" t="n"/>
      <c r="E144" s="10" t="n"/>
      <c r="F144" s="17" t="n"/>
      <c r="G144" s="19" t="n"/>
      <c r="H144" s="16" t="n"/>
      <c r="I144" s="16" t="n"/>
      <c r="J144" s="16" t="n"/>
      <c r="K144" s="26" t="n"/>
      <c r="L144" s="26" t="n"/>
      <c r="M144" s="16" t="n"/>
      <c r="N144" s="9" t="n"/>
      <c r="O144" s="16" t="n"/>
      <c r="P144" s="16" t="n"/>
      <c r="Q144" s="24" t="n"/>
      <c r="R144" s="17" t="n"/>
      <c r="S144" s="17" t="n"/>
      <c r="T144" s="27" t="n"/>
      <c r="U144" s="27" t="n"/>
      <c r="V144" s="10" t="n"/>
    </row>
    <row r="145">
      <c r="A145" s="16" t="n"/>
      <c r="B145" s="17" t="n"/>
      <c r="C145" s="17" t="n"/>
      <c r="D145" s="10" t="n"/>
      <c r="E145" s="10" t="n"/>
      <c r="F145" s="17" t="n"/>
      <c r="G145" s="19" t="n"/>
      <c r="H145" s="16" t="n"/>
      <c r="I145" s="16" t="n"/>
      <c r="J145" s="16" t="n"/>
      <c r="K145" s="26" t="n"/>
      <c r="L145" s="26" t="n"/>
      <c r="M145" s="16" t="n"/>
      <c r="N145" s="9" t="n"/>
      <c r="O145" s="16" t="n"/>
      <c r="P145" s="16" t="n"/>
      <c r="Q145" s="24" t="n"/>
      <c r="R145" s="17" t="n"/>
      <c r="S145" s="17" t="n"/>
      <c r="T145" s="27" t="n"/>
      <c r="U145" s="27" t="n"/>
      <c r="V145" s="10" t="n"/>
    </row>
    <row r="146">
      <c r="A146" s="16" t="n"/>
      <c r="B146" s="17" t="n"/>
      <c r="C146" s="17" t="n"/>
      <c r="D146" s="10" t="n"/>
      <c r="E146" s="10" t="n"/>
      <c r="F146" s="17" t="n"/>
      <c r="G146" s="19" t="n"/>
      <c r="H146" s="16" t="n"/>
      <c r="I146" s="16" t="n"/>
      <c r="J146" s="16" t="n"/>
      <c r="K146" s="26" t="n"/>
      <c r="L146" s="26" t="n"/>
      <c r="M146" s="16" t="n"/>
      <c r="N146" s="9" t="n"/>
      <c r="O146" s="16" t="n"/>
      <c r="P146" s="16" t="n"/>
      <c r="Q146" s="24" t="n"/>
      <c r="R146" s="17" t="n"/>
      <c r="S146" s="17" t="n"/>
      <c r="T146" s="27" t="n"/>
      <c r="U146" s="27" t="n"/>
      <c r="V146" s="10" t="n"/>
    </row>
    <row r="147">
      <c r="A147" s="16" t="n"/>
      <c r="B147" s="17" t="n"/>
      <c r="C147" s="17" t="n"/>
      <c r="D147" s="10" t="n"/>
      <c r="E147" s="10" t="n"/>
      <c r="F147" s="17" t="n"/>
      <c r="G147" s="19" t="n"/>
      <c r="H147" s="16" t="n"/>
      <c r="I147" s="16" t="n"/>
      <c r="J147" s="16" t="n"/>
      <c r="K147" s="26" t="n"/>
      <c r="L147" s="26" t="n"/>
      <c r="M147" s="16" t="n"/>
      <c r="N147" s="9" t="n"/>
      <c r="O147" s="16" t="n"/>
      <c r="P147" s="16" t="n"/>
      <c r="Q147" s="24" t="n"/>
      <c r="R147" s="17" t="n"/>
      <c r="S147" s="17" t="n"/>
      <c r="T147" s="27" t="n"/>
      <c r="U147" s="27" t="n"/>
      <c r="V147" s="10" t="n"/>
    </row>
    <row r="148">
      <c r="A148" s="16" t="n"/>
      <c r="B148" s="17" t="n"/>
      <c r="C148" s="17" t="n"/>
      <c r="D148" s="10" t="n"/>
      <c r="E148" s="10" t="n"/>
      <c r="F148" s="17" t="n"/>
      <c r="G148" s="19" t="n"/>
      <c r="H148" s="16" t="n"/>
      <c r="I148" s="16" t="n"/>
      <c r="J148" s="16" t="n"/>
      <c r="K148" s="26" t="n"/>
      <c r="L148" s="26" t="n"/>
      <c r="M148" s="16" t="n"/>
      <c r="N148" s="9" t="n"/>
      <c r="O148" s="16" t="n"/>
      <c r="P148" s="16" t="n"/>
      <c r="Q148" s="24" t="n"/>
      <c r="R148" s="17" t="n"/>
      <c r="S148" s="17" t="n"/>
      <c r="T148" s="27" t="n"/>
      <c r="U148" s="27" t="n"/>
      <c r="V148" s="10" t="n"/>
    </row>
    <row r="149">
      <c r="A149" s="16" t="n"/>
      <c r="B149" s="17" t="n"/>
      <c r="C149" s="17" t="n"/>
      <c r="D149" s="10" t="n"/>
      <c r="E149" s="10" t="n"/>
      <c r="F149" s="17" t="n"/>
      <c r="G149" s="19" t="n"/>
      <c r="H149" s="16" t="n"/>
      <c r="I149" s="16" t="n"/>
      <c r="J149" s="16" t="n"/>
      <c r="K149" s="26" t="n"/>
      <c r="L149" s="26" t="n"/>
      <c r="M149" s="16" t="n"/>
      <c r="N149" s="9" t="n"/>
      <c r="O149" s="16" t="n"/>
      <c r="P149" s="16" t="n"/>
      <c r="Q149" s="24" t="n"/>
      <c r="R149" s="17" t="n"/>
      <c r="S149" s="17" t="n"/>
      <c r="T149" s="27" t="n"/>
      <c r="U149" s="27" t="n"/>
      <c r="V149" s="10" t="n"/>
    </row>
    <row r="150">
      <c r="A150" s="16" t="n"/>
      <c r="B150" s="17" t="n"/>
      <c r="C150" s="17" t="n"/>
      <c r="D150" s="10" t="n"/>
      <c r="E150" s="10" t="n"/>
      <c r="F150" s="17" t="n"/>
      <c r="G150" s="19" t="n"/>
      <c r="H150" s="16" t="n"/>
      <c r="I150" s="16" t="n"/>
      <c r="J150" s="16" t="n"/>
      <c r="K150" s="26" t="n"/>
      <c r="L150" s="26" t="n"/>
      <c r="M150" s="16" t="n"/>
      <c r="N150" s="9" t="n"/>
      <c r="O150" s="16" t="n"/>
      <c r="P150" s="16" t="n"/>
      <c r="Q150" s="24" t="n"/>
      <c r="R150" s="17" t="n"/>
      <c r="S150" s="17" t="n"/>
      <c r="T150" s="27" t="n"/>
      <c r="U150" s="27" t="n"/>
      <c r="V150" s="10" t="n"/>
    </row>
    <row r="151">
      <c r="A151" s="16" t="n"/>
      <c r="B151" s="17" t="n"/>
      <c r="C151" s="17" t="n"/>
      <c r="D151" s="10" t="n"/>
      <c r="E151" s="10" t="n"/>
      <c r="F151" s="17" t="n"/>
      <c r="G151" s="19" t="n"/>
      <c r="H151" s="16" t="n"/>
      <c r="I151" s="16" t="n"/>
      <c r="J151" s="16" t="n"/>
      <c r="K151" s="26" t="n"/>
      <c r="L151" s="26" t="n"/>
      <c r="M151" s="16" t="n"/>
      <c r="N151" s="9" t="n"/>
      <c r="O151" s="16" t="n"/>
      <c r="P151" s="16" t="n"/>
      <c r="Q151" s="24" t="n"/>
      <c r="R151" s="17" t="n"/>
      <c r="S151" s="17" t="n"/>
      <c r="T151" s="27" t="n"/>
      <c r="U151" s="27" t="n"/>
      <c r="V151" s="10" t="n"/>
    </row>
    <row r="152">
      <c r="A152" s="16" t="n"/>
      <c r="B152" s="17" t="n"/>
      <c r="C152" s="17" t="n"/>
      <c r="D152" s="10" t="n"/>
      <c r="E152" s="10" t="n"/>
      <c r="F152" s="17" t="n"/>
      <c r="G152" s="19" t="n"/>
      <c r="H152" s="16" t="n"/>
      <c r="I152" s="16" t="n"/>
      <c r="J152" s="16" t="n"/>
      <c r="K152" s="26" t="n"/>
      <c r="L152" s="26" t="n"/>
      <c r="M152" s="16" t="n"/>
      <c r="N152" s="9" t="n"/>
      <c r="O152" s="16" t="n"/>
      <c r="P152" s="16" t="n"/>
      <c r="Q152" s="24" t="n"/>
      <c r="R152" s="17" t="n"/>
      <c r="S152" s="17" t="n"/>
      <c r="T152" s="27" t="n"/>
      <c r="U152" s="27" t="n"/>
      <c r="V152" s="10" t="n"/>
    </row>
    <row r="153">
      <c r="A153" s="16" t="n"/>
      <c r="B153" s="17" t="n"/>
      <c r="C153" s="17" t="n"/>
      <c r="D153" s="10" t="n"/>
      <c r="E153" s="10" t="n"/>
      <c r="F153" s="17" t="n"/>
      <c r="G153" s="19" t="n"/>
      <c r="H153" s="16" t="n"/>
      <c r="I153" s="16" t="n"/>
      <c r="J153" s="16" t="n"/>
      <c r="K153" s="26" t="n"/>
      <c r="L153" s="26" t="n"/>
      <c r="M153" s="16" t="n"/>
      <c r="N153" s="9" t="n"/>
      <c r="O153" s="16" t="n"/>
      <c r="P153" s="16" t="n"/>
      <c r="Q153" s="24" t="n"/>
      <c r="R153" s="17" t="n"/>
      <c r="S153" s="17" t="n"/>
      <c r="T153" s="27" t="n"/>
      <c r="U153" s="27" t="n"/>
      <c r="V153" s="10" t="n"/>
    </row>
    <row r="154">
      <c r="A154" s="16" t="n"/>
      <c r="B154" s="17" t="n"/>
      <c r="C154" s="17" t="n"/>
      <c r="D154" s="10" t="n"/>
      <c r="E154" s="10" t="n"/>
      <c r="F154" s="17" t="n"/>
      <c r="G154" s="19" t="n"/>
      <c r="H154" s="16" t="n"/>
      <c r="I154" s="16" t="n"/>
      <c r="J154" s="16" t="n"/>
      <c r="K154" s="26" t="n"/>
      <c r="L154" s="26" t="n"/>
      <c r="M154" s="16" t="n"/>
      <c r="N154" s="9" t="n"/>
      <c r="O154" s="16" t="n"/>
      <c r="P154" s="16" t="n"/>
      <c r="Q154" s="24" t="n"/>
      <c r="R154" s="17" t="n"/>
      <c r="S154" s="17" t="n"/>
      <c r="T154" s="27" t="n"/>
      <c r="U154" s="27" t="n"/>
      <c r="V154" s="10" t="n"/>
    </row>
    <row r="155">
      <c r="A155" s="16" t="n"/>
      <c r="B155" s="17" t="n"/>
      <c r="C155" s="17" t="n"/>
      <c r="D155" s="10" t="n"/>
      <c r="E155" s="10" t="n"/>
      <c r="F155" s="17" t="n"/>
      <c r="G155" s="19" t="n"/>
      <c r="H155" s="16" t="n"/>
      <c r="I155" s="16" t="n"/>
      <c r="J155" s="16" t="n"/>
      <c r="K155" s="26" t="n"/>
      <c r="L155" s="26" t="n"/>
      <c r="M155" s="16" t="n"/>
      <c r="N155" s="9" t="n"/>
      <c r="O155" s="16" t="n"/>
      <c r="P155" s="16" t="n"/>
      <c r="Q155" s="24" t="n"/>
      <c r="R155" s="17" t="n"/>
      <c r="S155" s="17" t="n"/>
      <c r="T155" s="27" t="n"/>
      <c r="U155" s="27" t="n"/>
      <c r="V155" s="10" t="n"/>
    </row>
    <row r="156">
      <c r="A156" s="16" t="n"/>
      <c r="B156" s="17" t="n"/>
      <c r="C156" s="17" t="n"/>
      <c r="D156" s="10" t="n"/>
      <c r="E156" s="10" t="n"/>
      <c r="F156" s="17" t="n"/>
      <c r="G156" s="19" t="n"/>
      <c r="H156" s="16" t="n"/>
      <c r="I156" s="16" t="n"/>
      <c r="J156" s="16" t="n"/>
      <c r="K156" s="26" t="n"/>
      <c r="L156" s="26" t="n"/>
      <c r="M156" s="16" t="n"/>
      <c r="N156" s="9" t="n"/>
      <c r="O156" s="16" t="n"/>
      <c r="P156" s="16" t="n"/>
      <c r="Q156" s="24" t="n"/>
      <c r="R156" s="17" t="n"/>
      <c r="S156" s="17" t="n"/>
      <c r="T156" s="27" t="n"/>
      <c r="U156" s="27" t="n"/>
      <c r="V156" s="10" t="n"/>
    </row>
    <row r="157">
      <c r="A157" s="16" t="n"/>
      <c r="B157" s="17" t="n"/>
      <c r="C157" s="17" t="n"/>
      <c r="D157" s="10" t="n"/>
      <c r="E157" s="10" t="n"/>
      <c r="F157" s="17" t="n"/>
      <c r="G157" s="19" t="n"/>
      <c r="H157" s="16" t="n"/>
      <c r="I157" s="16" t="n"/>
      <c r="J157" s="16" t="n"/>
      <c r="K157" s="26" t="n"/>
      <c r="L157" s="26" t="n"/>
      <c r="M157" s="16" t="n"/>
      <c r="N157" s="9" t="n"/>
      <c r="O157" s="16" t="n"/>
      <c r="P157" s="16" t="n"/>
      <c r="Q157" s="24" t="n"/>
      <c r="R157" s="17" t="n"/>
      <c r="S157" s="17" t="n"/>
      <c r="T157" s="27" t="n"/>
      <c r="U157" s="27" t="n"/>
      <c r="V157" s="10" t="n"/>
    </row>
    <row r="158">
      <c r="A158" s="16" t="n"/>
      <c r="B158" s="17" t="n"/>
      <c r="C158" s="17" t="n"/>
      <c r="D158" s="10" t="n"/>
      <c r="E158" s="10" t="n"/>
      <c r="F158" s="17" t="n"/>
      <c r="G158" s="19" t="n"/>
      <c r="H158" s="16" t="n"/>
      <c r="I158" s="16" t="n"/>
      <c r="J158" s="16" t="n"/>
      <c r="K158" s="26" t="n"/>
      <c r="L158" s="26" t="n"/>
      <c r="M158" s="16" t="n"/>
      <c r="N158" s="9" t="n"/>
      <c r="O158" s="16" t="n"/>
      <c r="P158" s="16" t="n"/>
      <c r="Q158" s="24" t="n"/>
      <c r="R158" s="17" t="n"/>
      <c r="S158" s="17" t="n"/>
      <c r="T158" s="27" t="n"/>
      <c r="U158" s="27" t="n"/>
      <c r="V158" s="10" t="n"/>
    </row>
    <row r="159">
      <c r="A159" s="16" t="n"/>
      <c r="B159" s="17" t="n"/>
      <c r="C159" s="17" t="n"/>
      <c r="D159" s="10" t="n"/>
      <c r="E159" s="10" t="n"/>
      <c r="F159" s="17" t="n"/>
      <c r="G159" s="19" t="n"/>
      <c r="H159" s="16" t="n"/>
      <c r="I159" s="16" t="n"/>
      <c r="J159" s="16" t="n"/>
      <c r="K159" s="26" t="n"/>
      <c r="L159" s="26" t="n"/>
      <c r="M159" s="16" t="n"/>
      <c r="N159" s="9" t="n"/>
      <c r="O159" s="16" t="n"/>
      <c r="P159" s="16" t="n"/>
      <c r="Q159" s="24" t="n"/>
      <c r="R159" s="17" t="n"/>
      <c r="S159" s="17" t="n"/>
      <c r="T159" s="27" t="n"/>
      <c r="U159" s="27" t="n"/>
      <c r="V159" s="10" t="n"/>
    </row>
    <row r="160">
      <c r="A160" s="16" t="n"/>
      <c r="B160" s="17" t="n"/>
      <c r="C160" s="17" t="n"/>
      <c r="D160" s="10" t="n"/>
      <c r="E160" s="10" t="n"/>
      <c r="F160" s="17" t="n"/>
      <c r="G160" s="19" t="n"/>
      <c r="H160" s="16" t="n"/>
      <c r="I160" s="16" t="n"/>
      <c r="J160" s="16" t="n"/>
      <c r="K160" s="26" t="n"/>
      <c r="L160" s="26" t="n"/>
      <c r="M160" s="16" t="n"/>
      <c r="N160" s="9" t="n"/>
      <c r="O160" s="16" t="n"/>
      <c r="P160" s="16" t="n"/>
      <c r="Q160" s="24" t="n"/>
      <c r="R160" s="17" t="n"/>
      <c r="S160" s="17" t="n"/>
      <c r="T160" s="27" t="n"/>
      <c r="U160" s="27" t="n"/>
      <c r="V160" s="10" t="n"/>
    </row>
    <row r="161">
      <c r="A161" s="16" t="n"/>
      <c r="B161" s="17" t="n"/>
      <c r="C161" s="17" t="n"/>
      <c r="D161" s="10" t="n"/>
      <c r="E161" s="10" t="n"/>
      <c r="F161" s="17" t="n"/>
      <c r="G161" s="19" t="n"/>
      <c r="H161" s="16" t="n"/>
      <c r="I161" s="16" t="n"/>
      <c r="J161" s="16" t="n"/>
      <c r="K161" s="26" t="n"/>
      <c r="L161" s="26" t="n"/>
      <c r="M161" s="16" t="n"/>
      <c r="N161" s="9" t="n"/>
      <c r="O161" s="16" t="n"/>
      <c r="P161" s="16" t="n"/>
      <c r="Q161" s="24" t="n"/>
      <c r="R161" s="17" t="n"/>
      <c r="S161" s="17" t="n"/>
      <c r="T161" s="27" t="n"/>
      <c r="U161" s="27" t="n"/>
      <c r="V161" s="10" t="n"/>
    </row>
    <row r="162">
      <c r="A162" s="16" t="n"/>
      <c r="B162" s="17" t="n"/>
      <c r="C162" s="17" t="n"/>
      <c r="D162" s="10" t="n"/>
      <c r="E162" s="10" t="n"/>
      <c r="F162" s="17" t="n"/>
      <c r="G162" s="19" t="n"/>
      <c r="H162" s="16" t="n"/>
      <c r="I162" s="16" t="n"/>
      <c r="J162" s="16" t="n"/>
      <c r="K162" s="26" t="n"/>
      <c r="L162" s="26" t="n"/>
      <c r="M162" s="16" t="n"/>
      <c r="N162" s="9" t="n"/>
      <c r="O162" s="16" t="n"/>
      <c r="P162" s="16" t="n"/>
      <c r="Q162" s="24" t="n"/>
      <c r="R162" s="17" t="n"/>
      <c r="S162" s="17" t="n"/>
      <c r="T162" s="27" t="n"/>
      <c r="U162" s="27" t="n"/>
      <c r="V162" s="10" t="n"/>
    </row>
    <row r="163">
      <c r="A163" s="16" t="n"/>
      <c r="B163" s="17" t="n"/>
      <c r="C163" s="17" t="n"/>
      <c r="D163" s="10" t="n"/>
      <c r="E163" s="10" t="n"/>
      <c r="F163" s="17" t="n"/>
      <c r="G163" s="19" t="n"/>
      <c r="H163" s="16" t="n"/>
      <c r="I163" s="16" t="n"/>
      <c r="J163" s="16" t="n"/>
      <c r="K163" s="26" t="n"/>
      <c r="L163" s="26" t="n"/>
      <c r="M163" s="16" t="n"/>
      <c r="N163" s="9" t="n"/>
      <c r="O163" s="16" t="n"/>
      <c r="P163" s="16" t="n"/>
      <c r="Q163" s="24" t="n"/>
      <c r="R163" s="17" t="n"/>
      <c r="S163" s="17" t="n"/>
      <c r="T163" s="27" t="n"/>
      <c r="U163" s="27" t="n"/>
      <c r="V163" s="10" t="n"/>
    </row>
    <row r="164">
      <c r="A164" s="16" t="n"/>
      <c r="B164" s="17" t="n"/>
      <c r="C164" s="17" t="n"/>
      <c r="D164" s="10" t="n"/>
      <c r="E164" s="10" t="n"/>
      <c r="F164" s="17" t="n"/>
      <c r="G164" s="19" t="n"/>
      <c r="H164" s="16" t="n"/>
      <c r="I164" s="16" t="n"/>
      <c r="J164" s="16" t="n"/>
      <c r="K164" s="26" t="n"/>
      <c r="L164" s="26" t="n"/>
      <c r="M164" s="16" t="n"/>
      <c r="N164" s="9" t="n"/>
      <c r="O164" s="16" t="n"/>
      <c r="P164" s="16" t="n"/>
      <c r="Q164" s="24" t="n"/>
      <c r="R164" s="17" t="n"/>
      <c r="S164" s="17" t="n"/>
      <c r="T164" s="27" t="n"/>
      <c r="U164" s="27" t="n"/>
      <c r="V164" s="10" t="n"/>
    </row>
    <row r="165">
      <c r="A165" s="16" t="n"/>
      <c r="B165" s="17" t="n"/>
      <c r="C165" s="17" t="n"/>
      <c r="D165" s="10" t="n"/>
      <c r="E165" s="10" t="n"/>
      <c r="F165" s="17" t="n"/>
      <c r="G165" s="19" t="n"/>
      <c r="H165" s="16" t="n"/>
      <c r="I165" s="16" t="n"/>
      <c r="J165" s="16" t="n"/>
      <c r="K165" s="26" t="n"/>
      <c r="L165" s="26" t="n"/>
      <c r="M165" s="16" t="n"/>
      <c r="N165" s="9" t="n"/>
      <c r="O165" s="16" t="n"/>
      <c r="P165" s="16" t="n"/>
      <c r="Q165" s="24" t="n"/>
      <c r="R165" s="17" t="n"/>
      <c r="S165" s="17" t="n"/>
      <c r="T165" s="27" t="n"/>
      <c r="U165" s="27" t="n"/>
      <c r="V165" s="10" t="n"/>
    </row>
    <row r="166">
      <c r="A166" s="16" t="n"/>
      <c r="B166" s="17" t="n"/>
      <c r="C166" s="17" t="n"/>
      <c r="D166" s="10" t="n"/>
      <c r="E166" s="10" t="n"/>
      <c r="F166" s="17" t="n"/>
      <c r="G166" s="19" t="n"/>
      <c r="H166" s="16" t="n"/>
      <c r="I166" s="16" t="n"/>
      <c r="J166" s="16" t="n"/>
      <c r="K166" s="26" t="n"/>
      <c r="L166" s="26" t="n"/>
      <c r="M166" s="16" t="n"/>
      <c r="N166" s="9" t="n"/>
      <c r="O166" s="16" t="n"/>
      <c r="P166" s="16" t="n"/>
      <c r="Q166" s="24" t="n"/>
      <c r="R166" s="17" t="n"/>
      <c r="S166" s="17" t="n"/>
      <c r="T166" s="27" t="n"/>
      <c r="U166" s="27" t="n"/>
      <c r="V166" s="10" t="n"/>
    </row>
    <row r="167">
      <c r="A167" s="16" t="n"/>
      <c r="B167" s="17" t="n"/>
      <c r="C167" s="17" t="n"/>
      <c r="D167" s="10" t="n"/>
      <c r="E167" s="10" t="n"/>
      <c r="F167" s="17" t="n"/>
      <c r="G167" s="19" t="n"/>
      <c r="H167" s="16" t="n"/>
      <c r="I167" s="16" t="n"/>
      <c r="J167" s="16" t="n"/>
      <c r="K167" s="26" t="n"/>
      <c r="L167" s="26" t="n"/>
      <c r="M167" s="16" t="n"/>
      <c r="N167" s="9" t="n"/>
      <c r="O167" s="16" t="n"/>
      <c r="P167" s="16" t="n"/>
      <c r="Q167" s="24" t="n"/>
      <c r="R167" s="17" t="n"/>
      <c r="S167" s="17" t="n"/>
      <c r="T167" s="27" t="n"/>
      <c r="U167" s="27" t="n"/>
      <c r="V167" s="10" t="n"/>
    </row>
    <row r="168">
      <c r="A168" s="16" t="n"/>
      <c r="B168" s="17" t="n"/>
      <c r="C168" s="17" t="n"/>
      <c r="D168" s="10" t="n"/>
      <c r="E168" s="10" t="n"/>
      <c r="F168" s="17" t="n"/>
      <c r="G168" s="19" t="n"/>
      <c r="H168" s="16" t="n"/>
      <c r="I168" s="16" t="n"/>
      <c r="J168" s="16" t="n"/>
      <c r="K168" s="26" t="n"/>
      <c r="L168" s="26" t="n"/>
      <c r="M168" s="16" t="n"/>
      <c r="N168" s="9" t="n"/>
      <c r="O168" s="16" t="n"/>
      <c r="P168" s="16" t="n"/>
      <c r="Q168" s="24" t="n"/>
      <c r="R168" s="17" t="n"/>
      <c r="S168" s="17" t="n"/>
      <c r="T168" s="27" t="n"/>
      <c r="U168" s="27" t="n"/>
      <c r="V168" s="10" t="n"/>
    </row>
    <row r="169">
      <c r="A169" s="16" t="n"/>
      <c r="B169" s="17" t="n"/>
      <c r="C169" s="17" t="n"/>
      <c r="D169" s="10" t="n"/>
      <c r="E169" s="10" t="n"/>
      <c r="F169" s="17" t="n"/>
      <c r="G169" s="19" t="n"/>
      <c r="H169" s="16" t="n"/>
      <c r="I169" s="16" t="n"/>
      <c r="J169" s="16" t="n"/>
      <c r="K169" s="26" t="n"/>
      <c r="L169" s="26" t="n"/>
      <c r="M169" s="16" t="n"/>
      <c r="N169" s="9" t="n"/>
      <c r="O169" s="16" t="n"/>
      <c r="P169" s="16" t="n"/>
      <c r="Q169" s="24" t="n"/>
      <c r="R169" s="17" t="n"/>
      <c r="S169" s="17" t="n"/>
      <c r="T169" s="27" t="n"/>
      <c r="U169" s="27" t="n"/>
      <c r="V169" s="10" t="n"/>
    </row>
    <row r="170">
      <c r="A170" s="16" t="n"/>
      <c r="B170" s="17" t="n"/>
      <c r="C170" s="17" t="n"/>
      <c r="D170" s="10" t="n"/>
      <c r="E170" s="10" t="n"/>
      <c r="F170" s="17" t="n"/>
      <c r="G170" s="19" t="n"/>
      <c r="H170" s="16" t="n"/>
      <c r="I170" s="16" t="n"/>
      <c r="J170" s="16" t="n"/>
      <c r="K170" s="26" t="n"/>
      <c r="L170" s="26" t="n"/>
      <c r="M170" s="16" t="n"/>
      <c r="N170" s="9" t="n"/>
      <c r="O170" s="16" t="n"/>
      <c r="P170" s="16" t="n"/>
      <c r="Q170" s="24" t="n"/>
      <c r="R170" s="17" t="n"/>
      <c r="S170" s="17" t="n"/>
      <c r="T170" s="27" t="n"/>
      <c r="U170" s="27" t="n"/>
      <c r="V170" s="10" t="n"/>
    </row>
    <row r="171">
      <c r="A171" s="16" t="n"/>
      <c r="B171" s="17" t="n"/>
      <c r="C171" s="17" t="n"/>
      <c r="D171" s="10" t="n"/>
      <c r="E171" s="10" t="n"/>
      <c r="F171" s="17" t="n"/>
      <c r="G171" s="19" t="n"/>
      <c r="H171" s="16" t="n"/>
      <c r="I171" s="16" t="n"/>
      <c r="J171" s="16" t="n"/>
      <c r="K171" s="26" t="n"/>
      <c r="L171" s="26" t="n"/>
      <c r="M171" s="16" t="n"/>
      <c r="N171" s="9" t="n"/>
      <c r="O171" s="16" t="n"/>
      <c r="P171" s="16" t="n"/>
      <c r="Q171" s="24" t="n"/>
      <c r="R171" s="17" t="n"/>
      <c r="S171" s="17" t="n"/>
      <c r="T171" s="27" t="n"/>
      <c r="U171" s="27" t="n"/>
      <c r="V171" s="10" t="n"/>
    </row>
    <row r="172">
      <c r="A172" s="16" t="n"/>
      <c r="B172" s="17" t="n"/>
      <c r="C172" s="17" t="n"/>
      <c r="D172" s="10" t="n"/>
      <c r="E172" s="10" t="n"/>
      <c r="F172" s="17" t="n"/>
      <c r="G172" s="19" t="n"/>
      <c r="H172" s="16" t="n"/>
      <c r="I172" s="16" t="n"/>
      <c r="J172" s="16" t="n"/>
      <c r="K172" s="26" t="n"/>
      <c r="L172" s="26" t="n"/>
      <c r="M172" s="16" t="n"/>
      <c r="N172" s="9" t="n"/>
      <c r="O172" s="16" t="n"/>
      <c r="P172" s="16" t="n"/>
      <c r="Q172" s="24" t="n"/>
      <c r="R172" s="17" t="n"/>
      <c r="S172" s="17" t="n"/>
      <c r="T172" s="27" t="n"/>
      <c r="U172" s="27" t="n"/>
      <c r="V172" s="10" t="n"/>
    </row>
    <row r="173">
      <c r="A173" s="16" t="n"/>
      <c r="B173" s="17" t="n"/>
      <c r="C173" s="17" t="n"/>
      <c r="D173" s="10" t="n"/>
      <c r="E173" s="10" t="n"/>
      <c r="F173" s="17" t="n"/>
      <c r="G173" s="19" t="n"/>
      <c r="H173" s="16" t="n"/>
      <c r="I173" s="16" t="n"/>
      <c r="J173" s="16" t="n"/>
      <c r="K173" s="26" t="n"/>
      <c r="L173" s="26" t="n"/>
      <c r="M173" s="16" t="n"/>
      <c r="N173" s="9" t="n"/>
      <c r="O173" s="16" t="n"/>
      <c r="P173" s="16" t="n"/>
      <c r="Q173" s="24" t="n"/>
      <c r="R173" s="17" t="n"/>
      <c r="S173" s="17" t="n"/>
      <c r="T173" s="27" t="n"/>
      <c r="U173" s="27" t="n"/>
      <c r="V173" s="10" t="n"/>
    </row>
    <row r="174">
      <c r="A174" s="16" t="n"/>
      <c r="B174" s="17" t="n"/>
      <c r="C174" s="17" t="n"/>
      <c r="D174" s="10" t="n"/>
      <c r="E174" s="10" t="n"/>
      <c r="F174" s="17" t="n"/>
      <c r="G174" s="19" t="n"/>
      <c r="H174" s="16" t="n"/>
      <c r="I174" s="16" t="n"/>
      <c r="J174" s="16" t="n"/>
      <c r="K174" s="26" t="n"/>
      <c r="L174" s="26" t="n"/>
      <c r="M174" s="16" t="n"/>
      <c r="N174" s="9" t="n"/>
      <c r="O174" s="16" t="n"/>
      <c r="P174" s="16" t="n"/>
      <c r="Q174" s="24" t="n"/>
      <c r="R174" s="17" t="n"/>
      <c r="S174" s="17" t="n"/>
      <c r="T174" s="27" t="n"/>
      <c r="U174" s="27" t="n"/>
      <c r="V174" s="10" t="n"/>
    </row>
    <row r="175">
      <c r="A175" s="16" t="n"/>
      <c r="B175" s="17" t="n"/>
      <c r="C175" s="17" t="n"/>
      <c r="D175" s="10" t="n"/>
      <c r="E175" s="10" t="n"/>
      <c r="F175" s="17" t="n"/>
      <c r="G175" s="19" t="n"/>
      <c r="H175" s="16" t="n"/>
      <c r="I175" s="16" t="n"/>
      <c r="J175" s="16" t="n"/>
      <c r="K175" s="26" t="n"/>
      <c r="L175" s="26" t="n"/>
      <c r="M175" s="16" t="n"/>
      <c r="N175" s="9" t="n"/>
      <c r="O175" s="16" t="n"/>
      <c r="P175" s="16" t="n"/>
      <c r="Q175" s="24" t="n"/>
      <c r="R175" s="17" t="n"/>
      <c r="S175" s="17" t="n"/>
      <c r="T175" s="27" t="n"/>
      <c r="U175" s="27" t="n"/>
      <c r="V175" s="10" t="n"/>
    </row>
    <row r="176">
      <c r="A176" s="16" t="n"/>
      <c r="B176" s="17" t="n"/>
      <c r="C176" s="17" t="n"/>
      <c r="D176" s="10" t="n"/>
      <c r="E176" s="10" t="n"/>
      <c r="F176" s="17" t="n"/>
      <c r="G176" s="19" t="n"/>
      <c r="H176" s="16" t="n"/>
      <c r="I176" s="16" t="n"/>
      <c r="J176" s="16" t="n"/>
      <c r="K176" s="26" t="n"/>
      <c r="L176" s="26" t="n"/>
      <c r="M176" s="16" t="n"/>
      <c r="N176" s="9" t="n"/>
      <c r="O176" s="16" t="n"/>
      <c r="P176" s="16" t="n"/>
      <c r="Q176" s="24" t="n"/>
      <c r="R176" s="17" t="n"/>
      <c r="S176" s="17" t="n"/>
      <c r="T176" s="27" t="n"/>
      <c r="U176" s="27" t="n"/>
      <c r="V176" s="10" t="n"/>
    </row>
    <row r="177">
      <c r="A177" s="16" t="n"/>
      <c r="B177" s="17" t="n"/>
      <c r="C177" s="17" t="n"/>
      <c r="D177" s="10" t="n"/>
      <c r="E177" s="10" t="n"/>
      <c r="F177" s="17" t="n"/>
      <c r="G177" s="19" t="n"/>
      <c r="H177" s="16" t="n"/>
      <c r="I177" s="16" t="n"/>
      <c r="J177" s="16" t="n"/>
      <c r="K177" s="26" t="n"/>
      <c r="L177" s="26" t="n"/>
      <c r="M177" s="16" t="n"/>
      <c r="N177" s="9" t="n"/>
      <c r="O177" s="16" t="n"/>
      <c r="P177" s="16" t="n"/>
      <c r="Q177" s="24" t="n"/>
      <c r="R177" s="17" t="n"/>
      <c r="S177" s="17" t="n"/>
      <c r="T177" s="27" t="n"/>
      <c r="U177" s="27" t="n"/>
      <c r="V177" s="10" t="n"/>
    </row>
    <row r="178">
      <c r="A178" s="16" t="n"/>
      <c r="B178" s="17" t="n"/>
      <c r="C178" s="17" t="n"/>
      <c r="D178" s="10" t="n"/>
      <c r="E178" s="10" t="n"/>
      <c r="F178" s="17" t="n"/>
      <c r="G178" s="19" t="n"/>
      <c r="H178" s="16" t="n"/>
      <c r="I178" s="16" t="n"/>
      <c r="J178" s="16" t="n"/>
      <c r="K178" s="26" t="n"/>
      <c r="L178" s="26" t="n"/>
      <c r="M178" s="16" t="n"/>
      <c r="N178" s="9" t="n"/>
      <c r="O178" s="16" t="n"/>
      <c r="P178" s="16" t="n"/>
      <c r="Q178" s="24" t="n"/>
      <c r="R178" s="17" t="n"/>
      <c r="S178" s="17" t="n"/>
      <c r="T178" s="27" t="n"/>
      <c r="U178" s="27" t="n"/>
      <c r="V178" s="10" t="n"/>
    </row>
    <row r="179">
      <c r="A179" s="16" t="n"/>
      <c r="B179" s="17" t="n"/>
      <c r="C179" s="17" t="n"/>
      <c r="D179" s="10" t="n"/>
      <c r="E179" s="10" t="n"/>
      <c r="F179" s="17" t="n"/>
      <c r="G179" s="19" t="n"/>
      <c r="H179" s="16" t="n"/>
      <c r="I179" s="16" t="n"/>
      <c r="J179" s="16" t="n"/>
      <c r="K179" s="26" t="n"/>
      <c r="L179" s="26" t="n"/>
      <c r="M179" s="16" t="n"/>
      <c r="N179" s="9" t="n"/>
      <c r="O179" s="16" t="n"/>
      <c r="P179" s="16" t="n"/>
      <c r="Q179" s="24" t="n"/>
      <c r="R179" s="17" t="n"/>
      <c r="S179" s="17" t="n"/>
      <c r="T179" s="27" t="n"/>
      <c r="U179" s="27" t="n"/>
      <c r="V179" s="10" t="n"/>
    </row>
    <row r="180">
      <c r="A180" s="16" t="n"/>
      <c r="B180" s="17" t="n"/>
      <c r="C180" s="17" t="n"/>
      <c r="D180" s="10" t="n"/>
      <c r="E180" s="10" t="n"/>
      <c r="F180" s="17" t="n"/>
      <c r="G180" s="19" t="n"/>
      <c r="H180" s="16" t="n"/>
      <c r="I180" s="16" t="n"/>
      <c r="J180" s="16" t="n"/>
      <c r="K180" s="26" t="n"/>
      <c r="L180" s="26" t="n"/>
      <c r="M180" s="16" t="n"/>
      <c r="N180" s="9" t="n"/>
      <c r="O180" s="16" t="n"/>
      <c r="P180" s="16" t="n"/>
      <c r="Q180" s="24" t="n"/>
      <c r="R180" s="17" t="n"/>
      <c r="S180" s="17" t="n"/>
      <c r="T180" s="27" t="n"/>
      <c r="U180" s="27" t="n"/>
      <c r="V180" s="10" t="n"/>
    </row>
    <row r="181">
      <c r="A181" s="16" t="n"/>
      <c r="B181" s="17" t="n"/>
      <c r="C181" s="17" t="n"/>
      <c r="D181" s="10" t="n"/>
      <c r="E181" s="10" t="n"/>
      <c r="F181" s="17" t="n"/>
      <c r="G181" s="19" t="n"/>
      <c r="H181" s="16" t="n"/>
      <c r="I181" s="16" t="n"/>
      <c r="J181" s="16" t="n"/>
      <c r="K181" s="26" t="n"/>
      <c r="L181" s="26" t="n"/>
      <c r="M181" s="16" t="n"/>
      <c r="N181" s="9" t="n"/>
      <c r="O181" s="16" t="n"/>
      <c r="P181" s="16" t="n"/>
      <c r="Q181" s="24" t="n"/>
      <c r="R181" s="17" t="n"/>
      <c r="S181" s="17" t="n"/>
      <c r="T181" s="27" t="n"/>
      <c r="U181" s="27" t="n"/>
      <c r="V181" s="10" t="n"/>
    </row>
    <row r="182">
      <c r="A182" s="16" t="n"/>
      <c r="B182" s="17" t="n"/>
      <c r="C182" s="17" t="n"/>
      <c r="D182" s="10" t="n"/>
      <c r="E182" s="10" t="n"/>
      <c r="F182" s="17" t="n"/>
      <c r="G182" s="19" t="n"/>
      <c r="H182" s="16" t="n"/>
      <c r="I182" s="16" t="n"/>
      <c r="J182" s="16" t="n"/>
      <c r="K182" s="26" t="n"/>
      <c r="L182" s="26" t="n"/>
      <c r="M182" s="16" t="n"/>
      <c r="N182" s="9" t="n"/>
      <c r="O182" s="16" t="n"/>
      <c r="P182" s="16" t="n"/>
      <c r="Q182" s="24" t="n"/>
      <c r="R182" s="17" t="n"/>
      <c r="S182" s="17" t="n"/>
      <c r="T182" s="27" t="n"/>
      <c r="U182" s="27" t="n"/>
      <c r="V182" s="10" t="n"/>
    </row>
    <row r="183">
      <c r="A183" s="16" t="n"/>
      <c r="B183" s="17" t="n"/>
      <c r="C183" s="17" t="n"/>
      <c r="D183" s="10" t="n"/>
      <c r="E183" s="10" t="n"/>
      <c r="F183" s="17" t="n"/>
      <c r="G183" s="19" t="n"/>
      <c r="H183" s="16" t="n"/>
      <c r="I183" s="16" t="n"/>
      <c r="J183" s="16" t="n"/>
      <c r="K183" s="26" t="n"/>
      <c r="L183" s="26" t="n"/>
      <c r="M183" s="16" t="n"/>
      <c r="N183" s="9" t="n"/>
      <c r="O183" s="16" t="n"/>
      <c r="P183" s="16" t="n"/>
      <c r="Q183" s="24" t="n"/>
      <c r="R183" s="17" t="n"/>
      <c r="S183" s="17" t="n"/>
      <c r="T183" s="27" t="n"/>
      <c r="U183" s="27" t="n"/>
      <c r="V183" s="10" t="n"/>
    </row>
    <row r="184">
      <c r="A184" s="16" t="n"/>
      <c r="B184" s="17" t="n"/>
      <c r="C184" s="17" t="n"/>
      <c r="D184" s="10" t="n"/>
      <c r="E184" s="10" t="n"/>
      <c r="F184" s="17" t="n"/>
      <c r="G184" s="19" t="n"/>
      <c r="H184" s="16" t="n"/>
      <c r="I184" s="16" t="n"/>
      <c r="J184" s="16" t="n"/>
      <c r="K184" s="26" t="n"/>
      <c r="L184" s="26" t="n"/>
      <c r="M184" s="16" t="n"/>
      <c r="N184" s="9" t="n"/>
      <c r="O184" s="16" t="n"/>
      <c r="P184" s="16" t="n"/>
      <c r="Q184" s="24" t="n"/>
      <c r="R184" s="17" t="n"/>
      <c r="S184" s="17" t="n"/>
      <c r="T184" s="27" t="n"/>
      <c r="U184" s="27" t="n"/>
      <c r="V184" s="10" t="n"/>
    </row>
    <row r="185">
      <c r="A185" s="16" t="n"/>
      <c r="B185" s="17" t="n"/>
      <c r="C185" s="17" t="n"/>
      <c r="D185" s="10" t="n"/>
      <c r="E185" s="10" t="n"/>
      <c r="F185" s="17" t="n"/>
      <c r="G185" s="19" t="n"/>
      <c r="H185" s="16" t="n"/>
      <c r="I185" s="16" t="n"/>
      <c r="J185" s="16" t="n"/>
      <c r="K185" s="26" t="n"/>
      <c r="L185" s="26" t="n"/>
      <c r="M185" s="16" t="n"/>
      <c r="N185" s="9" t="n"/>
      <c r="O185" s="16" t="n"/>
      <c r="P185" s="16" t="n"/>
      <c r="Q185" s="24" t="n"/>
      <c r="R185" s="17" t="n"/>
      <c r="S185" s="17" t="n"/>
      <c r="T185" s="27" t="n"/>
      <c r="U185" s="27" t="n"/>
      <c r="V185" s="10" t="n"/>
    </row>
    <row r="186">
      <c r="A186" s="16" t="n"/>
      <c r="B186" s="17" t="n"/>
      <c r="C186" s="17" t="n"/>
      <c r="D186" s="10" t="n"/>
      <c r="E186" s="10" t="n"/>
      <c r="F186" s="17" t="n"/>
      <c r="G186" s="19" t="n"/>
      <c r="H186" s="16" t="n"/>
      <c r="I186" s="16" t="n"/>
      <c r="J186" s="16" t="n"/>
      <c r="K186" s="26" t="n"/>
      <c r="L186" s="26" t="n"/>
      <c r="M186" s="16" t="n"/>
      <c r="N186" s="9" t="n"/>
      <c r="O186" s="16" t="n"/>
      <c r="P186" s="16" t="n"/>
      <c r="Q186" s="24" t="n"/>
      <c r="R186" s="17" t="n"/>
      <c r="S186" s="17" t="n"/>
      <c r="T186" s="27" t="n"/>
      <c r="U186" s="27" t="n"/>
      <c r="V186" s="10" t="n"/>
    </row>
    <row r="187">
      <c r="A187" s="16" t="n"/>
      <c r="B187" s="17" t="n"/>
      <c r="C187" s="17" t="n"/>
      <c r="D187" s="10" t="n"/>
      <c r="E187" s="10" t="n"/>
      <c r="F187" s="17" t="n"/>
      <c r="G187" s="19" t="n"/>
      <c r="H187" s="16" t="n"/>
      <c r="I187" s="16" t="n"/>
      <c r="J187" s="16" t="n"/>
      <c r="K187" s="26" t="n"/>
      <c r="L187" s="26" t="n"/>
      <c r="M187" s="16" t="n"/>
      <c r="N187" s="9" t="n"/>
      <c r="O187" s="16" t="n"/>
      <c r="P187" s="16" t="n"/>
      <c r="Q187" s="24" t="n"/>
      <c r="R187" s="17" t="n"/>
      <c r="S187" s="17" t="n"/>
      <c r="T187" s="27" t="n"/>
      <c r="U187" s="27" t="n"/>
      <c r="V187" s="10" t="n"/>
    </row>
    <row r="188">
      <c r="A188" s="16" t="n"/>
      <c r="B188" s="17" t="n"/>
      <c r="C188" s="17" t="n"/>
      <c r="D188" s="10" t="n"/>
      <c r="E188" s="10" t="n"/>
      <c r="F188" s="17" t="n"/>
      <c r="G188" s="19" t="n"/>
      <c r="H188" s="16" t="n"/>
      <c r="I188" s="16" t="n"/>
      <c r="J188" s="16" t="n"/>
      <c r="K188" s="26" t="n"/>
      <c r="L188" s="26" t="n"/>
      <c r="M188" s="16" t="n"/>
      <c r="N188" s="9" t="n"/>
      <c r="O188" s="16" t="n"/>
      <c r="P188" s="16" t="n"/>
      <c r="Q188" s="24" t="n"/>
      <c r="R188" s="17" t="n"/>
      <c r="S188" s="17" t="n"/>
      <c r="T188" s="27" t="n"/>
      <c r="U188" s="27" t="n"/>
      <c r="V188" s="10" t="n"/>
    </row>
    <row r="189">
      <c r="A189" s="16" t="n"/>
      <c r="B189" s="17" t="n"/>
      <c r="C189" s="17" t="n"/>
      <c r="D189" s="10" t="n"/>
      <c r="E189" s="10" t="n"/>
      <c r="F189" s="17" t="n"/>
      <c r="G189" s="19" t="n"/>
      <c r="H189" s="16" t="n"/>
      <c r="I189" s="16" t="n"/>
      <c r="J189" s="16" t="n"/>
      <c r="K189" s="26" t="n"/>
      <c r="L189" s="26" t="n"/>
      <c r="M189" s="16" t="n"/>
      <c r="N189" s="9" t="n"/>
      <c r="O189" s="16" t="n"/>
      <c r="P189" s="16" t="n"/>
      <c r="Q189" s="24" t="n"/>
      <c r="R189" s="17" t="n"/>
      <c r="S189" s="17" t="n"/>
      <c r="T189" s="27" t="n"/>
      <c r="U189" s="27" t="n"/>
      <c r="V189" s="10" t="n"/>
    </row>
    <row r="190">
      <c r="A190" s="16" t="n"/>
      <c r="B190" s="17" t="n"/>
      <c r="C190" s="17" t="n"/>
      <c r="D190" s="10" t="n"/>
      <c r="E190" s="10" t="n"/>
      <c r="F190" s="17" t="n"/>
      <c r="G190" s="19" t="n"/>
      <c r="H190" s="16" t="n"/>
      <c r="I190" s="16" t="n"/>
      <c r="J190" s="16" t="n"/>
      <c r="K190" s="26" t="n"/>
      <c r="L190" s="26" t="n"/>
      <c r="M190" s="16" t="n"/>
      <c r="N190" s="9" t="n"/>
      <c r="O190" s="16" t="n"/>
      <c r="P190" s="16" t="n"/>
      <c r="Q190" s="24" t="n"/>
      <c r="R190" s="17" t="n"/>
      <c r="S190" s="17" t="n"/>
      <c r="T190" s="27" t="n"/>
      <c r="U190" s="27" t="n"/>
      <c r="V190" s="10" t="n"/>
    </row>
    <row r="191">
      <c r="A191" s="16" t="n"/>
      <c r="B191" s="17" t="n"/>
      <c r="C191" s="17" t="n"/>
      <c r="D191" s="10" t="n"/>
      <c r="E191" s="10" t="n"/>
      <c r="F191" s="17" t="n"/>
      <c r="G191" s="19" t="n"/>
      <c r="H191" s="16" t="n"/>
      <c r="I191" s="16" t="n"/>
      <c r="J191" s="16" t="n"/>
      <c r="K191" s="26" t="n"/>
      <c r="L191" s="26" t="n"/>
      <c r="M191" s="16" t="n"/>
      <c r="N191" s="9" t="n"/>
      <c r="O191" s="16" t="n"/>
      <c r="P191" s="16" t="n"/>
      <c r="Q191" s="24" t="n"/>
      <c r="R191" s="17" t="n"/>
      <c r="S191" s="17" t="n"/>
      <c r="T191" s="27" t="n"/>
      <c r="U191" s="27" t="n"/>
      <c r="V191" s="10" t="n"/>
    </row>
    <row r="192">
      <c r="A192" s="16" t="n"/>
      <c r="B192" s="17" t="n"/>
      <c r="C192" s="17" t="n"/>
      <c r="D192" s="10" t="n"/>
      <c r="E192" s="10" t="n"/>
      <c r="F192" s="17" t="n"/>
      <c r="G192" s="19" t="n"/>
      <c r="H192" s="16" t="n"/>
      <c r="I192" s="16" t="n"/>
      <c r="J192" s="16" t="n"/>
      <c r="K192" s="26" t="n"/>
      <c r="L192" s="26" t="n"/>
      <c r="M192" s="16" t="n"/>
      <c r="N192" s="9" t="n"/>
      <c r="O192" s="16" t="n"/>
      <c r="P192" s="16" t="n"/>
      <c r="Q192" s="24" t="n"/>
      <c r="R192" s="17" t="n"/>
      <c r="S192" s="17" t="n"/>
      <c r="T192" s="27" t="n"/>
      <c r="U192" s="27" t="n"/>
      <c r="V192" s="10" t="n"/>
    </row>
    <row r="193">
      <c r="A193" s="16" t="n"/>
      <c r="B193" s="17" t="n"/>
      <c r="C193" s="17" t="n"/>
      <c r="D193" s="10" t="n"/>
      <c r="E193" s="10" t="n"/>
      <c r="F193" s="17" t="n"/>
      <c r="G193" s="19" t="n"/>
      <c r="H193" s="16" t="n"/>
      <c r="I193" s="16" t="n"/>
      <c r="J193" s="16" t="n"/>
      <c r="K193" s="26" t="n"/>
      <c r="L193" s="26" t="n"/>
      <c r="M193" s="16" t="n"/>
      <c r="N193" s="9" t="n"/>
      <c r="O193" s="16" t="n"/>
      <c r="P193" s="16" t="n"/>
      <c r="Q193" s="24" t="n"/>
      <c r="R193" s="17" t="n"/>
      <c r="S193" s="17" t="n"/>
      <c r="T193" s="27" t="n"/>
      <c r="U193" s="27" t="n"/>
      <c r="V193" s="10" t="n"/>
    </row>
    <row r="194">
      <c r="A194" s="16" t="n"/>
      <c r="B194" s="17" t="n"/>
      <c r="C194" s="17" t="n"/>
      <c r="D194" s="10" t="n"/>
      <c r="E194" s="10" t="n"/>
      <c r="F194" s="17" t="n"/>
      <c r="G194" s="19" t="n"/>
      <c r="H194" s="16" t="n"/>
      <c r="I194" s="16" t="n"/>
      <c r="J194" s="16" t="n"/>
      <c r="K194" s="26" t="n"/>
      <c r="L194" s="26" t="n"/>
      <c r="M194" s="16" t="n"/>
      <c r="N194" s="9" t="n"/>
      <c r="O194" s="16" t="n"/>
      <c r="P194" s="16" t="n"/>
      <c r="Q194" s="24" t="n"/>
      <c r="R194" s="17" t="n"/>
      <c r="S194" s="17" t="n"/>
      <c r="T194" s="27" t="n"/>
      <c r="U194" s="27" t="n"/>
      <c r="V194" s="10" t="n"/>
    </row>
    <row r="195">
      <c r="A195" s="16" t="n"/>
      <c r="B195" s="17" t="n"/>
      <c r="C195" s="17" t="n"/>
      <c r="D195" s="10" t="n"/>
      <c r="E195" s="10" t="n"/>
      <c r="F195" s="17" t="n"/>
      <c r="G195" s="19" t="n"/>
      <c r="H195" s="16" t="n"/>
      <c r="I195" s="16" t="n"/>
      <c r="J195" s="16" t="n"/>
      <c r="K195" s="26" t="n"/>
      <c r="L195" s="26" t="n"/>
      <c r="M195" s="16" t="n"/>
      <c r="N195" s="9" t="n"/>
      <c r="O195" s="16" t="n"/>
      <c r="P195" s="16" t="n"/>
      <c r="Q195" s="24" t="n"/>
      <c r="R195" s="17" t="n"/>
      <c r="S195" s="17" t="n"/>
      <c r="T195" s="27" t="n"/>
      <c r="U195" s="27" t="n"/>
      <c r="V195" s="10" t="n"/>
    </row>
    <row r="196">
      <c r="A196" s="16" t="n"/>
      <c r="B196" s="17" t="n"/>
      <c r="C196" s="17" t="n"/>
      <c r="D196" s="10" t="n"/>
      <c r="E196" s="10" t="n"/>
      <c r="F196" s="17" t="n"/>
      <c r="G196" s="19" t="n"/>
      <c r="H196" s="16" t="n"/>
      <c r="I196" s="16" t="n"/>
      <c r="J196" s="16" t="n"/>
      <c r="K196" s="26" t="n"/>
      <c r="L196" s="26" t="n"/>
      <c r="M196" s="16" t="n"/>
      <c r="N196" s="9" t="n"/>
      <c r="O196" s="16" t="n"/>
      <c r="P196" s="16" t="n"/>
      <c r="Q196" s="24" t="n"/>
      <c r="R196" s="17" t="n"/>
      <c r="S196" s="17" t="n"/>
      <c r="T196" s="27" t="n"/>
      <c r="U196" s="27" t="n"/>
      <c r="V196" s="10" t="n"/>
    </row>
    <row r="197">
      <c r="A197" s="16" t="n"/>
      <c r="B197" s="17" t="n"/>
      <c r="C197" s="17" t="n"/>
      <c r="D197" s="10" t="n"/>
      <c r="E197" s="10" t="n"/>
      <c r="F197" s="17" t="n"/>
      <c r="G197" s="19" t="n"/>
      <c r="H197" s="16" t="n"/>
      <c r="I197" s="16" t="n"/>
      <c r="J197" s="16" t="n"/>
      <c r="K197" s="26" t="n"/>
      <c r="L197" s="26" t="n"/>
      <c r="M197" s="16" t="n"/>
      <c r="N197" s="9" t="n"/>
      <c r="O197" s="16" t="n"/>
      <c r="P197" s="16" t="n"/>
      <c r="Q197" s="24" t="n"/>
      <c r="R197" s="17" t="n"/>
      <c r="S197" s="17" t="n"/>
      <c r="T197" s="27" t="n"/>
      <c r="U197" s="27" t="n"/>
      <c r="V197" s="10" t="n"/>
    </row>
    <row r="198">
      <c r="A198" s="16" t="n"/>
      <c r="B198" s="17" t="n"/>
      <c r="C198" s="17" t="n"/>
      <c r="D198" s="10" t="n"/>
      <c r="E198" s="10" t="n"/>
      <c r="F198" s="17" t="n"/>
      <c r="G198" s="19" t="n"/>
      <c r="H198" s="16" t="n"/>
      <c r="I198" s="16" t="n"/>
      <c r="J198" s="16" t="n"/>
      <c r="K198" s="26" t="n"/>
      <c r="L198" s="26" t="n"/>
      <c r="M198" s="16" t="n"/>
      <c r="N198" s="9" t="n"/>
      <c r="O198" s="16" t="n"/>
      <c r="P198" s="16" t="n"/>
      <c r="Q198" s="24" t="n"/>
      <c r="R198" s="17" t="n"/>
      <c r="S198" s="17" t="n"/>
      <c r="T198" s="27" t="n"/>
      <c r="U198" s="27" t="n"/>
      <c r="V198" s="10" t="n"/>
    </row>
    <row r="199">
      <c r="A199" s="16" t="n"/>
      <c r="B199" s="17" t="n"/>
      <c r="C199" s="17" t="n"/>
      <c r="D199" s="10" t="n"/>
      <c r="E199" s="10" t="n"/>
      <c r="F199" s="17" t="n"/>
      <c r="G199" s="19" t="n"/>
      <c r="H199" s="16" t="n"/>
      <c r="I199" s="16" t="n"/>
      <c r="J199" s="16" t="n"/>
      <c r="K199" s="26" t="n"/>
      <c r="L199" s="26" t="n"/>
      <c r="M199" s="16" t="n"/>
      <c r="N199" s="9" t="n"/>
      <c r="O199" s="16" t="n"/>
      <c r="P199" s="16" t="n"/>
      <c r="Q199" s="24" t="n"/>
      <c r="R199" s="17" t="n"/>
      <c r="S199" s="17" t="n"/>
      <c r="T199" s="27" t="n"/>
      <c r="U199" s="27" t="n"/>
      <c r="V199" s="10" t="n"/>
    </row>
    <row r="200">
      <c r="A200" s="16" t="n"/>
      <c r="B200" s="17" t="n"/>
      <c r="C200" s="17" t="n"/>
      <c r="D200" s="10" t="n"/>
      <c r="E200" s="10" t="n"/>
      <c r="F200" s="17" t="n"/>
      <c r="G200" s="19" t="n"/>
      <c r="H200" s="16" t="n"/>
      <c r="I200" s="16" t="n"/>
      <c r="J200" s="16" t="n"/>
      <c r="K200" s="26" t="n"/>
      <c r="L200" s="26" t="n"/>
      <c r="M200" s="16" t="n"/>
      <c r="N200" s="9" t="n"/>
      <c r="O200" s="16" t="n"/>
      <c r="P200" s="16" t="n"/>
      <c r="Q200" s="24" t="n"/>
      <c r="R200" s="17" t="n"/>
      <c r="S200" s="17" t="n"/>
      <c r="T200" s="27" t="n"/>
      <c r="U200" s="27" t="n"/>
      <c r="V200" s="10" t="n"/>
    </row>
    <row r="201">
      <c r="A201" s="16" t="n"/>
      <c r="B201" s="17" t="n"/>
      <c r="C201" s="17" t="n"/>
      <c r="D201" s="10" t="n"/>
      <c r="E201" s="10" t="n"/>
      <c r="F201" s="17" t="n"/>
      <c r="G201" s="19" t="n"/>
      <c r="H201" s="16" t="n"/>
      <c r="I201" s="16" t="n"/>
      <c r="J201" s="16" t="n"/>
      <c r="K201" s="26" t="n"/>
      <c r="L201" s="26" t="n"/>
      <c r="M201" s="16" t="n"/>
      <c r="N201" s="9" t="n"/>
      <c r="O201" s="16" t="n"/>
      <c r="P201" s="16" t="n"/>
      <c r="Q201" s="24" t="n"/>
      <c r="R201" s="17" t="n"/>
      <c r="S201" s="17" t="n"/>
      <c r="T201" s="27" t="n"/>
      <c r="U201" s="27" t="n"/>
      <c r="V201" s="10" t="n"/>
    </row>
    <row r="202">
      <c r="A202" s="16" t="n"/>
      <c r="B202" s="17" t="n"/>
      <c r="C202" s="17" t="n"/>
      <c r="D202" s="10" t="n"/>
      <c r="E202" s="10" t="n"/>
      <c r="F202" s="17" t="n"/>
      <c r="G202" s="19" t="n"/>
      <c r="H202" s="16" t="n"/>
      <c r="I202" s="16" t="n"/>
      <c r="J202" s="16" t="n"/>
      <c r="K202" s="26" t="n"/>
      <c r="L202" s="26" t="n"/>
      <c r="M202" s="16" t="n"/>
      <c r="N202" s="9" t="n"/>
      <c r="O202" s="16" t="n"/>
      <c r="P202" s="16" t="n"/>
      <c r="Q202" s="24" t="n"/>
      <c r="R202" s="17" t="n"/>
      <c r="S202" s="17" t="n"/>
      <c r="T202" s="27" t="n"/>
      <c r="U202" s="27" t="n"/>
      <c r="V202" s="10" t="n"/>
    </row>
    <row r="203">
      <c r="A203" s="16" t="n"/>
      <c r="B203" s="17" t="n"/>
      <c r="C203" s="17" t="n"/>
      <c r="D203" s="10" t="n"/>
      <c r="E203" s="10" t="n"/>
      <c r="F203" s="17" t="n"/>
      <c r="G203" s="19" t="n"/>
      <c r="H203" s="16" t="n"/>
      <c r="I203" s="16" t="n"/>
      <c r="J203" s="16" t="n"/>
      <c r="K203" s="26" t="n"/>
      <c r="L203" s="26" t="n"/>
      <c r="M203" s="16" t="n"/>
      <c r="N203" s="9" t="n"/>
      <c r="O203" s="16" t="n"/>
      <c r="P203" s="16" t="n"/>
      <c r="Q203" s="24" t="n"/>
      <c r="R203" s="17" t="n"/>
      <c r="S203" s="17" t="n"/>
      <c r="T203" s="27" t="n"/>
      <c r="U203" s="27" t="n"/>
      <c r="V203" s="10" t="n"/>
    </row>
    <row r="204">
      <c r="A204" s="16" t="n"/>
      <c r="B204" s="17" t="n"/>
      <c r="C204" s="17" t="n"/>
      <c r="D204" s="10" t="n"/>
      <c r="E204" s="10" t="n"/>
      <c r="F204" s="17" t="n"/>
      <c r="G204" s="19" t="n"/>
      <c r="H204" s="16" t="n"/>
      <c r="I204" s="16" t="n"/>
      <c r="J204" s="16" t="n"/>
      <c r="K204" s="26" t="n"/>
      <c r="L204" s="26" t="n"/>
      <c r="M204" s="16" t="n"/>
      <c r="N204" s="9" t="n"/>
      <c r="O204" s="16" t="n"/>
      <c r="P204" s="16" t="n"/>
      <c r="Q204" s="24" t="n"/>
      <c r="R204" s="17" t="n"/>
      <c r="S204" s="17" t="n"/>
      <c r="T204" s="27" t="n"/>
      <c r="U204" s="27" t="n"/>
      <c r="V204" s="10" t="n"/>
    </row>
    <row r="205">
      <c r="A205" s="16" t="n"/>
      <c r="B205" s="17" t="n"/>
      <c r="C205" s="17" t="n"/>
      <c r="D205" s="10" t="n"/>
      <c r="E205" s="10" t="n"/>
      <c r="F205" s="17" t="n"/>
      <c r="G205" s="19" t="n"/>
      <c r="H205" s="16" t="n"/>
      <c r="I205" s="16" t="n"/>
      <c r="J205" s="16" t="n"/>
      <c r="K205" s="26" t="n"/>
      <c r="L205" s="26" t="n"/>
      <c r="M205" s="16" t="n"/>
      <c r="N205" s="9" t="n"/>
      <c r="O205" s="16" t="n"/>
      <c r="P205" s="16" t="n"/>
      <c r="Q205" s="24" t="n"/>
      <c r="R205" s="17" t="n"/>
      <c r="S205" s="17" t="n"/>
      <c r="T205" s="27" t="n"/>
      <c r="U205" s="27" t="n"/>
      <c r="V205" s="10" t="n"/>
    </row>
    <row r="206">
      <c r="A206" s="16" t="n"/>
      <c r="B206" s="17" t="n"/>
      <c r="C206" s="17" t="n"/>
      <c r="D206" s="10" t="n"/>
      <c r="E206" s="10" t="n"/>
      <c r="F206" s="17" t="n"/>
      <c r="G206" s="19" t="n"/>
      <c r="H206" s="16" t="n"/>
      <c r="I206" s="16" t="n"/>
      <c r="J206" s="16" t="n"/>
      <c r="K206" s="26" t="n"/>
      <c r="L206" s="26" t="n"/>
      <c r="M206" s="16" t="n"/>
      <c r="N206" s="9" t="n"/>
      <c r="O206" s="16" t="n"/>
      <c r="P206" s="16" t="n"/>
      <c r="Q206" s="24" t="n"/>
      <c r="R206" s="17" t="n"/>
      <c r="S206" s="17" t="n"/>
      <c r="T206" s="27" t="n"/>
      <c r="U206" s="27" t="n"/>
      <c r="V206" s="10" t="n"/>
    </row>
    <row r="207">
      <c r="A207" s="16" t="n"/>
      <c r="B207" s="17" t="n"/>
      <c r="C207" s="17" t="n"/>
      <c r="D207" s="10" t="n"/>
      <c r="E207" s="10" t="n"/>
      <c r="F207" s="17" t="n"/>
      <c r="G207" s="19" t="n"/>
      <c r="H207" s="16" t="n"/>
      <c r="I207" s="16" t="n"/>
      <c r="J207" s="16" t="n"/>
      <c r="K207" s="26" t="n"/>
      <c r="L207" s="26" t="n"/>
      <c r="M207" s="16" t="n"/>
      <c r="N207" s="9" t="n"/>
      <c r="O207" s="16" t="n"/>
      <c r="P207" s="16" t="n"/>
      <c r="Q207" s="24" t="n"/>
      <c r="R207" s="17" t="n"/>
      <c r="S207" s="17" t="n"/>
      <c r="T207" s="27" t="n"/>
      <c r="U207" s="27" t="n"/>
      <c r="V207" s="10" t="n"/>
    </row>
    <row r="208">
      <c r="A208" s="16" t="n"/>
      <c r="B208" s="17" t="n"/>
      <c r="C208" s="17" t="n"/>
      <c r="D208" s="10" t="n"/>
      <c r="E208" s="10" t="n"/>
      <c r="F208" s="17" t="n"/>
      <c r="G208" s="19" t="n"/>
      <c r="H208" s="16" t="n"/>
      <c r="I208" s="16" t="n"/>
      <c r="J208" s="16" t="n"/>
      <c r="K208" s="26" t="n"/>
      <c r="L208" s="26" t="n"/>
      <c r="M208" s="16" t="n"/>
      <c r="N208" s="9" t="n"/>
      <c r="O208" s="16" t="n"/>
      <c r="P208" s="16" t="n"/>
      <c r="Q208" s="24" t="n"/>
      <c r="R208" s="17" t="n"/>
      <c r="S208" s="17" t="n"/>
      <c r="T208" s="27" t="n"/>
      <c r="U208" s="27" t="n"/>
      <c r="V208" s="10" t="n"/>
    </row>
    <row r="209">
      <c r="A209" s="16" t="n"/>
      <c r="B209" s="17" t="n"/>
      <c r="C209" s="17" t="n"/>
      <c r="D209" s="10" t="n"/>
      <c r="E209" s="10" t="n"/>
      <c r="F209" s="17" t="n"/>
      <c r="G209" s="19" t="n"/>
      <c r="H209" s="16" t="n"/>
      <c r="I209" s="16" t="n"/>
      <c r="J209" s="16" t="n"/>
      <c r="K209" s="26" t="n"/>
      <c r="L209" s="26" t="n"/>
      <c r="M209" s="16" t="n"/>
      <c r="N209" s="9" t="n"/>
      <c r="O209" s="16" t="n"/>
      <c r="P209" s="16" t="n"/>
      <c r="Q209" s="24" t="n"/>
      <c r="R209" s="17" t="n"/>
      <c r="S209" s="17" t="n"/>
      <c r="T209" s="27" t="n"/>
      <c r="U209" s="27" t="n"/>
      <c r="V209" s="10" t="n"/>
    </row>
    <row r="210">
      <c r="A210" s="16" t="n"/>
      <c r="B210" s="17" t="n"/>
      <c r="C210" s="17" t="n"/>
      <c r="D210" s="10" t="n"/>
      <c r="E210" s="10" t="n"/>
      <c r="F210" s="17" t="n"/>
      <c r="G210" s="19" t="n"/>
      <c r="H210" s="16" t="n"/>
      <c r="I210" s="16" t="n"/>
      <c r="J210" s="16" t="n"/>
      <c r="K210" s="26" t="n"/>
      <c r="L210" s="26" t="n"/>
      <c r="M210" s="16" t="n"/>
      <c r="N210" s="9" t="n"/>
      <c r="O210" s="16" t="n"/>
      <c r="P210" s="16" t="n"/>
      <c r="Q210" s="24" t="n"/>
      <c r="R210" s="17" t="n"/>
      <c r="S210" s="17" t="n"/>
      <c r="T210" s="27" t="n"/>
      <c r="U210" s="27" t="n"/>
      <c r="V210" s="10" t="n"/>
    </row>
    <row r="211">
      <c r="A211" s="16" t="n"/>
      <c r="B211" s="17" t="n"/>
      <c r="C211" s="17" t="n"/>
      <c r="D211" s="10" t="n"/>
      <c r="E211" s="10" t="n"/>
      <c r="F211" s="17" t="n"/>
      <c r="G211" s="19" t="n"/>
      <c r="H211" s="16" t="n"/>
      <c r="I211" s="16" t="n"/>
      <c r="J211" s="16" t="n"/>
      <c r="K211" s="26" t="n"/>
      <c r="L211" s="26" t="n"/>
      <c r="M211" s="16" t="n"/>
      <c r="N211" s="9" t="n"/>
      <c r="O211" s="16" t="n"/>
      <c r="P211" s="16" t="n"/>
      <c r="Q211" s="24" t="n"/>
      <c r="R211" s="17" t="n"/>
      <c r="S211" s="17" t="n"/>
      <c r="T211" s="27" t="n"/>
      <c r="U211" s="27" t="n"/>
      <c r="V211" s="10" t="n"/>
    </row>
    <row r="212">
      <c r="A212" s="16" t="n"/>
      <c r="B212" s="17" t="n"/>
      <c r="C212" s="17" t="n"/>
      <c r="D212" s="10" t="n"/>
      <c r="E212" s="10" t="n"/>
      <c r="F212" s="17" t="n"/>
      <c r="G212" s="19" t="n"/>
      <c r="H212" s="16" t="n"/>
      <c r="I212" s="16" t="n"/>
      <c r="J212" s="16" t="n"/>
      <c r="K212" s="26" t="n"/>
      <c r="L212" s="26" t="n"/>
      <c r="M212" s="16" t="n"/>
      <c r="N212" s="9" t="n"/>
      <c r="O212" s="16" t="n"/>
      <c r="P212" s="16" t="n"/>
      <c r="Q212" s="24" t="n"/>
      <c r="R212" s="17" t="n"/>
      <c r="S212" s="17" t="n"/>
      <c r="T212" s="27" t="n"/>
      <c r="U212" s="27" t="n"/>
      <c r="V212" s="10" t="n"/>
    </row>
    <row r="213">
      <c r="A213" s="16" t="n"/>
      <c r="B213" s="17" t="n"/>
      <c r="C213" s="17" t="n"/>
      <c r="D213" s="10" t="n"/>
      <c r="E213" s="10" t="n"/>
      <c r="F213" s="17" t="n"/>
      <c r="G213" s="19" t="n"/>
      <c r="H213" s="16" t="n"/>
      <c r="I213" s="16" t="n"/>
      <c r="J213" s="16" t="n"/>
      <c r="K213" s="26" t="n"/>
      <c r="L213" s="26" t="n"/>
      <c r="M213" s="16" t="n"/>
      <c r="N213" s="9" t="n"/>
      <c r="O213" s="16" t="n"/>
      <c r="P213" s="16" t="n"/>
      <c r="Q213" s="24" t="n"/>
      <c r="R213" s="17" t="n"/>
      <c r="S213" s="17" t="n"/>
      <c r="T213" s="27" t="n"/>
      <c r="U213" s="27" t="n"/>
      <c r="V213" s="10" t="n"/>
    </row>
    <row r="214">
      <c r="A214" s="16" t="n"/>
      <c r="B214" s="17" t="n"/>
      <c r="C214" s="17" t="n"/>
      <c r="D214" s="10" t="n"/>
      <c r="E214" s="10" t="n"/>
      <c r="F214" s="17" t="n"/>
      <c r="G214" s="19" t="n"/>
      <c r="H214" s="16" t="n"/>
      <c r="I214" s="16" t="n"/>
      <c r="J214" s="16" t="n"/>
      <c r="K214" s="26" t="n"/>
      <c r="L214" s="26" t="n"/>
      <c r="M214" s="16" t="n"/>
      <c r="N214" s="9" t="n"/>
      <c r="O214" s="16" t="n"/>
      <c r="P214" s="16" t="n"/>
      <c r="Q214" s="24" t="n"/>
      <c r="R214" s="17" t="n"/>
      <c r="S214" s="17" t="n"/>
      <c r="T214" s="27" t="n"/>
      <c r="U214" s="27" t="n"/>
      <c r="V214" s="10" t="n"/>
    </row>
    <row r="215">
      <c r="A215" s="16" t="n"/>
      <c r="B215" s="17" t="n"/>
      <c r="C215" s="17" t="n"/>
      <c r="D215" s="10" t="n"/>
      <c r="E215" s="10" t="n"/>
      <c r="F215" s="17" t="n"/>
      <c r="G215" s="19" t="n"/>
      <c r="H215" s="16" t="n"/>
      <c r="I215" s="16" t="n"/>
      <c r="J215" s="16" t="n"/>
      <c r="K215" s="26" t="n"/>
      <c r="L215" s="26" t="n"/>
      <c r="M215" s="16" t="n"/>
      <c r="N215" s="9" t="n"/>
      <c r="O215" s="16" t="n"/>
      <c r="P215" s="16" t="n"/>
      <c r="Q215" s="24" t="n"/>
      <c r="R215" s="17" t="n"/>
      <c r="S215" s="17" t="n"/>
      <c r="T215" s="27" t="n"/>
      <c r="U215" s="27" t="n"/>
      <c r="V215" s="10" t="n"/>
    </row>
    <row r="216">
      <c r="A216" s="16" t="n"/>
      <c r="B216" s="17" t="n"/>
      <c r="C216" s="17" t="n"/>
      <c r="D216" s="10" t="n"/>
      <c r="E216" s="10" t="n"/>
      <c r="F216" s="17" t="n"/>
      <c r="G216" s="19" t="n"/>
      <c r="H216" s="16" t="n"/>
      <c r="I216" s="16" t="n"/>
      <c r="J216" s="16" t="n"/>
      <c r="K216" s="26" t="n"/>
      <c r="L216" s="26" t="n"/>
      <c r="M216" s="16" t="n"/>
      <c r="N216" s="9" t="n"/>
      <c r="O216" s="16" t="n"/>
      <c r="P216" s="16" t="n"/>
      <c r="Q216" s="24" t="n"/>
      <c r="R216" s="17" t="n"/>
      <c r="S216" s="17" t="n"/>
      <c r="T216" s="27" t="n"/>
      <c r="U216" s="27" t="n"/>
      <c r="V216" s="10" t="n"/>
    </row>
    <row r="217">
      <c r="A217" s="16" t="n"/>
      <c r="B217" s="17" t="n"/>
      <c r="C217" s="17" t="n"/>
      <c r="D217" s="10" t="n"/>
      <c r="E217" s="10" t="n"/>
      <c r="F217" s="17" t="n"/>
      <c r="G217" s="19" t="n"/>
      <c r="H217" s="16" t="n"/>
      <c r="I217" s="16" t="n"/>
      <c r="J217" s="16" t="n"/>
      <c r="K217" s="26" t="n"/>
      <c r="L217" s="26" t="n"/>
      <c r="M217" s="16" t="n"/>
      <c r="N217" s="9" t="n"/>
      <c r="O217" s="16" t="n"/>
      <c r="P217" s="16" t="n"/>
      <c r="Q217" s="24" t="n"/>
      <c r="R217" s="17" t="n"/>
      <c r="S217" s="17" t="n"/>
      <c r="T217" s="27" t="n"/>
      <c r="U217" s="27" t="n"/>
      <c r="V217" s="10" t="n"/>
    </row>
    <row r="218">
      <c r="A218" s="16" t="n"/>
      <c r="B218" s="17" t="n"/>
      <c r="C218" s="17" t="n"/>
      <c r="D218" s="10" t="n"/>
      <c r="E218" s="10" t="n"/>
      <c r="F218" s="17" t="n"/>
      <c r="G218" s="19" t="n"/>
      <c r="H218" s="16" t="n"/>
      <c r="I218" s="16" t="n"/>
      <c r="J218" s="16" t="n"/>
      <c r="K218" s="26" t="n"/>
      <c r="L218" s="26" t="n"/>
      <c r="M218" s="16" t="n"/>
      <c r="N218" s="9" t="n"/>
      <c r="O218" s="16" t="n"/>
      <c r="P218" s="16" t="n"/>
      <c r="Q218" s="24" t="n"/>
      <c r="R218" s="17" t="n"/>
      <c r="S218" s="17" t="n"/>
      <c r="T218" s="27" t="n"/>
      <c r="U218" s="27" t="n"/>
      <c r="V218" s="10" t="n"/>
    </row>
    <row r="219">
      <c r="A219" s="16" t="n"/>
      <c r="B219" s="17" t="n"/>
      <c r="C219" s="17" t="n"/>
      <c r="D219" s="10" t="n"/>
      <c r="E219" s="10" t="n"/>
      <c r="F219" s="17" t="n"/>
      <c r="G219" s="19" t="n"/>
      <c r="H219" s="16" t="n"/>
      <c r="I219" s="16" t="n"/>
      <c r="J219" s="16" t="n"/>
      <c r="K219" s="26" t="n"/>
      <c r="L219" s="26" t="n"/>
      <c r="M219" s="16" t="n"/>
      <c r="N219" s="9" t="n"/>
      <c r="O219" s="16" t="n"/>
      <c r="P219" s="16" t="n"/>
      <c r="Q219" s="24" t="n"/>
      <c r="R219" s="17" t="n"/>
      <c r="S219" s="17" t="n"/>
      <c r="T219" s="27" t="n"/>
      <c r="U219" s="27" t="n"/>
      <c r="V219" s="10" t="n"/>
    </row>
    <row r="220">
      <c r="A220" s="16" t="n"/>
      <c r="B220" s="17" t="n"/>
      <c r="C220" s="17" t="n"/>
      <c r="D220" s="10" t="n"/>
      <c r="E220" s="10" t="n"/>
      <c r="F220" s="17" t="n"/>
      <c r="G220" s="19" t="n"/>
      <c r="H220" s="16" t="n"/>
      <c r="I220" s="16" t="n"/>
      <c r="J220" s="16" t="n"/>
      <c r="K220" s="26" t="n"/>
      <c r="L220" s="26" t="n"/>
      <c r="M220" s="16" t="n"/>
      <c r="N220" s="9" t="n"/>
      <c r="O220" s="16" t="n"/>
      <c r="P220" s="16" t="n"/>
      <c r="Q220" s="24" t="n"/>
      <c r="R220" s="17" t="n"/>
      <c r="S220" s="17" t="n"/>
      <c r="T220" s="27" t="n"/>
      <c r="U220" s="27" t="n"/>
      <c r="V220" s="10" t="n"/>
    </row>
    <row r="221">
      <c r="A221" s="16" t="n"/>
      <c r="B221" s="17" t="n"/>
      <c r="C221" s="17" t="n"/>
      <c r="D221" s="10" t="n"/>
      <c r="E221" s="10" t="n"/>
      <c r="F221" s="17" t="n"/>
      <c r="G221" s="19" t="n"/>
      <c r="H221" s="16" t="n"/>
      <c r="I221" s="16" t="n"/>
      <c r="J221" s="16" t="n"/>
      <c r="K221" s="26" t="n"/>
      <c r="L221" s="26" t="n"/>
      <c r="M221" s="16" t="n"/>
      <c r="N221" s="9" t="n"/>
      <c r="O221" s="16" t="n"/>
      <c r="P221" s="16" t="n"/>
      <c r="Q221" s="24" t="n"/>
      <c r="R221" s="17" t="n"/>
      <c r="S221" s="17" t="n"/>
      <c r="T221" s="27" t="n"/>
      <c r="U221" s="27" t="n"/>
      <c r="V221" s="10" t="n"/>
    </row>
    <row r="222">
      <c r="A222" s="16" t="n"/>
      <c r="B222" s="17" t="n"/>
      <c r="C222" s="17" t="n"/>
      <c r="D222" s="10" t="n"/>
      <c r="E222" s="10" t="n"/>
      <c r="F222" s="17" t="n"/>
      <c r="G222" s="19" t="n"/>
      <c r="H222" s="16" t="n"/>
      <c r="I222" s="16" t="n"/>
      <c r="J222" s="16" t="n"/>
      <c r="K222" s="26" t="n"/>
      <c r="L222" s="26" t="n"/>
      <c r="M222" s="16" t="n"/>
      <c r="N222" s="9" t="n"/>
      <c r="O222" s="16" t="n"/>
      <c r="P222" s="16" t="n"/>
      <c r="Q222" s="24" t="n"/>
      <c r="R222" s="17" t="n"/>
      <c r="S222" s="17" t="n"/>
      <c r="T222" s="27" t="n"/>
      <c r="U222" s="27" t="n"/>
      <c r="V222" s="10" t="n"/>
    </row>
    <row r="223">
      <c r="A223" s="16" t="n"/>
      <c r="B223" s="17" t="n"/>
      <c r="C223" s="17" t="n"/>
      <c r="D223" s="10" t="n"/>
      <c r="E223" s="10" t="n"/>
      <c r="F223" s="17" t="n"/>
      <c r="G223" s="19" t="n"/>
      <c r="H223" s="16" t="n"/>
      <c r="I223" s="16" t="n"/>
      <c r="J223" s="16" t="n"/>
      <c r="K223" s="26" t="n"/>
      <c r="L223" s="26" t="n"/>
      <c r="M223" s="16" t="n"/>
      <c r="N223" s="9" t="n"/>
      <c r="O223" s="16" t="n"/>
      <c r="P223" s="16" t="n"/>
      <c r="Q223" s="24" t="n"/>
      <c r="R223" s="17" t="n"/>
      <c r="S223" s="17" t="n"/>
      <c r="T223" s="27" t="n"/>
      <c r="U223" s="27" t="n"/>
      <c r="V223" s="10" t="n"/>
    </row>
    <row r="224">
      <c r="A224" s="16" t="n"/>
      <c r="B224" s="17" t="n"/>
      <c r="C224" s="17" t="n"/>
      <c r="D224" s="10" t="n"/>
      <c r="E224" s="10" t="n"/>
      <c r="F224" s="17" t="n"/>
      <c r="G224" s="19" t="n"/>
      <c r="H224" s="16" t="n"/>
      <c r="I224" s="16" t="n"/>
      <c r="J224" s="16" t="n"/>
      <c r="K224" s="26" t="n"/>
      <c r="L224" s="26" t="n"/>
      <c r="M224" s="16" t="n"/>
      <c r="N224" s="9" t="n"/>
      <c r="O224" s="16" t="n"/>
      <c r="P224" s="16" t="n"/>
      <c r="Q224" s="24" t="n"/>
      <c r="R224" s="17" t="n"/>
      <c r="S224" s="17" t="n"/>
      <c r="T224" s="27" t="n"/>
      <c r="U224" s="27" t="n"/>
      <c r="V224" s="10" t="n"/>
    </row>
    <row r="225">
      <c r="A225" s="16" t="n"/>
      <c r="B225" s="17" t="n"/>
      <c r="C225" s="17" t="n"/>
      <c r="D225" s="10" t="n"/>
      <c r="E225" s="10" t="n"/>
      <c r="F225" s="17" t="n"/>
      <c r="G225" s="19" t="n"/>
      <c r="H225" s="16" t="n"/>
      <c r="I225" s="16" t="n"/>
      <c r="J225" s="16" t="n"/>
      <c r="K225" s="26" t="n"/>
      <c r="L225" s="26" t="n"/>
      <c r="M225" s="16" t="n"/>
      <c r="N225" s="9" t="n"/>
      <c r="O225" s="16" t="n"/>
      <c r="P225" s="16" t="n"/>
      <c r="Q225" s="24" t="n"/>
      <c r="R225" s="17" t="n"/>
      <c r="S225" s="17" t="n"/>
      <c r="T225" s="27" t="n"/>
      <c r="U225" s="27" t="n"/>
      <c r="V225" s="10" t="n"/>
    </row>
    <row r="226">
      <c r="A226" s="16" t="n"/>
      <c r="B226" s="17" t="n"/>
      <c r="C226" s="17" t="n"/>
      <c r="D226" s="10" t="n"/>
      <c r="E226" s="10" t="n"/>
      <c r="F226" s="17" t="n"/>
      <c r="G226" s="19" t="n"/>
      <c r="H226" s="16" t="n"/>
      <c r="I226" s="16" t="n"/>
      <c r="J226" s="16" t="n"/>
      <c r="K226" s="26" t="n"/>
      <c r="L226" s="26" t="n"/>
      <c r="M226" s="16" t="n"/>
      <c r="N226" s="9" t="n"/>
      <c r="O226" s="16" t="n"/>
      <c r="P226" s="16" t="n"/>
      <c r="Q226" s="24" t="n"/>
      <c r="R226" s="17" t="n"/>
      <c r="S226" s="17" t="n"/>
      <c r="T226" s="27" t="n"/>
      <c r="U226" s="27" t="n"/>
      <c r="V226" s="10" t="n"/>
    </row>
    <row r="227">
      <c r="A227" s="16" t="n"/>
      <c r="B227" s="17" t="n"/>
      <c r="C227" s="17" t="n"/>
      <c r="D227" s="10" t="n"/>
      <c r="E227" s="10" t="n"/>
      <c r="F227" s="17" t="n"/>
      <c r="G227" s="19" t="n"/>
      <c r="H227" s="16" t="n"/>
      <c r="I227" s="16" t="n"/>
      <c r="J227" s="16" t="n"/>
      <c r="K227" s="26" t="n"/>
      <c r="L227" s="26" t="n"/>
      <c r="M227" s="16" t="n"/>
      <c r="N227" s="9" t="n"/>
      <c r="O227" s="16" t="n"/>
      <c r="P227" s="16" t="n"/>
      <c r="Q227" s="24" t="n"/>
      <c r="R227" s="17" t="n"/>
      <c r="S227" s="17" t="n"/>
      <c r="T227" s="27" t="n"/>
      <c r="U227" s="27" t="n"/>
      <c r="V227" s="10" t="n"/>
    </row>
    <row r="228">
      <c r="A228" s="16" t="n"/>
      <c r="B228" s="17" t="n"/>
      <c r="C228" s="17" t="n"/>
      <c r="D228" s="10" t="n"/>
      <c r="E228" s="10" t="n"/>
      <c r="F228" s="17" t="n"/>
      <c r="G228" s="19" t="n"/>
      <c r="H228" s="16" t="n"/>
      <c r="I228" s="16" t="n"/>
      <c r="J228" s="16" t="n"/>
      <c r="K228" s="26" t="n"/>
      <c r="L228" s="26" t="n"/>
      <c r="M228" s="16" t="n"/>
      <c r="N228" s="9" t="n"/>
      <c r="O228" s="16" t="n"/>
      <c r="P228" s="16" t="n"/>
      <c r="Q228" s="24" t="n"/>
      <c r="R228" s="17" t="n"/>
      <c r="S228" s="17" t="n"/>
      <c r="T228" s="27" t="n"/>
      <c r="U228" s="27" t="n"/>
      <c r="V228" s="10" t="n"/>
    </row>
    <row r="229">
      <c r="A229" s="16" t="n"/>
      <c r="B229" s="17" t="n"/>
      <c r="C229" s="17" t="n"/>
      <c r="D229" s="10" t="n"/>
      <c r="E229" s="10" t="n"/>
      <c r="F229" s="17" t="n"/>
      <c r="G229" s="19" t="n"/>
      <c r="H229" s="16" t="n"/>
      <c r="I229" s="16" t="n"/>
      <c r="J229" s="16" t="n"/>
      <c r="K229" s="26" t="n"/>
      <c r="L229" s="26" t="n"/>
      <c r="M229" s="16" t="n"/>
      <c r="N229" s="9" t="n"/>
      <c r="O229" s="16" t="n"/>
      <c r="P229" s="16" t="n"/>
      <c r="Q229" s="24" t="n"/>
      <c r="R229" s="17" t="n"/>
      <c r="S229" s="17" t="n"/>
      <c r="T229" s="27" t="n"/>
      <c r="U229" s="27" t="n"/>
      <c r="V229" s="10" t="n"/>
    </row>
    <row r="230">
      <c r="A230" s="16" t="n"/>
      <c r="B230" s="17" t="n"/>
      <c r="C230" s="17" t="n"/>
      <c r="D230" s="10" t="n"/>
      <c r="E230" s="10" t="n"/>
      <c r="F230" s="17" t="n"/>
      <c r="G230" s="19" t="n"/>
      <c r="H230" s="16" t="n"/>
      <c r="I230" s="16" t="n"/>
      <c r="J230" s="16" t="n"/>
      <c r="K230" s="26" t="n"/>
      <c r="L230" s="26" t="n"/>
      <c r="M230" s="16" t="n"/>
      <c r="N230" s="9" t="n"/>
      <c r="O230" s="16" t="n"/>
      <c r="P230" s="16" t="n"/>
      <c r="Q230" s="24" t="n"/>
      <c r="R230" s="17" t="n"/>
      <c r="S230" s="17" t="n"/>
      <c r="T230" s="27" t="n"/>
      <c r="U230" s="27" t="n"/>
      <c r="V230" s="10" t="n"/>
    </row>
    <row r="231">
      <c r="A231" s="16" t="n"/>
      <c r="B231" s="17" t="n"/>
      <c r="C231" s="17" t="n"/>
      <c r="D231" s="10" t="n"/>
      <c r="E231" s="10" t="n"/>
      <c r="F231" s="17" t="n"/>
      <c r="G231" s="19" t="n"/>
      <c r="H231" s="16" t="n"/>
      <c r="I231" s="16" t="n"/>
      <c r="J231" s="16" t="n"/>
      <c r="K231" s="26" t="n"/>
      <c r="L231" s="26" t="n"/>
      <c r="M231" s="16" t="n"/>
      <c r="N231" s="9" t="n"/>
      <c r="O231" s="16" t="n"/>
      <c r="P231" s="16" t="n"/>
      <c r="Q231" s="24" t="n"/>
      <c r="R231" s="17" t="n"/>
      <c r="S231" s="17" t="n"/>
      <c r="T231" s="27" t="n"/>
      <c r="U231" s="27" t="n"/>
      <c r="V231" s="10" t="n"/>
    </row>
    <row r="232">
      <c r="A232" s="16" t="n"/>
      <c r="B232" s="17" t="n"/>
      <c r="C232" s="17" t="n"/>
      <c r="D232" s="10" t="n"/>
      <c r="E232" s="10" t="n"/>
      <c r="F232" s="17" t="n"/>
      <c r="G232" s="19" t="n"/>
      <c r="H232" s="16" t="n"/>
      <c r="I232" s="16" t="n"/>
      <c r="J232" s="16" t="n"/>
      <c r="K232" s="26" t="n"/>
      <c r="L232" s="26" t="n"/>
      <c r="M232" s="16" t="n"/>
      <c r="N232" s="9" t="n"/>
      <c r="O232" s="16" t="n"/>
      <c r="P232" s="16" t="n"/>
      <c r="Q232" s="24" t="n"/>
      <c r="R232" s="17" t="n"/>
      <c r="S232" s="17" t="n"/>
      <c r="T232" s="27" t="n"/>
      <c r="U232" s="27" t="n"/>
      <c r="V232" s="10" t="n"/>
    </row>
    <row r="233">
      <c r="A233" s="16" t="n"/>
      <c r="B233" s="17" t="n"/>
      <c r="C233" s="17" t="n"/>
      <c r="D233" s="10" t="n"/>
      <c r="E233" s="10" t="n"/>
      <c r="F233" s="17" t="n"/>
      <c r="G233" s="19" t="n"/>
      <c r="H233" s="16" t="n"/>
      <c r="I233" s="16" t="n"/>
      <c r="J233" s="16" t="n"/>
      <c r="K233" s="26" t="n"/>
      <c r="L233" s="26" t="n"/>
      <c r="M233" s="16" t="n"/>
      <c r="N233" s="9" t="n"/>
      <c r="O233" s="16" t="n"/>
      <c r="P233" s="16" t="n"/>
      <c r="Q233" s="24" t="n"/>
      <c r="R233" s="17" t="n"/>
      <c r="S233" s="17" t="n"/>
      <c r="T233" s="27" t="n"/>
      <c r="U233" s="27" t="n"/>
      <c r="V233" s="10" t="n"/>
    </row>
    <row r="234">
      <c r="A234" s="16" t="n"/>
      <c r="B234" s="17" t="n"/>
      <c r="C234" s="17" t="n"/>
      <c r="D234" s="10" t="n"/>
      <c r="E234" s="10" t="n"/>
      <c r="F234" s="17" t="n"/>
      <c r="G234" s="19" t="n"/>
      <c r="H234" s="16" t="n"/>
      <c r="I234" s="16" t="n"/>
      <c r="J234" s="16" t="n"/>
      <c r="K234" s="26" t="n"/>
      <c r="L234" s="26" t="n"/>
      <c r="M234" s="16" t="n"/>
      <c r="N234" s="9" t="n"/>
      <c r="O234" s="16" t="n"/>
      <c r="P234" s="16" t="n"/>
      <c r="Q234" s="24" t="n"/>
      <c r="R234" s="17" t="n"/>
      <c r="S234" s="17" t="n"/>
      <c r="T234" s="27" t="n"/>
      <c r="U234" s="27" t="n"/>
      <c r="V234" s="10" t="n"/>
    </row>
    <row r="235">
      <c r="A235" s="16" t="n"/>
      <c r="B235" s="17" t="n"/>
      <c r="C235" s="17" t="n"/>
      <c r="D235" s="10" t="n"/>
      <c r="E235" s="10" t="n"/>
      <c r="F235" s="17" t="n"/>
      <c r="G235" s="19" t="n"/>
      <c r="H235" s="16" t="n"/>
      <c r="I235" s="16" t="n"/>
      <c r="J235" s="16" t="n"/>
      <c r="K235" s="26" t="n"/>
      <c r="L235" s="26" t="n"/>
      <c r="M235" s="16" t="n"/>
      <c r="N235" s="9" t="n"/>
      <c r="O235" s="16" t="n"/>
      <c r="P235" s="16" t="n"/>
      <c r="Q235" s="24" t="n"/>
      <c r="R235" s="17" t="n"/>
      <c r="S235" s="17" t="n"/>
      <c r="T235" s="27" t="n"/>
      <c r="U235" s="27" t="n"/>
      <c r="V235" s="10" t="n"/>
    </row>
    <row r="236">
      <c r="A236" s="16" t="n"/>
      <c r="B236" s="17" t="n"/>
      <c r="C236" s="17" t="n"/>
      <c r="D236" s="10" t="n"/>
      <c r="E236" s="10" t="n"/>
      <c r="F236" s="17" t="n"/>
      <c r="G236" s="19" t="n"/>
      <c r="H236" s="16" t="n"/>
      <c r="I236" s="16" t="n"/>
      <c r="J236" s="16" t="n"/>
      <c r="K236" s="26" t="n"/>
      <c r="L236" s="26" t="n"/>
      <c r="M236" s="16" t="n"/>
      <c r="N236" s="9" t="n"/>
      <c r="O236" s="16" t="n"/>
      <c r="P236" s="16" t="n"/>
      <c r="Q236" s="24" t="n"/>
      <c r="R236" s="17" t="n"/>
      <c r="S236" s="17" t="n"/>
      <c r="T236" s="27" t="n"/>
      <c r="U236" s="27" t="n"/>
      <c r="V236" s="10" t="n"/>
    </row>
    <row r="237">
      <c r="A237" s="16" t="n"/>
      <c r="B237" s="17" t="n"/>
      <c r="C237" s="17" t="n"/>
      <c r="D237" s="10" t="n"/>
      <c r="E237" s="10" t="n"/>
      <c r="F237" s="17" t="n"/>
      <c r="G237" s="19" t="n"/>
      <c r="H237" s="16" t="n"/>
      <c r="I237" s="16" t="n"/>
      <c r="J237" s="16" t="n"/>
      <c r="K237" s="26" t="n"/>
      <c r="L237" s="26" t="n"/>
      <c r="M237" s="16" t="n"/>
      <c r="N237" s="9" t="n"/>
      <c r="O237" s="16" t="n"/>
      <c r="P237" s="16" t="n"/>
      <c r="Q237" s="24" t="n"/>
      <c r="R237" s="17" t="n"/>
      <c r="S237" s="17" t="n"/>
      <c r="T237" s="27" t="n"/>
      <c r="U237" s="27" t="n"/>
      <c r="V237" s="10" t="n"/>
    </row>
    <row r="238">
      <c r="A238" s="16" t="n"/>
      <c r="B238" s="17" t="n"/>
      <c r="C238" s="17" t="n"/>
      <c r="D238" s="10" t="n"/>
      <c r="E238" s="10" t="n"/>
      <c r="F238" s="17" t="n"/>
      <c r="G238" s="19" t="n"/>
      <c r="H238" s="16" t="n"/>
      <c r="I238" s="16" t="n"/>
      <c r="J238" s="16" t="n"/>
      <c r="K238" s="26" t="n"/>
      <c r="L238" s="26" t="n"/>
      <c r="M238" s="16" t="n"/>
      <c r="N238" s="9" t="n"/>
      <c r="O238" s="16" t="n"/>
      <c r="P238" s="16" t="n"/>
      <c r="Q238" s="24" t="n"/>
      <c r="R238" s="17" t="n"/>
      <c r="S238" s="17" t="n"/>
      <c r="T238" s="27" t="n"/>
      <c r="U238" s="27" t="n"/>
      <c r="V238" s="10" t="n"/>
    </row>
    <row r="239">
      <c r="A239" s="16" t="n"/>
      <c r="B239" s="17" t="n"/>
      <c r="C239" s="17" t="n"/>
      <c r="D239" s="10" t="n"/>
      <c r="E239" s="10" t="n"/>
      <c r="F239" s="17" t="n"/>
      <c r="G239" s="19" t="n"/>
      <c r="H239" s="16" t="n"/>
      <c r="I239" s="16" t="n"/>
      <c r="J239" s="16" t="n"/>
      <c r="K239" s="26" t="n"/>
      <c r="L239" s="26" t="n"/>
      <c r="M239" s="16" t="n"/>
      <c r="N239" s="9" t="n"/>
      <c r="O239" s="16" t="n"/>
      <c r="P239" s="16" t="n"/>
      <c r="Q239" s="24" t="n"/>
      <c r="R239" s="17" t="n"/>
      <c r="S239" s="17" t="n"/>
      <c r="T239" s="27" t="n"/>
      <c r="U239" s="27" t="n"/>
      <c r="V239" s="10" t="n"/>
    </row>
    <row r="240">
      <c r="A240" s="16" t="n"/>
      <c r="B240" s="17" t="n"/>
      <c r="C240" s="17" t="n"/>
      <c r="D240" s="10" t="n"/>
      <c r="E240" s="10" t="n"/>
      <c r="F240" s="17" t="n"/>
      <c r="G240" s="19" t="n"/>
      <c r="H240" s="16" t="n"/>
      <c r="I240" s="16" t="n"/>
      <c r="J240" s="16" t="n"/>
      <c r="K240" s="26" t="n"/>
      <c r="L240" s="26" t="n"/>
      <c r="M240" s="16" t="n"/>
      <c r="N240" s="9" t="n"/>
      <c r="O240" s="16" t="n"/>
      <c r="P240" s="16" t="n"/>
      <c r="Q240" s="24" t="n"/>
      <c r="R240" s="17" t="n"/>
      <c r="S240" s="17" t="n"/>
      <c r="T240" s="27" t="n"/>
      <c r="U240" s="27" t="n"/>
      <c r="V240" s="10" t="n"/>
    </row>
    <row r="241">
      <c r="A241" s="16" t="n"/>
      <c r="B241" s="17" t="n"/>
      <c r="C241" s="17" t="n"/>
      <c r="D241" s="10" t="n"/>
      <c r="E241" s="10" t="n"/>
      <c r="F241" s="17" t="n"/>
      <c r="G241" s="19" t="n"/>
      <c r="H241" s="16" t="n"/>
      <c r="I241" s="16" t="n"/>
      <c r="J241" s="16" t="n"/>
      <c r="K241" s="26" t="n"/>
      <c r="L241" s="26" t="n"/>
      <c r="M241" s="16" t="n"/>
      <c r="N241" s="9" t="n"/>
      <c r="O241" s="16" t="n"/>
      <c r="P241" s="16" t="n"/>
      <c r="Q241" s="24" t="n"/>
      <c r="R241" s="17" t="n"/>
      <c r="S241" s="17" t="n"/>
      <c r="T241" s="27" t="n"/>
      <c r="U241" s="27" t="n"/>
      <c r="V241" s="10" t="n"/>
    </row>
    <row r="242">
      <c r="A242" s="16" t="n"/>
      <c r="B242" s="17" t="n"/>
      <c r="C242" s="17" t="n"/>
      <c r="D242" s="10" t="n"/>
      <c r="E242" s="10" t="n"/>
      <c r="F242" s="17" t="n"/>
      <c r="G242" s="19" t="n"/>
      <c r="H242" s="16" t="n"/>
      <c r="I242" s="16" t="n"/>
      <c r="J242" s="16" t="n"/>
      <c r="K242" s="26" t="n"/>
      <c r="L242" s="26" t="n"/>
      <c r="M242" s="16" t="n"/>
      <c r="N242" s="9" t="n"/>
      <c r="O242" s="16" t="n"/>
      <c r="P242" s="16" t="n"/>
      <c r="Q242" s="24" t="n"/>
      <c r="R242" s="17" t="n"/>
      <c r="S242" s="17" t="n"/>
      <c r="T242" s="27" t="n"/>
      <c r="U242" s="27" t="n"/>
      <c r="V242" s="10" t="n"/>
    </row>
    <row r="243">
      <c r="A243" s="16" t="n"/>
      <c r="B243" s="17" t="n"/>
      <c r="C243" s="17" t="n"/>
      <c r="D243" s="10" t="n"/>
      <c r="E243" s="10" t="n"/>
      <c r="F243" s="17" t="n"/>
      <c r="G243" s="19" t="n"/>
      <c r="H243" s="16" t="n"/>
      <c r="I243" s="16" t="n"/>
      <c r="J243" s="16" t="n"/>
      <c r="K243" s="26" t="n"/>
      <c r="L243" s="26" t="n"/>
      <c r="M243" s="16" t="n"/>
      <c r="N243" s="9" t="n"/>
      <c r="O243" s="16" t="n"/>
      <c r="P243" s="16" t="n"/>
      <c r="Q243" s="24" t="n"/>
      <c r="R243" s="17" t="n"/>
      <c r="S243" s="17" t="n"/>
      <c r="T243" s="27" t="n"/>
      <c r="U243" s="27" t="n"/>
      <c r="V243" s="10" t="n"/>
    </row>
    <row r="244">
      <c r="A244" s="16" t="n"/>
      <c r="B244" s="17" t="n"/>
      <c r="C244" s="17" t="n"/>
      <c r="D244" s="10" t="n"/>
      <c r="E244" s="10" t="n"/>
      <c r="F244" s="17" t="n"/>
      <c r="G244" s="19" t="n"/>
      <c r="H244" s="16" t="n"/>
      <c r="I244" s="16" t="n"/>
      <c r="J244" s="16" t="n"/>
      <c r="K244" s="26" t="n"/>
      <c r="L244" s="26" t="n"/>
      <c r="M244" s="16" t="n"/>
      <c r="N244" s="9" t="n"/>
      <c r="O244" s="16" t="n"/>
      <c r="P244" s="16" t="n"/>
      <c r="Q244" s="24" t="n"/>
      <c r="R244" s="17" t="n"/>
      <c r="S244" s="17" t="n"/>
      <c r="T244" s="27" t="n"/>
      <c r="U244" s="27" t="n"/>
      <c r="V244" s="10" t="n"/>
    </row>
    <row r="245">
      <c r="A245" s="16" t="n"/>
      <c r="B245" s="17" t="n"/>
      <c r="C245" s="17" t="n"/>
      <c r="D245" s="10" t="n"/>
      <c r="E245" s="10" t="n"/>
      <c r="F245" s="17" t="n"/>
      <c r="G245" s="19" t="n"/>
      <c r="H245" s="16" t="n"/>
      <c r="I245" s="16" t="n"/>
      <c r="J245" s="16" t="n"/>
      <c r="K245" s="26" t="n"/>
      <c r="L245" s="26" t="n"/>
      <c r="M245" s="16" t="n"/>
      <c r="N245" s="9" t="n"/>
      <c r="O245" s="16" t="n"/>
      <c r="P245" s="16" t="n"/>
      <c r="Q245" s="24" t="n"/>
      <c r="R245" s="17" t="n"/>
      <c r="S245" s="17" t="n"/>
      <c r="T245" s="27" t="n"/>
      <c r="U245" s="27" t="n"/>
      <c r="V245" s="10" t="n"/>
    </row>
    <row r="246">
      <c r="A246" s="16" t="n"/>
      <c r="B246" s="17" t="n"/>
      <c r="C246" s="17" t="n"/>
      <c r="D246" s="10" t="n"/>
      <c r="E246" s="10" t="n"/>
      <c r="F246" s="17" t="n"/>
      <c r="G246" s="19" t="n"/>
      <c r="H246" s="16" t="n"/>
      <c r="I246" s="16" t="n"/>
      <c r="J246" s="16" t="n"/>
      <c r="K246" s="26" t="n"/>
      <c r="L246" s="26" t="n"/>
      <c r="M246" s="16" t="n"/>
      <c r="N246" s="9" t="n"/>
      <c r="O246" s="16" t="n"/>
      <c r="P246" s="16" t="n"/>
      <c r="Q246" s="24" t="n"/>
      <c r="R246" s="17" t="n"/>
      <c r="S246" s="17" t="n"/>
      <c r="T246" s="27" t="n"/>
      <c r="U246" s="27" t="n"/>
      <c r="V246" s="10" t="n"/>
    </row>
    <row r="247">
      <c r="A247" s="16" t="n"/>
      <c r="B247" s="17" t="n"/>
      <c r="C247" s="17" t="n"/>
      <c r="D247" s="10" t="n"/>
      <c r="E247" s="10" t="n"/>
      <c r="F247" s="17" t="n"/>
      <c r="G247" s="19" t="n"/>
      <c r="H247" s="16" t="n"/>
      <c r="I247" s="16" t="n"/>
      <c r="J247" s="16" t="n"/>
      <c r="K247" s="26" t="n"/>
      <c r="L247" s="26" t="n"/>
      <c r="M247" s="16" t="n"/>
      <c r="N247" s="9" t="n"/>
      <c r="O247" s="16" t="n"/>
      <c r="P247" s="16" t="n"/>
      <c r="Q247" s="24" t="n"/>
      <c r="R247" s="17" t="n"/>
      <c r="S247" s="17" t="n"/>
      <c r="T247" s="27" t="n"/>
      <c r="U247" s="27" t="n"/>
      <c r="V247" s="10" t="n"/>
    </row>
    <row r="248">
      <c r="A248" s="16" t="n"/>
      <c r="B248" s="17" t="n"/>
      <c r="C248" s="17" t="n"/>
      <c r="D248" s="10" t="n"/>
      <c r="E248" s="10" t="n"/>
      <c r="F248" s="17" t="n"/>
      <c r="G248" s="19" t="n"/>
      <c r="H248" s="16" t="n"/>
      <c r="I248" s="16" t="n"/>
      <c r="J248" s="16" t="n"/>
      <c r="K248" s="26" t="n"/>
      <c r="L248" s="26" t="n"/>
      <c r="M248" s="16" t="n"/>
      <c r="N248" s="9" t="n"/>
      <c r="O248" s="16" t="n"/>
      <c r="P248" s="16" t="n"/>
      <c r="Q248" s="24" t="n"/>
      <c r="R248" s="17" t="n"/>
      <c r="S248" s="17" t="n"/>
      <c r="T248" s="27" t="n"/>
      <c r="U248" s="27" t="n"/>
      <c r="V248" s="10" t="n"/>
    </row>
    <row r="249">
      <c r="A249" s="16" t="n"/>
      <c r="B249" s="17" t="n"/>
      <c r="C249" s="17" t="n"/>
      <c r="D249" s="10" t="n"/>
      <c r="E249" s="10" t="n"/>
      <c r="F249" s="17" t="n"/>
      <c r="G249" s="19" t="n"/>
      <c r="H249" s="16" t="n"/>
      <c r="I249" s="16" t="n"/>
      <c r="J249" s="16" t="n"/>
      <c r="K249" s="26" t="n"/>
      <c r="L249" s="26" t="n"/>
      <c r="M249" s="16" t="n"/>
      <c r="N249" s="9" t="n"/>
      <c r="O249" s="16" t="n"/>
      <c r="P249" s="16" t="n"/>
      <c r="Q249" s="24" t="n"/>
      <c r="R249" s="17" t="n"/>
      <c r="S249" s="17" t="n"/>
      <c r="T249" s="27" t="n"/>
      <c r="U249" s="27" t="n"/>
      <c r="V249" s="10" t="n"/>
    </row>
    <row r="250">
      <c r="A250" s="16" t="n"/>
      <c r="B250" s="17" t="n"/>
      <c r="C250" s="17" t="n"/>
      <c r="D250" s="10" t="n"/>
      <c r="E250" s="10" t="n"/>
      <c r="F250" s="17" t="n"/>
      <c r="G250" s="19" t="n"/>
      <c r="H250" s="16" t="n"/>
      <c r="I250" s="16" t="n"/>
      <c r="J250" s="16" t="n"/>
      <c r="K250" s="26" t="n"/>
      <c r="L250" s="26" t="n"/>
      <c r="M250" s="16" t="n"/>
      <c r="N250" s="9" t="n"/>
      <c r="O250" s="16" t="n"/>
      <c r="P250" s="16" t="n"/>
      <c r="Q250" s="24" t="n"/>
      <c r="R250" s="17" t="n"/>
      <c r="S250" s="17" t="n"/>
      <c r="T250" s="27" t="n"/>
      <c r="U250" s="27" t="n"/>
      <c r="V250" s="10" t="n"/>
    </row>
    <row r="251">
      <c r="A251" s="16" t="n"/>
      <c r="B251" s="17" t="n"/>
      <c r="C251" s="17" t="n"/>
      <c r="D251" s="10" t="n"/>
      <c r="E251" s="10" t="n"/>
      <c r="F251" s="17" t="n"/>
      <c r="G251" s="19" t="n"/>
      <c r="H251" s="16" t="n"/>
      <c r="I251" s="16" t="n"/>
      <c r="J251" s="16" t="n"/>
      <c r="K251" s="26" t="n"/>
      <c r="L251" s="26" t="n"/>
      <c r="M251" s="16" t="n"/>
      <c r="N251" s="9" t="n"/>
      <c r="O251" s="16" t="n"/>
      <c r="P251" s="16" t="n"/>
      <c r="Q251" s="24" t="n"/>
      <c r="R251" s="17" t="n"/>
      <c r="S251" s="17" t="n"/>
      <c r="T251" s="27" t="n"/>
      <c r="U251" s="27" t="n"/>
      <c r="V251" s="10" t="n"/>
    </row>
    <row r="252">
      <c r="A252" s="16" t="n"/>
      <c r="B252" s="17" t="n"/>
      <c r="C252" s="17" t="n"/>
      <c r="D252" s="10" t="n"/>
      <c r="E252" s="10" t="n"/>
      <c r="F252" s="17" t="n"/>
      <c r="G252" s="19" t="n"/>
      <c r="H252" s="16" t="n"/>
      <c r="I252" s="16" t="n"/>
      <c r="J252" s="16" t="n"/>
      <c r="K252" s="26" t="n"/>
      <c r="L252" s="26" t="n"/>
      <c r="M252" s="16" t="n"/>
      <c r="N252" s="9" t="n"/>
      <c r="O252" s="16" t="n"/>
      <c r="P252" s="16" t="n"/>
      <c r="Q252" s="24" t="n"/>
      <c r="R252" s="17" t="n"/>
      <c r="S252" s="17" t="n"/>
      <c r="T252" s="27" t="n"/>
      <c r="U252" s="27" t="n"/>
      <c r="V252" s="10" t="n"/>
    </row>
    <row r="253">
      <c r="A253" s="16" t="n"/>
      <c r="B253" s="17" t="n"/>
      <c r="C253" s="17" t="n"/>
      <c r="D253" s="10" t="n"/>
      <c r="E253" s="10" t="n"/>
      <c r="F253" s="17" t="n"/>
      <c r="G253" s="19" t="n"/>
      <c r="H253" s="16" t="n"/>
      <c r="I253" s="16" t="n"/>
      <c r="J253" s="16" t="n"/>
      <c r="K253" s="26" t="n"/>
      <c r="L253" s="26" t="n"/>
      <c r="M253" s="16" t="n"/>
      <c r="N253" s="9" t="n"/>
      <c r="O253" s="16" t="n"/>
      <c r="P253" s="16" t="n"/>
      <c r="Q253" s="24" t="n"/>
      <c r="R253" s="17" t="n"/>
      <c r="S253" s="17" t="n"/>
      <c r="T253" s="27" t="n"/>
      <c r="U253" s="27" t="n"/>
      <c r="V253" s="10" t="n"/>
    </row>
    <row r="254">
      <c r="A254" s="16" t="n"/>
      <c r="B254" s="17" t="n"/>
      <c r="C254" s="17" t="n"/>
      <c r="D254" s="10" t="n"/>
      <c r="E254" s="10" t="n"/>
      <c r="F254" s="17" t="n"/>
      <c r="G254" s="19" t="n"/>
      <c r="H254" s="16" t="n"/>
      <c r="I254" s="16" t="n"/>
      <c r="J254" s="16" t="n"/>
      <c r="K254" s="26" t="n"/>
      <c r="L254" s="26" t="n"/>
      <c r="M254" s="16" t="n"/>
      <c r="N254" s="9" t="n"/>
      <c r="O254" s="16" t="n"/>
      <c r="P254" s="16" t="n"/>
      <c r="Q254" s="24" t="n"/>
      <c r="R254" s="17" t="n"/>
      <c r="S254" s="17" t="n"/>
      <c r="T254" s="27" t="n"/>
      <c r="U254" s="27" t="n"/>
      <c r="V254" s="10" t="n"/>
    </row>
    <row r="255">
      <c r="A255" s="16" t="n"/>
      <c r="B255" s="17" t="n"/>
      <c r="C255" s="17" t="n"/>
      <c r="D255" s="10" t="n"/>
      <c r="E255" s="10" t="n"/>
      <c r="F255" s="17" t="n"/>
      <c r="G255" s="19" t="n"/>
      <c r="H255" s="16" t="n"/>
      <c r="I255" s="16" t="n"/>
      <c r="J255" s="16" t="n"/>
      <c r="K255" s="26" t="n"/>
      <c r="L255" s="26" t="n"/>
      <c r="M255" s="16" t="n"/>
      <c r="N255" s="9" t="n"/>
      <c r="O255" s="16" t="n"/>
      <c r="P255" s="16" t="n"/>
      <c r="Q255" s="24" t="n"/>
      <c r="R255" s="17" t="n"/>
      <c r="S255" s="17" t="n"/>
      <c r="T255" s="27" t="n"/>
      <c r="U255" s="27" t="n"/>
      <c r="V255" s="10" t="n"/>
    </row>
    <row r="256">
      <c r="A256" s="16" t="n"/>
      <c r="B256" s="17" t="n"/>
      <c r="C256" s="17" t="n"/>
      <c r="D256" s="10" t="n"/>
      <c r="E256" s="10" t="n"/>
      <c r="F256" s="17" t="n"/>
      <c r="G256" s="19" t="n"/>
      <c r="H256" s="16" t="n"/>
      <c r="I256" s="16" t="n"/>
      <c r="J256" s="16" t="n"/>
      <c r="K256" s="26" t="n"/>
      <c r="L256" s="26" t="n"/>
      <c r="M256" s="16" t="n"/>
      <c r="N256" s="9" t="n"/>
      <c r="O256" s="16" t="n"/>
      <c r="P256" s="16" t="n"/>
      <c r="Q256" s="24" t="n"/>
      <c r="R256" s="17" t="n"/>
      <c r="S256" s="17" t="n"/>
      <c r="T256" s="27" t="n"/>
      <c r="U256" s="27" t="n"/>
      <c r="V256" s="10" t="n"/>
    </row>
    <row r="257">
      <c r="A257" s="16" t="n"/>
      <c r="B257" s="17" t="n"/>
      <c r="C257" s="17" t="n"/>
      <c r="D257" s="10" t="n"/>
      <c r="E257" s="10" t="n"/>
      <c r="F257" s="17" t="n"/>
      <c r="G257" s="19" t="n"/>
      <c r="H257" s="16" t="n"/>
      <c r="I257" s="16" t="n"/>
      <c r="J257" s="16" t="n"/>
      <c r="K257" s="26" t="n"/>
      <c r="L257" s="26" t="n"/>
      <c r="M257" s="16" t="n"/>
      <c r="N257" s="9" t="n"/>
      <c r="O257" s="16" t="n"/>
      <c r="P257" s="16" t="n"/>
      <c r="Q257" s="24" t="n"/>
      <c r="R257" s="17" t="n"/>
      <c r="S257" s="17" t="n"/>
      <c r="T257" s="27" t="n"/>
      <c r="U257" s="27" t="n"/>
      <c r="V257" s="10" t="n"/>
    </row>
    <row r="258">
      <c r="A258" s="16" t="n"/>
      <c r="B258" s="17" t="n"/>
      <c r="C258" s="17" t="n"/>
      <c r="D258" s="10" t="n"/>
      <c r="E258" s="10" t="n"/>
      <c r="F258" s="17" t="n"/>
      <c r="G258" s="19" t="n"/>
      <c r="H258" s="16" t="n"/>
      <c r="I258" s="16" t="n"/>
      <c r="J258" s="16" t="n"/>
      <c r="K258" s="26" t="n"/>
      <c r="L258" s="26" t="n"/>
      <c r="M258" s="16" t="n"/>
      <c r="N258" s="9" t="n"/>
      <c r="O258" s="16" t="n"/>
      <c r="P258" s="16" t="n"/>
      <c r="Q258" s="24" t="n"/>
      <c r="R258" s="17" t="n"/>
      <c r="S258" s="17" t="n"/>
      <c r="T258" s="27" t="n"/>
      <c r="U258" s="27" t="n"/>
      <c r="V258" s="10" t="n"/>
    </row>
    <row r="259">
      <c r="A259" s="16" t="n"/>
      <c r="B259" s="17" t="n"/>
      <c r="C259" s="17" t="n"/>
      <c r="D259" s="10" t="n"/>
      <c r="E259" s="10" t="n"/>
      <c r="F259" s="17" t="n"/>
      <c r="G259" s="19" t="n"/>
      <c r="H259" s="16" t="n"/>
      <c r="I259" s="16" t="n"/>
      <c r="J259" s="16" t="n"/>
      <c r="K259" s="26" t="n"/>
      <c r="L259" s="26" t="n"/>
      <c r="M259" s="16" t="n"/>
      <c r="N259" s="9" t="n"/>
      <c r="O259" s="16" t="n"/>
      <c r="P259" s="16" t="n"/>
      <c r="Q259" s="24" t="n"/>
      <c r="R259" s="17" t="n"/>
      <c r="S259" s="17" t="n"/>
      <c r="T259" s="27" t="n"/>
      <c r="U259" s="27" t="n"/>
      <c r="V259" s="10" t="n"/>
    </row>
    <row r="260">
      <c r="A260" s="16" t="n"/>
      <c r="B260" s="17" t="n"/>
      <c r="C260" s="17" t="n"/>
      <c r="D260" s="10" t="n"/>
      <c r="E260" s="10" t="n"/>
      <c r="F260" s="17" t="n"/>
      <c r="G260" s="19" t="n"/>
      <c r="H260" s="16" t="n"/>
      <c r="I260" s="16" t="n"/>
      <c r="J260" s="16" t="n"/>
      <c r="K260" s="26" t="n"/>
      <c r="L260" s="26" t="n"/>
      <c r="M260" s="16" t="n"/>
      <c r="N260" s="9" t="n"/>
      <c r="O260" s="16" t="n"/>
      <c r="P260" s="16" t="n"/>
      <c r="Q260" s="24" t="n"/>
      <c r="R260" s="17" t="n"/>
      <c r="S260" s="17" t="n"/>
      <c r="T260" s="27" t="n"/>
      <c r="U260" s="27" t="n"/>
      <c r="V260" s="10" t="n"/>
    </row>
    <row r="261">
      <c r="A261" s="16" t="n"/>
      <c r="B261" s="17" t="n"/>
      <c r="C261" s="17" t="n"/>
      <c r="D261" s="10" t="n"/>
      <c r="E261" s="10" t="n"/>
      <c r="F261" s="17" t="n"/>
      <c r="G261" s="19" t="n"/>
      <c r="H261" s="16" t="n"/>
      <c r="I261" s="16" t="n"/>
      <c r="J261" s="16" t="n"/>
      <c r="K261" s="26" t="n"/>
      <c r="L261" s="26" t="n"/>
      <c r="M261" s="16" t="n"/>
      <c r="N261" s="9" t="n"/>
      <c r="O261" s="16" t="n"/>
      <c r="P261" s="16" t="n"/>
      <c r="Q261" s="24" t="n"/>
      <c r="R261" s="17" t="n"/>
      <c r="S261" s="17" t="n"/>
      <c r="T261" s="27" t="n"/>
      <c r="U261" s="27" t="n"/>
      <c r="V261" s="10" t="n"/>
    </row>
    <row r="262">
      <c r="A262" s="16" t="n"/>
      <c r="B262" s="17" t="n"/>
      <c r="C262" s="17" t="n"/>
      <c r="D262" s="10" t="n"/>
      <c r="E262" s="10" t="n"/>
      <c r="F262" s="17" t="n"/>
      <c r="G262" s="19" t="n"/>
      <c r="H262" s="16" t="n"/>
      <c r="I262" s="16" t="n"/>
      <c r="J262" s="16" t="n"/>
      <c r="K262" s="26" t="n"/>
      <c r="L262" s="26" t="n"/>
      <c r="M262" s="16" t="n"/>
      <c r="N262" s="9" t="n"/>
      <c r="O262" s="16" t="n"/>
      <c r="P262" s="16" t="n"/>
      <c r="Q262" s="24" t="n"/>
      <c r="R262" s="17" t="n"/>
      <c r="S262" s="17" t="n"/>
      <c r="T262" s="27" t="n"/>
      <c r="U262" s="27" t="n"/>
      <c r="V262" s="10" t="n"/>
    </row>
    <row r="263">
      <c r="A263" s="16" t="n"/>
      <c r="B263" s="17" t="n"/>
      <c r="C263" s="17" t="n"/>
      <c r="D263" s="10" t="n"/>
      <c r="E263" s="10" t="n"/>
      <c r="F263" s="17" t="n"/>
      <c r="G263" s="19" t="n"/>
      <c r="H263" s="16" t="n"/>
      <c r="I263" s="16" t="n"/>
      <c r="J263" s="16" t="n"/>
      <c r="K263" s="26" t="n"/>
      <c r="L263" s="26" t="n"/>
      <c r="M263" s="16" t="n"/>
      <c r="N263" s="9" t="n"/>
      <c r="O263" s="16" t="n"/>
      <c r="P263" s="16" t="n"/>
      <c r="Q263" s="24" t="n"/>
      <c r="R263" s="17" t="n"/>
      <c r="S263" s="17" t="n"/>
      <c r="T263" s="27" t="n"/>
      <c r="U263" s="27" t="n"/>
      <c r="V263" s="10" t="n"/>
    </row>
    <row r="264">
      <c r="A264" s="16" t="n"/>
      <c r="B264" s="17" t="n"/>
      <c r="C264" s="17" t="n"/>
      <c r="D264" s="10" t="n"/>
      <c r="E264" s="10" t="n"/>
      <c r="F264" s="17" t="n"/>
      <c r="G264" s="19" t="n"/>
      <c r="H264" s="16" t="n"/>
      <c r="I264" s="16" t="n"/>
      <c r="J264" s="16" t="n"/>
      <c r="K264" s="26" t="n"/>
      <c r="L264" s="26" t="n"/>
      <c r="M264" s="16" t="n"/>
      <c r="N264" s="9" t="n"/>
      <c r="O264" s="16" t="n"/>
      <c r="P264" s="16" t="n"/>
      <c r="Q264" s="24" t="n"/>
      <c r="R264" s="17" t="n"/>
      <c r="S264" s="17" t="n"/>
      <c r="T264" s="27" t="n"/>
      <c r="U264" s="27" t="n"/>
      <c r="V264" s="10" t="n"/>
    </row>
    <row r="265">
      <c r="A265" s="16" t="n"/>
      <c r="B265" s="17" t="n"/>
      <c r="C265" s="17" t="n"/>
      <c r="D265" s="10" t="n"/>
      <c r="E265" s="10" t="n"/>
      <c r="F265" s="17" t="n"/>
      <c r="G265" s="19" t="n"/>
      <c r="H265" s="16" t="n"/>
      <c r="I265" s="16" t="n"/>
      <c r="J265" s="16" t="n"/>
      <c r="K265" s="26" t="n"/>
      <c r="L265" s="26" t="n"/>
      <c r="M265" s="16" t="n"/>
      <c r="N265" s="9" t="n"/>
      <c r="O265" s="16" t="n"/>
      <c r="P265" s="16" t="n"/>
      <c r="Q265" s="24" t="n"/>
      <c r="R265" s="17" t="n"/>
      <c r="S265" s="17" t="n"/>
      <c r="T265" s="27" t="n"/>
      <c r="U265" s="27" t="n"/>
      <c r="V265" s="10" t="n"/>
    </row>
    <row r="266">
      <c r="A266" s="16" t="n"/>
      <c r="B266" s="17" t="n"/>
      <c r="C266" s="17" t="n"/>
      <c r="D266" s="10" t="n"/>
      <c r="E266" s="10" t="n"/>
      <c r="F266" s="17" t="n"/>
      <c r="G266" s="19" t="n"/>
      <c r="H266" s="16" t="n"/>
      <c r="I266" s="16" t="n"/>
      <c r="J266" s="16" t="n"/>
      <c r="K266" s="26" t="n"/>
      <c r="L266" s="26" t="n"/>
      <c r="M266" s="16" t="n"/>
      <c r="N266" s="9" t="n"/>
      <c r="O266" s="16" t="n"/>
      <c r="P266" s="16" t="n"/>
      <c r="Q266" s="24" t="n"/>
      <c r="R266" s="17" t="n"/>
      <c r="S266" s="17" t="n"/>
      <c r="T266" s="27" t="n"/>
      <c r="U266" s="27" t="n"/>
      <c r="V266" s="10" t="n"/>
    </row>
    <row r="267">
      <c r="A267" s="16" t="n"/>
      <c r="B267" s="17" t="n"/>
      <c r="C267" s="17" t="n"/>
      <c r="D267" s="10" t="n"/>
      <c r="E267" s="10" t="n"/>
      <c r="F267" s="17" t="n"/>
      <c r="G267" s="19" t="n"/>
      <c r="H267" s="16" t="n"/>
      <c r="I267" s="16" t="n"/>
      <c r="J267" s="16" t="n"/>
      <c r="K267" s="26" t="n"/>
      <c r="L267" s="26" t="n"/>
      <c r="M267" s="16" t="n"/>
      <c r="N267" s="9" t="n"/>
      <c r="O267" s="16" t="n"/>
      <c r="P267" s="16" t="n"/>
      <c r="Q267" s="24" t="n"/>
      <c r="R267" s="17" t="n"/>
      <c r="S267" s="17" t="n"/>
      <c r="T267" s="27" t="n"/>
      <c r="U267" s="27" t="n"/>
      <c r="V267" s="10" t="n"/>
    </row>
    <row r="268">
      <c r="A268" s="16" t="n"/>
      <c r="B268" s="17" t="n"/>
      <c r="C268" s="17" t="n"/>
      <c r="D268" s="10" t="n"/>
      <c r="E268" s="10" t="n"/>
      <c r="F268" s="17" t="n"/>
      <c r="G268" s="19" t="n"/>
      <c r="H268" s="16" t="n"/>
      <c r="I268" s="16" t="n"/>
      <c r="J268" s="16" t="n"/>
      <c r="K268" s="26" t="n"/>
      <c r="L268" s="26" t="n"/>
      <c r="M268" s="16" t="n"/>
      <c r="N268" s="9" t="n"/>
      <c r="O268" s="16" t="n"/>
      <c r="P268" s="16" t="n"/>
      <c r="Q268" s="24" t="n"/>
      <c r="R268" s="17" t="n"/>
      <c r="S268" s="17" t="n"/>
      <c r="T268" s="27" t="n"/>
      <c r="U268" s="27" t="n"/>
      <c r="V268" s="10" t="n"/>
    </row>
    <row r="269">
      <c r="A269" s="16" t="n"/>
      <c r="B269" s="17" t="n"/>
      <c r="C269" s="17" t="n"/>
      <c r="D269" s="10" t="n"/>
      <c r="E269" s="10" t="n"/>
      <c r="F269" s="17" t="n"/>
      <c r="G269" s="19" t="n"/>
      <c r="H269" s="16" t="n"/>
      <c r="I269" s="16" t="n"/>
      <c r="J269" s="16" t="n"/>
      <c r="K269" s="26" t="n"/>
      <c r="L269" s="26" t="n"/>
      <c r="M269" s="16" t="n"/>
      <c r="N269" s="9" t="n"/>
      <c r="O269" s="16" t="n"/>
      <c r="P269" s="16" t="n"/>
      <c r="Q269" s="24" t="n"/>
      <c r="R269" s="17" t="n"/>
      <c r="S269" s="17" t="n"/>
      <c r="T269" s="27" t="n"/>
      <c r="U269" s="27" t="n"/>
      <c r="V269" s="10" t="n"/>
    </row>
    <row r="270">
      <c r="A270" s="16" t="n"/>
      <c r="B270" s="17" t="n"/>
      <c r="C270" s="17" t="n"/>
      <c r="D270" s="10" t="n"/>
      <c r="E270" s="10" t="n"/>
      <c r="F270" s="17" t="n"/>
      <c r="G270" s="19" t="n"/>
      <c r="H270" s="16" t="n"/>
      <c r="I270" s="16" t="n"/>
      <c r="J270" s="16" t="n"/>
      <c r="K270" s="26" t="n"/>
      <c r="L270" s="26" t="n"/>
      <c r="M270" s="16" t="n"/>
      <c r="N270" s="9" t="n"/>
      <c r="O270" s="16" t="n"/>
      <c r="P270" s="16" t="n"/>
      <c r="Q270" s="24" t="n"/>
      <c r="R270" s="17" t="n"/>
      <c r="S270" s="17" t="n"/>
      <c r="T270" s="27" t="n"/>
      <c r="U270" s="27" t="n"/>
      <c r="V270" s="10" t="n"/>
    </row>
    <row r="271">
      <c r="A271" s="16" t="n"/>
      <c r="B271" s="17" t="n"/>
      <c r="C271" s="17" t="n"/>
      <c r="D271" s="10" t="n"/>
      <c r="E271" s="10" t="n"/>
      <c r="F271" s="17" t="n"/>
      <c r="G271" s="19" t="n"/>
      <c r="H271" s="16" t="n"/>
      <c r="I271" s="16" t="n"/>
      <c r="J271" s="16" t="n"/>
      <c r="K271" s="26" t="n"/>
      <c r="L271" s="26" t="n"/>
      <c r="M271" s="16" t="n"/>
      <c r="N271" s="9" t="n"/>
      <c r="O271" s="16" t="n"/>
      <c r="P271" s="16" t="n"/>
      <c r="Q271" s="24" t="n"/>
      <c r="R271" s="17" t="n"/>
      <c r="S271" s="17" t="n"/>
      <c r="T271" s="27" t="n"/>
      <c r="U271" s="27" t="n"/>
      <c r="V271" s="10" t="n"/>
    </row>
    <row r="272">
      <c r="A272" s="16" t="n"/>
      <c r="B272" s="17" t="n"/>
      <c r="C272" s="17" t="n"/>
      <c r="D272" s="10" t="n"/>
      <c r="E272" s="10" t="n"/>
      <c r="F272" s="17" t="n"/>
      <c r="G272" s="19" t="n"/>
      <c r="H272" s="16" t="n"/>
      <c r="I272" s="16" t="n"/>
      <c r="J272" s="16" t="n"/>
      <c r="K272" s="26" t="n"/>
      <c r="L272" s="26" t="n"/>
      <c r="M272" s="16" t="n"/>
      <c r="N272" s="9" t="n"/>
      <c r="O272" s="16" t="n"/>
      <c r="P272" s="16" t="n"/>
      <c r="Q272" s="24" t="n"/>
      <c r="R272" s="17" t="n"/>
      <c r="S272" s="17" t="n"/>
      <c r="T272" s="27" t="n"/>
      <c r="U272" s="27" t="n"/>
      <c r="V272" s="10" t="n"/>
    </row>
    <row r="273">
      <c r="A273" s="16" t="n"/>
      <c r="B273" s="17" t="n"/>
      <c r="C273" s="17" t="n"/>
      <c r="D273" s="10" t="n"/>
      <c r="E273" s="10" t="n"/>
      <c r="F273" s="17" t="n"/>
      <c r="G273" s="19" t="n"/>
      <c r="H273" s="16" t="n"/>
      <c r="I273" s="16" t="n"/>
      <c r="J273" s="16" t="n"/>
      <c r="K273" s="26" t="n"/>
      <c r="L273" s="26" t="n"/>
      <c r="M273" s="16" t="n"/>
      <c r="N273" s="9" t="n"/>
      <c r="O273" s="16" t="n"/>
      <c r="P273" s="16" t="n"/>
      <c r="Q273" s="24" t="n"/>
      <c r="R273" s="17" t="n"/>
      <c r="S273" s="17" t="n"/>
      <c r="T273" s="27" t="n"/>
      <c r="U273" s="27" t="n"/>
      <c r="V273" s="10" t="n"/>
    </row>
    <row r="274">
      <c r="A274" s="16" t="n"/>
      <c r="B274" s="17" t="n"/>
      <c r="C274" s="17" t="n"/>
      <c r="D274" s="10" t="n"/>
      <c r="E274" s="10" t="n"/>
      <c r="F274" s="17" t="n"/>
      <c r="G274" s="19" t="n"/>
      <c r="H274" s="16" t="n"/>
      <c r="I274" s="16" t="n"/>
      <c r="J274" s="16" t="n"/>
      <c r="K274" s="26" t="n"/>
      <c r="L274" s="26" t="n"/>
      <c r="M274" s="16" t="n"/>
      <c r="N274" s="9" t="n"/>
      <c r="O274" s="16" t="n"/>
      <c r="P274" s="16" t="n"/>
      <c r="Q274" s="24" t="n"/>
      <c r="R274" s="17" t="n"/>
      <c r="S274" s="17" t="n"/>
      <c r="T274" s="27" t="n"/>
      <c r="U274" s="27" t="n"/>
      <c r="V274" s="10" t="n"/>
    </row>
    <row r="275">
      <c r="A275" s="16" t="n"/>
      <c r="B275" s="17" t="n"/>
      <c r="C275" s="17" t="n"/>
      <c r="D275" s="10" t="n"/>
      <c r="E275" s="10" t="n"/>
      <c r="F275" s="17" t="n"/>
      <c r="G275" s="19" t="n"/>
      <c r="H275" s="16" t="n"/>
      <c r="I275" s="16" t="n"/>
      <c r="J275" s="16" t="n"/>
      <c r="K275" s="26" t="n"/>
      <c r="L275" s="26" t="n"/>
      <c r="M275" s="16" t="n"/>
      <c r="N275" s="9" t="n"/>
      <c r="O275" s="16" t="n"/>
      <c r="P275" s="16" t="n"/>
      <c r="Q275" s="24" t="n"/>
      <c r="R275" s="17" t="n"/>
      <c r="S275" s="17" t="n"/>
      <c r="T275" s="27" t="n"/>
      <c r="U275" s="27" t="n"/>
      <c r="V275" s="10" t="n"/>
    </row>
    <row r="276">
      <c r="A276" s="16" t="n"/>
      <c r="B276" s="17" t="n"/>
      <c r="C276" s="17" t="n"/>
      <c r="D276" s="10" t="n"/>
      <c r="E276" s="10" t="n"/>
      <c r="F276" s="17" t="n"/>
      <c r="G276" s="19" t="n"/>
      <c r="H276" s="16" t="n"/>
      <c r="I276" s="16" t="n"/>
      <c r="J276" s="16" t="n"/>
      <c r="K276" s="26" t="n"/>
      <c r="L276" s="26" t="n"/>
      <c r="M276" s="16" t="n"/>
      <c r="N276" s="9" t="n"/>
      <c r="O276" s="16" t="n"/>
      <c r="P276" s="16" t="n"/>
      <c r="Q276" s="24" t="n"/>
      <c r="R276" s="17" t="n"/>
      <c r="S276" s="17" t="n"/>
      <c r="T276" s="27" t="n"/>
      <c r="U276" s="27" t="n"/>
      <c r="V276" s="10" t="n"/>
    </row>
    <row r="277">
      <c r="A277" s="16" t="n"/>
      <c r="B277" s="17" t="n"/>
      <c r="C277" s="17" t="n"/>
      <c r="D277" s="10" t="n"/>
      <c r="E277" s="10" t="n"/>
      <c r="F277" s="17" t="n"/>
      <c r="G277" s="19" t="n"/>
      <c r="H277" s="16" t="n"/>
      <c r="I277" s="16" t="n"/>
      <c r="J277" s="16" t="n"/>
      <c r="K277" s="26" t="n"/>
      <c r="L277" s="26" t="n"/>
      <c r="M277" s="16" t="n"/>
      <c r="N277" s="9" t="n"/>
      <c r="O277" s="16" t="n"/>
      <c r="P277" s="16" t="n"/>
      <c r="Q277" s="24" t="n"/>
      <c r="R277" s="17" t="n"/>
      <c r="S277" s="17" t="n"/>
      <c r="T277" s="27" t="n"/>
      <c r="U277" s="27" t="n"/>
      <c r="V277" s="10" t="n"/>
    </row>
    <row r="278">
      <c r="A278" s="16" t="n"/>
      <c r="B278" s="17" t="n"/>
      <c r="C278" s="17" t="n"/>
      <c r="D278" s="10" t="n"/>
      <c r="E278" s="10" t="n"/>
      <c r="F278" s="17" t="n"/>
      <c r="G278" s="19" t="n"/>
      <c r="H278" s="16" t="n"/>
      <c r="I278" s="16" t="n"/>
      <c r="J278" s="16" t="n"/>
      <c r="K278" s="26" t="n"/>
      <c r="L278" s="26" t="n"/>
      <c r="M278" s="16" t="n"/>
      <c r="N278" s="9" t="n"/>
      <c r="O278" s="16" t="n"/>
      <c r="P278" s="16" t="n"/>
      <c r="Q278" s="24" t="n"/>
      <c r="R278" s="17" t="n"/>
      <c r="S278" s="17" t="n"/>
      <c r="T278" s="27" t="n"/>
      <c r="U278" s="27" t="n"/>
      <c r="V278" s="10" t="n"/>
    </row>
    <row r="279">
      <c r="A279" s="16" t="n"/>
      <c r="B279" s="17" t="n"/>
      <c r="C279" s="17" t="n"/>
      <c r="D279" s="10" t="n"/>
      <c r="E279" s="10" t="n"/>
      <c r="F279" s="17" t="n"/>
      <c r="G279" s="19" t="n"/>
      <c r="H279" s="16" t="n"/>
      <c r="I279" s="16" t="n"/>
      <c r="J279" s="16" t="n"/>
      <c r="K279" s="26" t="n"/>
      <c r="L279" s="26" t="n"/>
      <c r="M279" s="16" t="n"/>
      <c r="N279" s="9" t="n"/>
      <c r="O279" s="16" t="n"/>
      <c r="P279" s="16" t="n"/>
      <c r="Q279" s="24" t="n"/>
      <c r="R279" s="17" t="n"/>
      <c r="S279" s="17" t="n"/>
      <c r="T279" s="27" t="n"/>
      <c r="U279" s="27" t="n"/>
      <c r="V279" s="10" t="n"/>
    </row>
    <row r="280">
      <c r="A280" s="16" t="n"/>
      <c r="B280" s="17" t="n"/>
      <c r="C280" s="17" t="n"/>
      <c r="D280" s="10" t="n"/>
      <c r="E280" s="10" t="n"/>
      <c r="F280" s="17" t="n"/>
      <c r="G280" s="19" t="n"/>
      <c r="H280" s="16" t="n"/>
      <c r="I280" s="16" t="n"/>
      <c r="J280" s="16" t="n"/>
      <c r="K280" s="26" t="n"/>
      <c r="L280" s="26" t="n"/>
      <c r="M280" s="16" t="n"/>
      <c r="N280" s="9" t="n"/>
      <c r="O280" s="16" t="n"/>
      <c r="P280" s="16" t="n"/>
      <c r="Q280" s="24" t="n"/>
      <c r="R280" s="17" t="n"/>
      <c r="S280" s="17" t="n"/>
      <c r="T280" s="27" t="n"/>
      <c r="U280" s="27" t="n"/>
      <c r="V280" s="10" t="n"/>
    </row>
    <row r="281">
      <c r="A281" s="16" t="n"/>
      <c r="B281" s="17" t="n"/>
      <c r="C281" s="17" t="n"/>
      <c r="D281" s="10" t="n"/>
      <c r="E281" s="10" t="n"/>
      <c r="F281" s="17" t="n"/>
      <c r="G281" s="19" t="n"/>
      <c r="H281" s="16" t="n"/>
      <c r="I281" s="16" t="n"/>
      <c r="J281" s="16" t="n"/>
      <c r="K281" s="26" t="n"/>
      <c r="L281" s="26" t="n"/>
      <c r="M281" s="16" t="n"/>
      <c r="N281" s="9" t="n"/>
      <c r="O281" s="16" t="n"/>
      <c r="P281" s="16" t="n"/>
      <c r="Q281" s="24" t="n"/>
      <c r="R281" s="17" t="n"/>
      <c r="S281" s="17" t="n"/>
      <c r="T281" s="27" t="n"/>
      <c r="U281" s="27" t="n"/>
      <c r="V281" s="10" t="n"/>
    </row>
    <row r="282">
      <c r="A282" s="16" t="n"/>
      <c r="B282" s="17" t="n"/>
      <c r="C282" s="17" t="n"/>
      <c r="D282" s="10" t="n"/>
      <c r="E282" s="10" t="n"/>
      <c r="F282" s="17" t="n"/>
      <c r="G282" s="19" t="n"/>
      <c r="H282" s="16" t="n"/>
      <c r="I282" s="16" t="n"/>
      <c r="J282" s="16" t="n"/>
      <c r="K282" s="26" t="n"/>
      <c r="L282" s="26" t="n"/>
      <c r="M282" s="16" t="n"/>
      <c r="N282" s="9" t="n"/>
      <c r="O282" s="16" t="n"/>
      <c r="P282" s="16" t="n"/>
      <c r="Q282" s="24" t="n"/>
      <c r="R282" s="17" t="n"/>
      <c r="S282" s="17" t="n"/>
      <c r="T282" s="27" t="n"/>
      <c r="U282" s="27" t="n"/>
      <c r="V282" s="10" t="n"/>
    </row>
    <row r="283">
      <c r="A283" s="16" t="n"/>
      <c r="B283" s="17" t="n"/>
      <c r="C283" s="17" t="n"/>
      <c r="D283" s="10" t="n"/>
      <c r="E283" s="10" t="n"/>
      <c r="F283" s="17" t="n"/>
      <c r="G283" s="19" t="n"/>
      <c r="H283" s="16" t="n"/>
      <c r="I283" s="16" t="n"/>
      <c r="J283" s="16" t="n"/>
      <c r="K283" s="26" t="n"/>
      <c r="L283" s="26" t="n"/>
      <c r="M283" s="16" t="n"/>
      <c r="N283" s="9" t="n"/>
      <c r="O283" s="16" t="n"/>
      <c r="P283" s="16" t="n"/>
      <c r="Q283" s="24" t="n"/>
      <c r="R283" s="17" t="n"/>
      <c r="S283" s="17" t="n"/>
      <c r="T283" s="27" t="n"/>
      <c r="U283" s="27" t="n"/>
      <c r="V283" s="10" t="n"/>
    </row>
    <row r="284">
      <c r="A284" s="16" t="n"/>
      <c r="B284" s="17" t="n"/>
      <c r="C284" s="17" t="n"/>
      <c r="D284" s="10" t="n"/>
      <c r="E284" s="10" t="n"/>
      <c r="F284" s="17" t="n"/>
      <c r="G284" s="19" t="n"/>
      <c r="H284" s="16" t="n"/>
      <c r="I284" s="16" t="n"/>
      <c r="J284" s="16" t="n"/>
      <c r="K284" s="26" t="n"/>
      <c r="L284" s="26" t="n"/>
      <c r="M284" s="16" t="n"/>
      <c r="N284" s="9" t="n"/>
      <c r="O284" s="16" t="n"/>
      <c r="P284" s="16" t="n"/>
      <c r="Q284" s="24" t="n"/>
      <c r="R284" s="17" t="n"/>
      <c r="S284" s="17" t="n"/>
      <c r="T284" s="27" t="n"/>
      <c r="U284" s="27" t="n"/>
      <c r="V284" s="10" t="n"/>
    </row>
    <row r="285">
      <c r="A285" s="16" t="n"/>
      <c r="B285" s="17" t="n"/>
      <c r="C285" s="17" t="n"/>
      <c r="D285" s="10" t="n"/>
      <c r="E285" s="10" t="n"/>
      <c r="F285" s="17" t="n"/>
      <c r="G285" s="19" t="n"/>
      <c r="H285" s="16" t="n"/>
      <c r="I285" s="16" t="n"/>
      <c r="J285" s="16" t="n"/>
      <c r="K285" s="26" t="n"/>
      <c r="L285" s="26" t="n"/>
      <c r="M285" s="16" t="n"/>
      <c r="N285" s="9" t="n"/>
      <c r="O285" s="16" t="n"/>
      <c r="P285" s="16" t="n"/>
      <c r="Q285" s="24" t="n"/>
      <c r="R285" s="17" t="n"/>
      <c r="S285" s="17" t="n"/>
      <c r="T285" s="27" t="n"/>
      <c r="U285" s="27" t="n"/>
      <c r="V285" s="10" t="n"/>
    </row>
    <row r="286">
      <c r="A286" s="16" t="n"/>
      <c r="B286" s="17" t="n"/>
      <c r="C286" s="17" t="n"/>
      <c r="D286" s="10" t="n"/>
      <c r="E286" s="10" t="n"/>
      <c r="F286" s="17" t="n"/>
      <c r="G286" s="19" t="n"/>
      <c r="H286" s="16" t="n"/>
      <c r="I286" s="16" t="n"/>
      <c r="J286" s="16" t="n"/>
      <c r="K286" s="26" t="n"/>
      <c r="L286" s="26" t="n"/>
      <c r="M286" s="16" t="n"/>
      <c r="N286" s="9" t="n"/>
      <c r="O286" s="16" t="n"/>
      <c r="P286" s="16" t="n"/>
      <c r="Q286" s="24" t="n"/>
      <c r="R286" s="17" t="n"/>
      <c r="S286" s="17" t="n"/>
      <c r="T286" s="27" t="n"/>
      <c r="U286" s="27" t="n"/>
      <c r="V286" s="10" t="n"/>
    </row>
    <row r="287">
      <c r="A287" s="16" t="n"/>
      <c r="B287" s="17" t="n"/>
      <c r="C287" s="17" t="n"/>
      <c r="D287" s="10" t="n"/>
      <c r="E287" s="10" t="n"/>
      <c r="F287" s="17" t="n"/>
      <c r="G287" s="19" t="n"/>
      <c r="H287" s="16" t="n"/>
      <c r="I287" s="16" t="n"/>
      <c r="J287" s="16" t="n"/>
      <c r="K287" s="26" t="n"/>
      <c r="L287" s="26" t="n"/>
      <c r="M287" s="16" t="n"/>
      <c r="N287" s="9" t="n"/>
      <c r="O287" s="16" t="n"/>
      <c r="P287" s="16" t="n"/>
      <c r="Q287" s="24" t="n"/>
      <c r="R287" s="17" t="n"/>
      <c r="S287" s="17" t="n"/>
      <c r="T287" s="27" t="n"/>
      <c r="U287" s="27" t="n"/>
      <c r="V287" s="10" t="n"/>
    </row>
    <row r="288">
      <c r="A288" s="16" t="n"/>
      <c r="B288" s="17" t="n"/>
      <c r="C288" s="17" t="n"/>
      <c r="D288" s="10" t="n"/>
      <c r="E288" s="10" t="n"/>
      <c r="F288" s="17" t="n"/>
      <c r="G288" s="19" t="n"/>
      <c r="H288" s="16" t="n"/>
      <c r="I288" s="16" t="n"/>
      <c r="J288" s="16" t="n"/>
      <c r="K288" s="26" t="n"/>
      <c r="L288" s="26" t="n"/>
      <c r="M288" s="16" t="n"/>
      <c r="N288" s="9" t="n"/>
      <c r="O288" s="16" t="n"/>
      <c r="P288" s="16" t="n"/>
      <c r="Q288" s="24" t="n"/>
      <c r="R288" s="17" t="n"/>
      <c r="S288" s="17" t="n"/>
      <c r="T288" s="27" t="n"/>
      <c r="U288" s="27" t="n"/>
      <c r="V288" s="10" t="n"/>
    </row>
    <row r="289">
      <c r="A289" s="16" t="n"/>
      <c r="B289" s="17" t="n"/>
      <c r="C289" s="17" t="n"/>
      <c r="D289" s="10" t="n"/>
      <c r="E289" s="10" t="n"/>
      <c r="F289" s="17" t="n"/>
      <c r="G289" s="19" t="n"/>
      <c r="H289" s="16" t="n"/>
      <c r="I289" s="16" t="n"/>
      <c r="J289" s="16" t="n"/>
      <c r="K289" s="26" t="n"/>
      <c r="L289" s="26" t="n"/>
      <c r="M289" s="16" t="n"/>
      <c r="N289" s="9" t="n"/>
      <c r="O289" s="16" t="n"/>
      <c r="P289" s="16" t="n"/>
      <c r="Q289" s="24" t="n"/>
      <c r="R289" s="17" t="n"/>
      <c r="S289" s="17" t="n"/>
      <c r="T289" s="27" t="n"/>
      <c r="U289" s="27" t="n"/>
      <c r="V289" s="10" t="n"/>
    </row>
    <row r="290">
      <c r="A290" s="16" t="n"/>
      <c r="B290" s="17" t="n"/>
      <c r="C290" s="17" t="n"/>
      <c r="D290" s="10" t="n"/>
      <c r="E290" s="10" t="n"/>
      <c r="F290" s="17" t="n"/>
      <c r="G290" s="19" t="n"/>
      <c r="H290" s="16" t="n"/>
      <c r="I290" s="16" t="n"/>
      <c r="J290" s="16" t="n"/>
      <c r="K290" s="26" t="n"/>
      <c r="L290" s="26" t="n"/>
      <c r="M290" s="16" t="n"/>
      <c r="N290" s="9" t="n"/>
      <c r="O290" s="16" t="n"/>
      <c r="P290" s="16" t="n"/>
      <c r="Q290" s="24" t="n"/>
      <c r="R290" s="17" t="n"/>
      <c r="S290" s="17" t="n"/>
      <c r="T290" s="27" t="n"/>
      <c r="U290" s="27" t="n"/>
      <c r="V290" s="10" t="n"/>
    </row>
    <row r="291">
      <c r="A291" s="16" t="n"/>
      <c r="B291" s="17" t="n"/>
      <c r="C291" s="17" t="n"/>
      <c r="D291" s="10" t="n"/>
      <c r="E291" s="10" t="n"/>
      <c r="F291" s="17" t="n"/>
      <c r="G291" s="19" t="n"/>
      <c r="H291" s="16" t="n"/>
      <c r="I291" s="16" t="n"/>
      <c r="J291" s="16" t="n"/>
      <c r="K291" s="26" t="n"/>
      <c r="L291" s="26" t="n"/>
      <c r="M291" s="16" t="n"/>
      <c r="N291" s="9" t="n"/>
      <c r="O291" s="16" t="n"/>
      <c r="P291" s="16" t="n"/>
      <c r="Q291" s="24" t="n"/>
      <c r="R291" s="17" t="n"/>
      <c r="S291" s="17" t="n"/>
      <c r="T291" s="27" t="n"/>
      <c r="U291" s="27" t="n"/>
      <c r="V291" s="10" t="n"/>
    </row>
    <row r="292">
      <c r="A292" s="16" t="n"/>
      <c r="B292" s="17" t="n"/>
      <c r="C292" s="17" t="n"/>
      <c r="D292" s="10" t="n"/>
      <c r="E292" s="10" t="n"/>
      <c r="F292" s="17" t="n"/>
      <c r="G292" s="19" t="n"/>
      <c r="H292" s="16" t="n"/>
      <c r="I292" s="16" t="n"/>
      <c r="J292" s="16" t="n"/>
      <c r="K292" s="26" t="n"/>
      <c r="L292" s="26" t="n"/>
      <c r="M292" s="16" t="n"/>
      <c r="N292" s="9" t="n"/>
      <c r="O292" s="16" t="n"/>
      <c r="P292" s="16" t="n"/>
      <c r="Q292" s="24" t="n"/>
      <c r="R292" s="17" t="n"/>
      <c r="S292" s="17" t="n"/>
      <c r="T292" s="27" t="n"/>
      <c r="U292" s="27" t="n"/>
      <c r="V292" s="10" t="n"/>
    </row>
    <row r="293">
      <c r="A293" s="16" t="n"/>
      <c r="B293" s="17" t="n"/>
      <c r="C293" s="17" t="n"/>
      <c r="D293" s="10" t="n"/>
      <c r="E293" s="10" t="n"/>
      <c r="F293" s="17" t="n"/>
      <c r="G293" s="19" t="n"/>
      <c r="H293" s="16" t="n"/>
      <c r="I293" s="16" t="n"/>
      <c r="J293" s="16" t="n"/>
      <c r="K293" s="26" t="n"/>
      <c r="L293" s="26" t="n"/>
      <c r="M293" s="16" t="n"/>
      <c r="N293" s="9" t="n"/>
      <c r="O293" s="16" t="n"/>
      <c r="P293" s="16" t="n"/>
      <c r="Q293" s="24" t="n"/>
      <c r="R293" s="17" t="n"/>
      <c r="S293" s="17" t="n"/>
      <c r="T293" s="27" t="n"/>
      <c r="U293" s="27" t="n"/>
      <c r="V293" s="10" t="n"/>
    </row>
    <row r="294">
      <c r="A294" s="16" t="n"/>
      <c r="B294" s="17" t="n"/>
      <c r="C294" s="17" t="n"/>
      <c r="D294" s="10" t="n"/>
      <c r="E294" s="10" t="n"/>
      <c r="F294" s="17" t="n"/>
      <c r="G294" s="19" t="n"/>
      <c r="H294" s="16" t="n"/>
      <c r="I294" s="16" t="n"/>
      <c r="J294" s="16" t="n"/>
      <c r="K294" s="26" t="n"/>
      <c r="L294" s="26" t="n"/>
      <c r="M294" s="16" t="n"/>
      <c r="N294" s="9" t="n"/>
      <c r="O294" s="16" t="n"/>
      <c r="P294" s="16" t="n"/>
      <c r="Q294" s="24" t="n"/>
      <c r="R294" s="17" t="n"/>
      <c r="S294" s="17" t="n"/>
      <c r="T294" s="27" t="n"/>
      <c r="U294" s="27" t="n"/>
      <c r="V294" s="10" t="n"/>
    </row>
    <row r="295">
      <c r="A295" s="16" t="n"/>
      <c r="B295" s="17" t="n"/>
      <c r="C295" s="17" t="n"/>
      <c r="D295" s="10" t="n"/>
      <c r="E295" s="10" t="n"/>
      <c r="F295" s="17" t="n"/>
      <c r="G295" s="19" t="n"/>
      <c r="H295" s="16" t="n"/>
      <c r="I295" s="16" t="n"/>
      <c r="J295" s="16" t="n"/>
      <c r="K295" s="26" t="n"/>
      <c r="L295" s="26" t="n"/>
      <c r="M295" s="16" t="n"/>
      <c r="N295" s="9" t="n"/>
      <c r="O295" s="16" t="n"/>
      <c r="P295" s="16" t="n"/>
      <c r="Q295" s="24" t="n"/>
      <c r="R295" s="17" t="n"/>
      <c r="S295" s="17" t="n"/>
      <c r="T295" s="27" t="n"/>
      <c r="U295" s="27" t="n"/>
      <c r="V295" s="10" t="n"/>
    </row>
    <row r="296">
      <c r="A296" s="16" t="n"/>
      <c r="B296" s="17" t="n"/>
      <c r="C296" s="17" t="n"/>
      <c r="D296" s="10" t="n"/>
      <c r="E296" s="10" t="n"/>
      <c r="F296" s="17" t="n"/>
      <c r="G296" s="19" t="n"/>
      <c r="H296" s="16" t="n"/>
      <c r="I296" s="16" t="n"/>
      <c r="J296" s="16" t="n"/>
      <c r="K296" s="26" t="n"/>
      <c r="L296" s="26" t="n"/>
      <c r="M296" s="16" t="n"/>
      <c r="N296" s="9" t="n"/>
      <c r="O296" s="16" t="n"/>
      <c r="P296" s="16" t="n"/>
      <c r="Q296" s="24" t="n"/>
      <c r="R296" s="17" t="n"/>
      <c r="S296" s="17" t="n"/>
      <c r="T296" s="27" t="n"/>
      <c r="U296" s="27" t="n"/>
      <c r="V296" s="10" t="n"/>
    </row>
    <row r="297">
      <c r="A297" s="16" t="n"/>
      <c r="B297" s="17" t="n"/>
      <c r="C297" s="17" t="n"/>
      <c r="D297" s="10" t="n"/>
      <c r="E297" s="10" t="n"/>
      <c r="F297" s="17" t="n"/>
      <c r="G297" s="19" t="n"/>
      <c r="H297" s="16" t="n"/>
      <c r="I297" s="16" t="n"/>
      <c r="J297" s="16" t="n"/>
      <c r="K297" s="26" t="n"/>
      <c r="L297" s="26" t="n"/>
      <c r="M297" s="16" t="n"/>
      <c r="N297" s="9" t="n"/>
      <c r="O297" s="16" t="n"/>
      <c r="P297" s="16" t="n"/>
      <c r="Q297" s="24" t="n"/>
      <c r="R297" s="17" t="n"/>
      <c r="S297" s="17" t="n"/>
      <c r="T297" s="27" t="n"/>
      <c r="U297" s="27" t="n"/>
      <c r="V297" s="10" t="n"/>
    </row>
    <row r="298">
      <c r="A298" s="16" t="n"/>
      <c r="B298" s="17" t="n"/>
      <c r="C298" s="17" t="n"/>
      <c r="D298" s="10" t="n"/>
      <c r="E298" s="10" t="n"/>
      <c r="F298" s="17" t="n"/>
      <c r="G298" s="19" t="n"/>
      <c r="H298" s="16" t="n"/>
      <c r="I298" s="16" t="n"/>
      <c r="J298" s="16" t="n"/>
      <c r="K298" s="26" t="n"/>
      <c r="L298" s="26" t="n"/>
      <c r="M298" s="16" t="n"/>
      <c r="N298" s="9" t="n"/>
      <c r="O298" s="16" t="n"/>
      <c r="P298" s="16" t="n"/>
      <c r="Q298" s="24" t="n"/>
      <c r="R298" s="17" t="n"/>
      <c r="S298" s="17" t="n"/>
      <c r="T298" s="27" t="n"/>
      <c r="U298" s="27" t="n"/>
      <c r="V298" s="10" t="n"/>
    </row>
    <row r="299">
      <c r="A299" s="16" t="n"/>
      <c r="B299" s="17" t="n"/>
      <c r="C299" s="17" t="n"/>
      <c r="D299" s="10" t="n"/>
      <c r="E299" s="10" t="n"/>
      <c r="F299" s="17" t="n"/>
      <c r="G299" s="19" t="n"/>
      <c r="H299" s="16" t="n"/>
      <c r="I299" s="16" t="n"/>
      <c r="J299" s="16" t="n"/>
      <c r="K299" s="26" t="n"/>
      <c r="L299" s="26" t="n"/>
      <c r="M299" s="16" t="n"/>
      <c r="N299" s="9" t="n"/>
      <c r="O299" s="16" t="n"/>
      <c r="P299" s="16" t="n"/>
      <c r="Q299" s="24" t="n"/>
      <c r="R299" s="17" t="n"/>
      <c r="S299" s="17" t="n"/>
      <c r="T299" s="27" t="n"/>
      <c r="U299" s="27" t="n"/>
      <c r="V299" s="10" t="n"/>
    </row>
    <row r="300">
      <c r="A300" s="16" t="n"/>
      <c r="B300" s="17" t="n"/>
      <c r="C300" s="17" t="n"/>
      <c r="D300" s="10" t="n"/>
      <c r="E300" s="10" t="n"/>
      <c r="F300" s="17" t="n"/>
      <c r="G300" s="19" t="n"/>
      <c r="H300" s="16" t="n"/>
      <c r="I300" s="16" t="n"/>
      <c r="J300" s="16" t="n"/>
      <c r="K300" s="26" t="n"/>
      <c r="L300" s="26" t="n"/>
      <c r="M300" s="16" t="n"/>
      <c r="N300" s="9" t="n"/>
      <c r="O300" s="16" t="n"/>
      <c r="P300" s="16" t="n"/>
      <c r="Q300" s="24" t="n"/>
      <c r="R300" s="17" t="n"/>
      <c r="S300" s="17" t="n"/>
      <c r="T300" s="27" t="n"/>
      <c r="U300" s="27" t="n"/>
      <c r="V300" s="10" t="n"/>
    </row>
    <row r="301">
      <c r="A301" s="16" t="n"/>
      <c r="B301" s="17" t="n"/>
      <c r="C301" s="17" t="n"/>
      <c r="D301" s="10" t="n"/>
      <c r="E301" s="10" t="n"/>
      <c r="F301" s="17" t="n"/>
      <c r="G301" s="19" t="n"/>
      <c r="H301" s="16" t="n"/>
      <c r="I301" s="16" t="n"/>
      <c r="J301" s="16" t="n"/>
      <c r="K301" s="26" t="n"/>
      <c r="L301" s="26" t="n"/>
      <c r="M301" s="16" t="n"/>
      <c r="N301" s="9" t="n"/>
      <c r="O301" s="16" t="n"/>
      <c r="P301" s="16" t="n"/>
      <c r="Q301" s="24" t="n"/>
      <c r="R301" s="17" t="n"/>
      <c r="S301" s="17" t="n"/>
      <c r="T301" s="27" t="n"/>
      <c r="U301" s="27" t="n"/>
      <c r="V301" s="10" t="n"/>
    </row>
    <row r="302">
      <c r="A302" s="16" t="n"/>
      <c r="B302" s="17" t="n"/>
      <c r="C302" s="17" t="n"/>
      <c r="D302" s="10" t="n"/>
      <c r="E302" s="10" t="n"/>
      <c r="F302" s="17" t="n"/>
      <c r="G302" s="19" t="n"/>
      <c r="H302" s="16" t="n"/>
      <c r="I302" s="16" t="n"/>
      <c r="J302" s="16" t="n"/>
      <c r="K302" s="26" t="n"/>
      <c r="L302" s="26" t="n"/>
      <c r="M302" s="16" t="n"/>
      <c r="N302" s="9" t="n"/>
      <c r="O302" s="16" t="n"/>
      <c r="P302" s="16" t="n"/>
      <c r="Q302" s="24" t="n"/>
      <c r="R302" s="17" t="n"/>
      <c r="S302" s="17" t="n"/>
      <c r="T302" s="27" t="n"/>
      <c r="U302" s="27" t="n"/>
      <c r="V302" s="10" t="n"/>
    </row>
    <row r="303">
      <c r="A303" s="16" t="n"/>
      <c r="B303" s="17" t="n"/>
      <c r="C303" s="17" t="n"/>
      <c r="D303" s="10" t="n"/>
      <c r="E303" s="10" t="n"/>
      <c r="F303" s="17" t="n"/>
      <c r="G303" s="19" t="n"/>
      <c r="H303" s="16" t="n"/>
      <c r="I303" s="16" t="n"/>
      <c r="J303" s="16" t="n"/>
      <c r="K303" s="26" t="n"/>
      <c r="L303" s="26" t="n"/>
      <c r="M303" s="16" t="n"/>
      <c r="N303" s="9" t="n"/>
      <c r="O303" s="16" t="n"/>
      <c r="P303" s="16" t="n"/>
      <c r="Q303" s="24" t="n"/>
      <c r="R303" s="17" t="n"/>
      <c r="S303" s="17" t="n"/>
      <c r="T303" s="27" t="n"/>
      <c r="U303" s="27" t="n"/>
      <c r="V303" s="10" t="n"/>
    </row>
    <row r="304">
      <c r="A304" s="16" t="n"/>
      <c r="B304" s="17" t="n"/>
      <c r="C304" s="17" t="n"/>
      <c r="D304" s="10" t="n"/>
      <c r="E304" s="10" t="n"/>
      <c r="F304" s="17" t="n"/>
      <c r="G304" s="19" t="n"/>
      <c r="H304" s="16" t="n"/>
      <c r="I304" s="16" t="n"/>
      <c r="J304" s="16" t="n"/>
      <c r="K304" s="26" t="n"/>
      <c r="L304" s="26" t="n"/>
      <c r="M304" s="16" t="n"/>
      <c r="N304" s="9" t="n"/>
      <c r="O304" s="16" t="n"/>
      <c r="P304" s="16" t="n"/>
      <c r="Q304" s="24" t="n"/>
      <c r="R304" s="17" t="n"/>
      <c r="S304" s="17" t="n"/>
      <c r="T304" s="27" t="n"/>
      <c r="U304" s="27" t="n"/>
      <c r="V304" s="10" t="n"/>
    </row>
    <row r="305">
      <c r="A305" s="16" t="n"/>
      <c r="B305" s="17" t="n"/>
      <c r="C305" s="17" t="n"/>
      <c r="D305" s="10" t="n"/>
      <c r="E305" s="10" t="n"/>
      <c r="F305" s="17" t="n"/>
      <c r="G305" s="19" t="n"/>
      <c r="H305" s="16" t="n"/>
      <c r="I305" s="16" t="n"/>
      <c r="J305" s="16" t="n"/>
      <c r="K305" s="26" t="n"/>
      <c r="L305" s="26" t="n"/>
      <c r="M305" s="16" t="n"/>
      <c r="N305" s="9" t="n"/>
      <c r="O305" s="16" t="n"/>
      <c r="P305" s="16" t="n"/>
      <c r="Q305" s="24" t="n"/>
      <c r="R305" s="17" t="n"/>
      <c r="S305" s="17" t="n"/>
      <c r="T305" s="27" t="n"/>
      <c r="U305" s="27" t="n"/>
      <c r="V305" s="1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V305"/>
  <mergeCells count="1">
    <mergeCell ref="A2:V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3">
    <dataValidation sqref="B6:B306" showDropDown="0" showInputMessage="0" showErrorMessage="0" allowBlank="1" errorTitle="Invalid value" error="Pick a value from the list." type="list">
      <formula1>=Lists!$U$2:$U$1000</formula1>
    </dataValidation>
    <dataValidation sqref="F6:F306" showDropDown="0" showInputMessage="0" showErrorMessage="1" allowBlank="1" errorTitle="Invalid value" error="Pick a value from the list." type="list">
      <formula1>=Lists!$S$2:$S$1000</formula1>
    </dataValidation>
    <dataValidation sqref="R6:R306" showDropDown="0" showInputMessage="0" showErrorMessage="1" allowBlank="1" errorTitle="Invalid value" error="Pick a value from the list." type="list">
      <formula1>=Lists!$B$2:$B$60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V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46" customWidth="1" min="4" max="4"/>
    <col width="40" customWidth="1" min="5" max="5"/>
    <col width="8" customWidth="1" min="6" max="6"/>
    <col width="16" customWidth="1" min="7" max="7"/>
    <col width="9" customWidth="1" min="8" max="8"/>
    <col width="24" customWidth="1" min="9" max="9"/>
    <col width="18" customWidth="1" min="10" max="10"/>
    <col width="12" customWidth="1" min="11" max="11"/>
    <col width="12" customWidth="1" min="12" max="12"/>
    <col width="18" customWidth="1" min="13" max="13"/>
    <col width="30" customWidth="1" min="14" max="14"/>
    <col width="11" customWidth="1" min="15" max="15"/>
    <col width="12" customWidth="1" min="16" max="16"/>
    <col width="16" customWidth="1" min="17" max="17"/>
    <col width="24" customWidth="1" min="18" max="18"/>
    <col width="10" customWidth="1" min="19" max="19"/>
    <col width="13" customWidth="1" min="20" max="20"/>
    <col width="13" customWidth="1" min="21" max="21"/>
    <col width="34" customWidth="1" min="22" max="22"/>
  </cols>
  <sheetData>
    <row r="1">
      <c r="A1" s="4" t="inlineStr">
        <is>
          <t>Plant and Equipment Library</t>
        </is>
      </c>
    </row>
    <row r="2" ht="48" customHeight="1">
      <c r="A2" s="3" t="inlineStr">
        <is>
          <t>Resource definitions with their current APPROVED rate (blue, read-only). Enter a proposed rate in the yellow columns: it is imported as a Draft proposal and needs review/approval in the application. A blank rate means the rate is MISSING - it is never treated as zero.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cost_code</t>
        </is>
      </c>
      <c r="C4" t="inlineStr">
        <is>
          <t>category</t>
        </is>
      </c>
      <c r="D4" t="inlineStr">
        <is>
          <t>description</t>
        </is>
      </c>
      <c r="E4" t="inlineStr">
        <is>
          <t>specification</t>
        </is>
      </c>
      <c r="F4" t="inlineStr">
        <is>
          <t>unit</t>
        </is>
      </c>
      <c r="G4" t="inlineStr">
        <is>
          <t>rate</t>
        </is>
      </c>
      <c r="H4" t="inlineStr">
        <is>
          <t>currency</t>
        </is>
      </c>
      <c r="I4" t="inlineStr">
        <is>
          <t>rate_type</t>
        </is>
      </c>
      <c r="J4" t="inlineStr">
        <is>
          <t>rate_status</t>
        </is>
      </c>
      <c r="K4" t="inlineStr">
        <is>
          <t>price_date</t>
        </is>
      </c>
      <c r="L4" t="inlineStr">
        <is>
          <t>valid_until</t>
        </is>
      </c>
      <c r="M4" t="inlineStr">
        <is>
          <t>supplier</t>
        </is>
      </c>
      <c r="N4" t="inlineStr">
        <is>
          <t>evidence</t>
        </is>
      </c>
      <c r="O4" t="inlineStr">
        <is>
          <t>confidence</t>
        </is>
      </c>
      <c r="P4" t="inlineStr">
        <is>
          <t>region</t>
        </is>
      </c>
      <c r="Q4" t="inlineStr">
        <is>
          <t>new_rate</t>
        </is>
      </c>
      <c r="R4" t="inlineStr">
        <is>
          <t>new_rate_type</t>
        </is>
      </c>
      <c r="S4" t="inlineStr">
        <is>
          <t>new_currency</t>
        </is>
      </c>
      <c r="T4" t="inlineStr">
        <is>
          <t>new_price_date</t>
        </is>
      </c>
      <c r="U4" t="inlineStr">
        <is>
          <t>new_valid_until</t>
        </is>
      </c>
      <c r="V4" t="inlineStr">
        <is>
          <t>new_evidence</t>
        </is>
      </c>
    </row>
    <row r="5" ht="34" customHeight="1">
      <c r="A5" s="15" t="inlineStr">
        <is>
          <t>Resource ID</t>
        </is>
      </c>
      <c r="B5" s="15" t="inlineStr">
        <is>
          <t>Cost code</t>
        </is>
      </c>
      <c r="C5" s="15" t="inlineStr">
        <is>
          <t>Category</t>
        </is>
      </c>
      <c r="D5" s="15" t="inlineStr">
        <is>
          <t>Description</t>
        </is>
      </c>
      <c r="E5" s="15" t="inlineStr">
        <is>
          <t>Specification</t>
        </is>
      </c>
      <c r="F5" s="15" t="inlineStr">
        <is>
          <t>Unit</t>
        </is>
      </c>
      <c r="G5" s="15" t="inlineStr">
        <is>
          <t>Current approved rate</t>
        </is>
      </c>
      <c r="H5" s="15" t="inlineStr">
        <is>
          <t>Currency</t>
        </is>
      </c>
      <c r="I5" s="15" t="inlineStr">
        <is>
          <t>Rate type</t>
        </is>
      </c>
      <c r="J5" s="15" t="inlineStr">
        <is>
          <t>Rate status</t>
        </is>
      </c>
      <c r="K5" s="15" t="inlineStr">
        <is>
          <t>Price date</t>
        </is>
      </c>
      <c r="L5" s="15" t="inlineStr">
        <is>
          <t>Valid until</t>
        </is>
      </c>
      <c r="M5" s="15" t="inlineStr">
        <is>
          <t>Supplier</t>
        </is>
      </c>
      <c r="N5" s="15" t="inlineStr">
        <is>
          <t>Source / evidence</t>
        </is>
      </c>
      <c r="O5" s="15" t="inlineStr">
        <is>
          <t>Confidence</t>
        </is>
      </c>
      <c r="P5" s="15" t="inlineStr">
        <is>
          <t>Region</t>
        </is>
      </c>
      <c r="Q5" s="15" t="inlineStr">
        <is>
          <t>PROPOSED new rate</t>
        </is>
      </c>
      <c r="R5" s="15" t="inlineStr">
        <is>
          <t>Proposed rate type</t>
        </is>
      </c>
      <c r="S5" s="15" t="inlineStr">
        <is>
          <t>Proposed currency</t>
        </is>
      </c>
      <c r="T5" s="15" t="inlineStr">
        <is>
          <t>Proposed price date</t>
        </is>
      </c>
      <c r="U5" s="15" t="inlineStr">
        <is>
          <t>Proposed valid until</t>
        </is>
      </c>
      <c r="V5" s="15" t="inlineStr">
        <is>
          <t>Proposed source / evidence</t>
        </is>
      </c>
    </row>
    <row r="6">
      <c r="A6" s="16" t="n"/>
      <c r="B6" s="17" t="n"/>
      <c r="C6" s="17" t="n"/>
      <c r="D6" s="10" t="n"/>
      <c r="E6" s="10" t="n"/>
      <c r="F6" s="17" t="n"/>
      <c r="G6" s="19" t="n"/>
      <c r="H6" s="16" t="n"/>
      <c r="I6" s="16" t="n"/>
      <c r="J6" s="16" t="n"/>
      <c r="K6" s="26" t="n"/>
      <c r="L6" s="26" t="n"/>
      <c r="M6" s="16" t="n"/>
      <c r="N6" s="9" t="n"/>
      <c r="O6" s="16" t="n"/>
      <c r="P6" s="16" t="n"/>
      <c r="Q6" s="24" t="n"/>
      <c r="R6" s="17" t="n"/>
      <c r="S6" s="17" t="n"/>
      <c r="T6" s="27" t="n"/>
      <c r="U6" s="27" t="n"/>
      <c r="V6" s="10" t="n"/>
    </row>
    <row r="7">
      <c r="A7" s="16" t="n"/>
      <c r="B7" s="17" t="n"/>
      <c r="C7" s="17" t="n"/>
      <c r="D7" s="10" t="n"/>
      <c r="E7" s="10" t="n"/>
      <c r="F7" s="17" t="n"/>
      <c r="G7" s="19" t="n"/>
      <c r="H7" s="16" t="n"/>
      <c r="I7" s="16" t="n"/>
      <c r="J7" s="16" t="n"/>
      <c r="K7" s="26" t="n"/>
      <c r="L7" s="26" t="n"/>
      <c r="M7" s="16" t="n"/>
      <c r="N7" s="9" t="n"/>
      <c r="O7" s="16" t="n"/>
      <c r="P7" s="16" t="n"/>
      <c r="Q7" s="24" t="n"/>
      <c r="R7" s="17" t="n"/>
      <c r="S7" s="17" t="n"/>
      <c r="T7" s="27" t="n"/>
      <c r="U7" s="27" t="n"/>
      <c r="V7" s="10" t="n"/>
    </row>
    <row r="8">
      <c r="A8" s="16" t="n"/>
      <c r="B8" s="17" t="n"/>
      <c r="C8" s="17" t="n"/>
      <c r="D8" s="10" t="n"/>
      <c r="E8" s="10" t="n"/>
      <c r="F8" s="17" t="n"/>
      <c r="G8" s="19" t="n"/>
      <c r="H8" s="16" t="n"/>
      <c r="I8" s="16" t="n"/>
      <c r="J8" s="16" t="n"/>
      <c r="K8" s="26" t="n"/>
      <c r="L8" s="26" t="n"/>
      <c r="M8" s="16" t="n"/>
      <c r="N8" s="9" t="n"/>
      <c r="O8" s="16" t="n"/>
      <c r="P8" s="16" t="n"/>
      <c r="Q8" s="24" t="n"/>
      <c r="R8" s="17" t="n"/>
      <c r="S8" s="17" t="n"/>
      <c r="T8" s="27" t="n"/>
      <c r="U8" s="27" t="n"/>
      <c r="V8" s="10" t="n"/>
    </row>
    <row r="9">
      <c r="A9" s="16" t="n"/>
      <c r="B9" s="17" t="n"/>
      <c r="C9" s="17" t="n"/>
      <c r="D9" s="10" t="n"/>
      <c r="E9" s="10" t="n"/>
      <c r="F9" s="17" t="n"/>
      <c r="G9" s="19" t="n"/>
      <c r="H9" s="16" t="n"/>
      <c r="I9" s="16" t="n"/>
      <c r="J9" s="16" t="n"/>
      <c r="K9" s="26" t="n"/>
      <c r="L9" s="26" t="n"/>
      <c r="M9" s="16" t="n"/>
      <c r="N9" s="9" t="n"/>
      <c r="O9" s="16" t="n"/>
      <c r="P9" s="16" t="n"/>
      <c r="Q9" s="24" t="n"/>
      <c r="R9" s="17" t="n"/>
      <c r="S9" s="17" t="n"/>
      <c r="T9" s="27" t="n"/>
      <c r="U9" s="27" t="n"/>
      <c r="V9" s="10" t="n"/>
    </row>
    <row r="10">
      <c r="A10" s="16" t="n"/>
      <c r="B10" s="17" t="n"/>
      <c r="C10" s="17" t="n"/>
      <c r="D10" s="10" t="n"/>
      <c r="E10" s="10" t="n"/>
      <c r="F10" s="17" t="n"/>
      <c r="G10" s="19" t="n"/>
      <c r="H10" s="16" t="n"/>
      <c r="I10" s="16" t="n"/>
      <c r="J10" s="16" t="n"/>
      <c r="K10" s="26" t="n"/>
      <c r="L10" s="26" t="n"/>
      <c r="M10" s="16" t="n"/>
      <c r="N10" s="9" t="n"/>
      <c r="O10" s="16" t="n"/>
      <c r="P10" s="16" t="n"/>
      <c r="Q10" s="24" t="n"/>
      <c r="R10" s="17" t="n"/>
      <c r="S10" s="17" t="n"/>
      <c r="T10" s="27" t="n"/>
      <c r="U10" s="27" t="n"/>
      <c r="V10" s="10" t="n"/>
    </row>
    <row r="11">
      <c r="A11" s="16" t="n"/>
      <c r="B11" s="17" t="n"/>
      <c r="C11" s="17" t="n"/>
      <c r="D11" s="10" t="n"/>
      <c r="E11" s="10" t="n"/>
      <c r="F11" s="17" t="n"/>
      <c r="G11" s="19" t="n"/>
      <c r="H11" s="16" t="n"/>
      <c r="I11" s="16" t="n"/>
      <c r="J11" s="16" t="n"/>
      <c r="K11" s="26" t="n"/>
      <c r="L11" s="26" t="n"/>
      <c r="M11" s="16" t="n"/>
      <c r="N11" s="9" t="n"/>
      <c r="O11" s="16" t="n"/>
      <c r="P11" s="16" t="n"/>
      <c r="Q11" s="24" t="n"/>
      <c r="R11" s="17" t="n"/>
      <c r="S11" s="17" t="n"/>
      <c r="T11" s="27" t="n"/>
      <c r="U11" s="27" t="n"/>
      <c r="V11" s="10" t="n"/>
    </row>
    <row r="12">
      <c r="A12" s="16" t="n"/>
      <c r="B12" s="17" t="n"/>
      <c r="C12" s="17" t="n"/>
      <c r="D12" s="10" t="n"/>
      <c r="E12" s="10" t="n"/>
      <c r="F12" s="17" t="n"/>
      <c r="G12" s="19" t="n"/>
      <c r="H12" s="16" t="n"/>
      <c r="I12" s="16" t="n"/>
      <c r="J12" s="16" t="n"/>
      <c r="K12" s="26" t="n"/>
      <c r="L12" s="26" t="n"/>
      <c r="M12" s="16" t="n"/>
      <c r="N12" s="9" t="n"/>
      <c r="O12" s="16" t="n"/>
      <c r="P12" s="16" t="n"/>
      <c r="Q12" s="24" t="n"/>
      <c r="R12" s="17" t="n"/>
      <c r="S12" s="17" t="n"/>
      <c r="T12" s="27" t="n"/>
      <c r="U12" s="27" t="n"/>
      <c r="V12" s="10" t="n"/>
    </row>
    <row r="13">
      <c r="A13" s="16" t="n"/>
      <c r="B13" s="17" t="n"/>
      <c r="C13" s="17" t="n"/>
      <c r="D13" s="10" t="n"/>
      <c r="E13" s="10" t="n"/>
      <c r="F13" s="17" t="n"/>
      <c r="G13" s="19" t="n"/>
      <c r="H13" s="16" t="n"/>
      <c r="I13" s="16" t="n"/>
      <c r="J13" s="16" t="n"/>
      <c r="K13" s="26" t="n"/>
      <c r="L13" s="26" t="n"/>
      <c r="M13" s="16" t="n"/>
      <c r="N13" s="9" t="n"/>
      <c r="O13" s="16" t="n"/>
      <c r="P13" s="16" t="n"/>
      <c r="Q13" s="24" t="n"/>
      <c r="R13" s="17" t="n"/>
      <c r="S13" s="17" t="n"/>
      <c r="T13" s="27" t="n"/>
      <c r="U13" s="27" t="n"/>
      <c r="V13" s="10" t="n"/>
    </row>
    <row r="14">
      <c r="A14" s="16" t="n"/>
      <c r="B14" s="17" t="n"/>
      <c r="C14" s="17" t="n"/>
      <c r="D14" s="10" t="n"/>
      <c r="E14" s="10" t="n"/>
      <c r="F14" s="17" t="n"/>
      <c r="G14" s="19" t="n"/>
      <c r="H14" s="16" t="n"/>
      <c r="I14" s="16" t="n"/>
      <c r="J14" s="16" t="n"/>
      <c r="K14" s="26" t="n"/>
      <c r="L14" s="26" t="n"/>
      <c r="M14" s="16" t="n"/>
      <c r="N14" s="9" t="n"/>
      <c r="O14" s="16" t="n"/>
      <c r="P14" s="16" t="n"/>
      <c r="Q14" s="24" t="n"/>
      <c r="R14" s="17" t="n"/>
      <c r="S14" s="17" t="n"/>
      <c r="T14" s="27" t="n"/>
      <c r="U14" s="27" t="n"/>
      <c r="V14" s="10" t="n"/>
    </row>
    <row r="15">
      <c r="A15" s="16" t="n"/>
      <c r="B15" s="17" t="n"/>
      <c r="C15" s="17" t="n"/>
      <c r="D15" s="10" t="n"/>
      <c r="E15" s="10" t="n"/>
      <c r="F15" s="17" t="n"/>
      <c r="G15" s="19" t="n"/>
      <c r="H15" s="16" t="n"/>
      <c r="I15" s="16" t="n"/>
      <c r="J15" s="16" t="n"/>
      <c r="K15" s="26" t="n"/>
      <c r="L15" s="26" t="n"/>
      <c r="M15" s="16" t="n"/>
      <c r="N15" s="9" t="n"/>
      <c r="O15" s="16" t="n"/>
      <c r="P15" s="16" t="n"/>
      <c r="Q15" s="24" t="n"/>
      <c r="R15" s="17" t="n"/>
      <c r="S15" s="17" t="n"/>
      <c r="T15" s="27" t="n"/>
      <c r="U15" s="27" t="n"/>
      <c r="V15" s="10" t="n"/>
    </row>
    <row r="16">
      <c r="A16" s="16" t="n"/>
      <c r="B16" s="17" t="n"/>
      <c r="C16" s="17" t="n"/>
      <c r="D16" s="10" t="n"/>
      <c r="E16" s="10" t="n"/>
      <c r="F16" s="17" t="n"/>
      <c r="G16" s="19" t="n"/>
      <c r="H16" s="16" t="n"/>
      <c r="I16" s="16" t="n"/>
      <c r="J16" s="16" t="n"/>
      <c r="K16" s="26" t="n"/>
      <c r="L16" s="26" t="n"/>
      <c r="M16" s="16" t="n"/>
      <c r="N16" s="9" t="n"/>
      <c r="O16" s="16" t="n"/>
      <c r="P16" s="16" t="n"/>
      <c r="Q16" s="24" t="n"/>
      <c r="R16" s="17" t="n"/>
      <c r="S16" s="17" t="n"/>
      <c r="T16" s="27" t="n"/>
      <c r="U16" s="27" t="n"/>
      <c r="V16" s="10" t="n"/>
    </row>
    <row r="17">
      <c r="A17" s="16" t="n"/>
      <c r="B17" s="17" t="n"/>
      <c r="C17" s="17" t="n"/>
      <c r="D17" s="10" t="n"/>
      <c r="E17" s="10" t="n"/>
      <c r="F17" s="17" t="n"/>
      <c r="G17" s="19" t="n"/>
      <c r="H17" s="16" t="n"/>
      <c r="I17" s="16" t="n"/>
      <c r="J17" s="16" t="n"/>
      <c r="K17" s="26" t="n"/>
      <c r="L17" s="26" t="n"/>
      <c r="M17" s="16" t="n"/>
      <c r="N17" s="9" t="n"/>
      <c r="O17" s="16" t="n"/>
      <c r="P17" s="16" t="n"/>
      <c r="Q17" s="24" t="n"/>
      <c r="R17" s="17" t="n"/>
      <c r="S17" s="17" t="n"/>
      <c r="T17" s="27" t="n"/>
      <c r="U17" s="27" t="n"/>
      <c r="V17" s="10" t="n"/>
    </row>
    <row r="18">
      <c r="A18" s="16" t="n"/>
      <c r="B18" s="17" t="n"/>
      <c r="C18" s="17" t="n"/>
      <c r="D18" s="10" t="n"/>
      <c r="E18" s="10" t="n"/>
      <c r="F18" s="17" t="n"/>
      <c r="G18" s="19" t="n"/>
      <c r="H18" s="16" t="n"/>
      <c r="I18" s="16" t="n"/>
      <c r="J18" s="16" t="n"/>
      <c r="K18" s="26" t="n"/>
      <c r="L18" s="26" t="n"/>
      <c r="M18" s="16" t="n"/>
      <c r="N18" s="9" t="n"/>
      <c r="O18" s="16" t="n"/>
      <c r="P18" s="16" t="n"/>
      <c r="Q18" s="24" t="n"/>
      <c r="R18" s="17" t="n"/>
      <c r="S18" s="17" t="n"/>
      <c r="T18" s="27" t="n"/>
      <c r="U18" s="27" t="n"/>
      <c r="V18" s="10" t="n"/>
    </row>
    <row r="19">
      <c r="A19" s="16" t="n"/>
      <c r="B19" s="17" t="n"/>
      <c r="C19" s="17" t="n"/>
      <c r="D19" s="10" t="n"/>
      <c r="E19" s="10" t="n"/>
      <c r="F19" s="17" t="n"/>
      <c r="G19" s="19" t="n"/>
      <c r="H19" s="16" t="n"/>
      <c r="I19" s="16" t="n"/>
      <c r="J19" s="16" t="n"/>
      <c r="K19" s="26" t="n"/>
      <c r="L19" s="26" t="n"/>
      <c r="M19" s="16" t="n"/>
      <c r="N19" s="9" t="n"/>
      <c r="O19" s="16" t="n"/>
      <c r="P19" s="16" t="n"/>
      <c r="Q19" s="24" t="n"/>
      <c r="R19" s="17" t="n"/>
      <c r="S19" s="17" t="n"/>
      <c r="T19" s="27" t="n"/>
      <c r="U19" s="27" t="n"/>
      <c r="V19" s="10" t="n"/>
    </row>
    <row r="20">
      <c r="A20" s="16" t="n"/>
      <c r="B20" s="17" t="n"/>
      <c r="C20" s="17" t="n"/>
      <c r="D20" s="10" t="n"/>
      <c r="E20" s="10" t="n"/>
      <c r="F20" s="17" t="n"/>
      <c r="G20" s="19" t="n"/>
      <c r="H20" s="16" t="n"/>
      <c r="I20" s="16" t="n"/>
      <c r="J20" s="16" t="n"/>
      <c r="K20" s="26" t="n"/>
      <c r="L20" s="26" t="n"/>
      <c r="M20" s="16" t="n"/>
      <c r="N20" s="9" t="n"/>
      <c r="O20" s="16" t="n"/>
      <c r="P20" s="16" t="n"/>
      <c r="Q20" s="24" t="n"/>
      <c r="R20" s="17" t="n"/>
      <c r="S20" s="17" t="n"/>
      <c r="T20" s="27" t="n"/>
      <c r="U20" s="27" t="n"/>
      <c r="V20" s="10" t="n"/>
    </row>
    <row r="21">
      <c r="A21" s="16" t="n"/>
      <c r="B21" s="17" t="n"/>
      <c r="C21" s="17" t="n"/>
      <c r="D21" s="10" t="n"/>
      <c r="E21" s="10" t="n"/>
      <c r="F21" s="17" t="n"/>
      <c r="G21" s="19" t="n"/>
      <c r="H21" s="16" t="n"/>
      <c r="I21" s="16" t="n"/>
      <c r="J21" s="16" t="n"/>
      <c r="K21" s="26" t="n"/>
      <c r="L21" s="26" t="n"/>
      <c r="M21" s="16" t="n"/>
      <c r="N21" s="9" t="n"/>
      <c r="O21" s="16" t="n"/>
      <c r="P21" s="16" t="n"/>
      <c r="Q21" s="24" t="n"/>
      <c r="R21" s="17" t="n"/>
      <c r="S21" s="17" t="n"/>
      <c r="T21" s="27" t="n"/>
      <c r="U21" s="27" t="n"/>
      <c r="V21" s="10" t="n"/>
    </row>
    <row r="22">
      <c r="A22" s="16" t="n"/>
      <c r="B22" s="17" t="n"/>
      <c r="C22" s="17" t="n"/>
      <c r="D22" s="10" t="n"/>
      <c r="E22" s="10" t="n"/>
      <c r="F22" s="17" t="n"/>
      <c r="G22" s="19" t="n"/>
      <c r="H22" s="16" t="n"/>
      <c r="I22" s="16" t="n"/>
      <c r="J22" s="16" t="n"/>
      <c r="K22" s="26" t="n"/>
      <c r="L22" s="26" t="n"/>
      <c r="M22" s="16" t="n"/>
      <c r="N22" s="9" t="n"/>
      <c r="O22" s="16" t="n"/>
      <c r="P22" s="16" t="n"/>
      <c r="Q22" s="24" t="n"/>
      <c r="R22" s="17" t="n"/>
      <c r="S22" s="17" t="n"/>
      <c r="T22" s="27" t="n"/>
      <c r="U22" s="27" t="n"/>
      <c r="V22" s="10" t="n"/>
    </row>
    <row r="23">
      <c r="A23" s="16" t="n"/>
      <c r="B23" s="17" t="n"/>
      <c r="C23" s="17" t="n"/>
      <c r="D23" s="10" t="n"/>
      <c r="E23" s="10" t="n"/>
      <c r="F23" s="17" t="n"/>
      <c r="G23" s="19" t="n"/>
      <c r="H23" s="16" t="n"/>
      <c r="I23" s="16" t="n"/>
      <c r="J23" s="16" t="n"/>
      <c r="K23" s="26" t="n"/>
      <c r="L23" s="26" t="n"/>
      <c r="M23" s="16" t="n"/>
      <c r="N23" s="9" t="n"/>
      <c r="O23" s="16" t="n"/>
      <c r="P23" s="16" t="n"/>
      <c r="Q23" s="24" t="n"/>
      <c r="R23" s="17" t="n"/>
      <c r="S23" s="17" t="n"/>
      <c r="T23" s="27" t="n"/>
      <c r="U23" s="27" t="n"/>
      <c r="V23" s="10" t="n"/>
    </row>
    <row r="24">
      <c r="A24" s="16" t="n"/>
      <c r="B24" s="17" t="n"/>
      <c r="C24" s="17" t="n"/>
      <c r="D24" s="10" t="n"/>
      <c r="E24" s="10" t="n"/>
      <c r="F24" s="17" t="n"/>
      <c r="G24" s="19" t="n"/>
      <c r="H24" s="16" t="n"/>
      <c r="I24" s="16" t="n"/>
      <c r="J24" s="16" t="n"/>
      <c r="K24" s="26" t="n"/>
      <c r="L24" s="26" t="n"/>
      <c r="M24" s="16" t="n"/>
      <c r="N24" s="9" t="n"/>
      <c r="O24" s="16" t="n"/>
      <c r="P24" s="16" t="n"/>
      <c r="Q24" s="24" t="n"/>
      <c r="R24" s="17" t="n"/>
      <c r="S24" s="17" t="n"/>
      <c r="T24" s="27" t="n"/>
      <c r="U24" s="27" t="n"/>
      <c r="V24" s="10" t="n"/>
    </row>
    <row r="25">
      <c r="A25" s="16" t="n"/>
      <c r="B25" s="17" t="n"/>
      <c r="C25" s="17" t="n"/>
      <c r="D25" s="10" t="n"/>
      <c r="E25" s="10" t="n"/>
      <c r="F25" s="17" t="n"/>
      <c r="G25" s="19" t="n"/>
      <c r="H25" s="16" t="n"/>
      <c r="I25" s="16" t="n"/>
      <c r="J25" s="16" t="n"/>
      <c r="K25" s="26" t="n"/>
      <c r="L25" s="26" t="n"/>
      <c r="M25" s="16" t="n"/>
      <c r="N25" s="9" t="n"/>
      <c r="O25" s="16" t="n"/>
      <c r="P25" s="16" t="n"/>
      <c r="Q25" s="24" t="n"/>
      <c r="R25" s="17" t="n"/>
      <c r="S25" s="17" t="n"/>
      <c r="T25" s="27" t="n"/>
      <c r="U25" s="27" t="n"/>
      <c r="V25" s="10" t="n"/>
    </row>
    <row r="26">
      <c r="A26" s="16" t="n"/>
      <c r="B26" s="17" t="n"/>
      <c r="C26" s="17" t="n"/>
      <c r="D26" s="10" t="n"/>
      <c r="E26" s="10" t="n"/>
      <c r="F26" s="17" t="n"/>
      <c r="G26" s="19" t="n"/>
      <c r="H26" s="16" t="n"/>
      <c r="I26" s="16" t="n"/>
      <c r="J26" s="16" t="n"/>
      <c r="K26" s="26" t="n"/>
      <c r="L26" s="26" t="n"/>
      <c r="M26" s="16" t="n"/>
      <c r="N26" s="9" t="n"/>
      <c r="O26" s="16" t="n"/>
      <c r="P26" s="16" t="n"/>
      <c r="Q26" s="24" t="n"/>
      <c r="R26" s="17" t="n"/>
      <c r="S26" s="17" t="n"/>
      <c r="T26" s="27" t="n"/>
      <c r="U26" s="27" t="n"/>
      <c r="V26" s="10" t="n"/>
    </row>
    <row r="27">
      <c r="A27" s="16" t="n"/>
      <c r="B27" s="17" t="n"/>
      <c r="C27" s="17" t="n"/>
      <c r="D27" s="10" t="n"/>
      <c r="E27" s="10" t="n"/>
      <c r="F27" s="17" t="n"/>
      <c r="G27" s="19" t="n"/>
      <c r="H27" s="16" t="n"/>
      <c r="I27" s="16" t="n"/>
      <c r="J27" s="16" t="n"/>
      <c r="K27" s="26" t="n"/>
      <c r="L27" s="26" t="n"/>
      <c r="M27" s="16" t="n"/>
      <c r="N27" s="9" t="n"/>
      <c r="O27" s="16" t="n"/>
      <c r="P27" s="16" t="n"/>
      <c r="Q27" s="24" t="n"/>
      <c r="R27" s="17" t="n"/>
      <c r="S27" s="17" t="n"/>
      <c r="T27" s="27" t="n"/>
      <c r="U27" s="27" t="n"/>
      <c r="V27" s="10" t="n"/>
    </row>
    <row r="28">
      <c r="A28" s="16" t="n"/>
      <c r="B28" s="17" t="n"/>
      <c r="C28" s="17" t="n"/>
      <c r="D28" s="10" t="n"/>
      <c r="E28" s="10" t="n"/>
      <c r="F28" s="17" t="n"/>
      <c r="G28" s="19" t="n"/>
      <c r="H28" s="16" t="n"/>
      <c r="I28" s="16" t="n"/>
      <c r="J28" s="16" t="n"/>
      <c r="K28" s="26" t="n"/>
      <c r="L28" s="26" t="n"/>
      <c r="M28" s="16" t="n"/>
      <c r="N28" s="9" t="n"/>
      <c r="O28" s="16" t="n"/>
      <c r="P28" s="16" t="n"/>
      <c r="Q28" s="24" t="n"/>
      <c r="R28" s="17" t="n"/>
      <c r="S28" s="17" t="n"/>
      <c r="T28" s="27" t="n"/>
      <c r="U28" s="27" t="n"/>
      <c r="V28" s="10" t="n"/>
    </row>
    <row r="29">
      <c r="A29" s="16" t="n"/>
      <c r="B29" s="17" t="n"/>
      <c r="C29" s="17" t="n"/>
      <c r="D29" s="10" t="n"/>
      <c r="E29" s="10" t="n"/>
      <c r="F29" s="17" t="n"/>
      <c r="G29" s="19" t="n"/>
      <c r="H29" s="16" t="n"/>
      <c r="I29" s="16" t="n"/>
      <c r="J29" s="16" t="n"/>
      <c r="K29" s="26" t="n"/>
      <c r="L29" s="26" t="n"/>
      <c r="M29" s="16" t="n"/>
      <c r="N29" s="9" t="n"/>
      <c r="O29" s="16" t="n"/>
      <c r="P29" s="16" t="n"/>
      <c r="Q29" s="24" t="n"/>
      <c r="R29" s="17" t="n"/>
      <c r="S29" s="17" t="n"/>
      <c r="T29" s="27" t="n"/>
      <c r="U29" s="27" t="n"/>
      <c r="V29" s="10" t="n"/>
    </row>
    <row r="30">
      <c r="A30" s="16" t="n"/>
      <c r="B30" s="17" t="n"/>
      <c r="C30" s="17" t="n"/>
      <c r="D30" s="10" t="n"/>
      <c r="E30" s="10" t="n"/>
      <c r="F30" s="17" t="n"/>
      <c r="G30" s="19" t="n"/>
      <c r="H30" s="16" t="n"/>
      <c r="I30" s="16" t="n"/>
      <c r="J30" s="16" t="n"/>
      <c r="K30" s="26" t="n"/>
      <c r="L30" s="26" t="n"/>
      <c r="M30" s="16" t="n"/>
      <c r="N30" s="9" t="n"/>
      <c r="O30" s="16" t="n"/>
      <c r="P30" s="16" t="n"/>
      <c r="Q30" s="24" t="n"/>
      <c r="R30" s="17" t="n"/>
      <c r="S30" s="17" t="n"/>
      <c r="T30" s="27" t="n"/>
      <c r="U30" s="27" t="n"/>
      <c r="V30" s="10" t="n"/>
    </row>
    <row r="31">
      <c r="A31" s="16" t="n"/>
      <c r="B31" s="17" t="n"/>
      <c r="C31" s="17" t="n"/>
      <c r="D31" s="10" t="n"/>
      <c r="E31" s="10" t="n"/>
      <c r="F31" s="17" t="n"/>
      <c r="G31" s="19" t="n"/>
      <c r="H31" s="16" t="n"/>
      <c r="I31" s="16" t="n"/>
      <c r="J31" s="16" t="n"/>
      <c r="K31" s="26" t="n"/>
      <c r="L31" s="26" t="n"/>
      <c r="M31" s="16" t="n"/>
      <c r="N31" s="9" t="n"/>
      <c r="O31" s="16" t="n"/>
      <c r="P31" s="16" t="n"/>
      <c r="Q31" s="24" t="n"/>
      <c r="R31" s="17" t="n"/>
      <c r="S31" s="17" t="n"/>
      <c r="T31" s="27" t="n"/>
      <c r="U31" s="27" t="n"/>
      <c r="V31" s="10" t="n"/>
    </row>
    <row r="32">
      <c r="A32" s="16" t="n"/>
      <c r="B32" s="17" t="n"/>
      <c r="C32" s="17" t="n"/>
      <c r="D32" s="10" t="n"/>
      <c r="E32" s="10" t="n"/>
      <c r="F32" s="17" t="n"/>
      <c r="G32" s="19" t="n"/>
      <c r="H32" s="16" t="n"/>
      <c r="I32" s="16" t="n"/>
      <c r="J32" s="16" t="n"/>
      <c r="K32" s="26" t="n"/>
      <c r="L32" s="26" t="n"/>
      <c r="M32" s="16" t="n"/>
      <c r="N32" s="9" t="n"/>
      <c r="O32" s="16" t="n"/>
      <c r="P32" s="16" t="n"/>
      <c r="Q32" s="24" t="n"/>
      <c r="R32" s="17" t="n"/>
      <c r="S32" s="17" t="n"/>
      <c r="T32" s="27" t="n"/>
      <c r="U32" s="27" t="n"/>
      <c r="V32" s="10" t="n"/>
    </row>
    <row r="33">
      <c r="A33" s="16" t="n"/>
      <c r="B33" s="17" t="n"/>
      <c r="C33" s="17" t="n"/>
      <c r="D33" s="10" t="n"/>
      <c r="E33" s="10" t="n"/>
      <c r="F33" s="17" t="n"/>
      <c r="G33" s="19" t="n"/>
      <c r="H33" s="16" t="n"/>
      <c r="I33" s="16" t="n"/>
      <c r="J33" s="16" t="n"/>
      <c r="K33" s="26" t="n"/>
      <c r="L33" s="26" t="n"/>
      <c r="M33" s="16" t="n"/>
      <c r="N33" s="9" t="n"/>
      <c r="O33" s="16" t="n"/>
      <c r="P33" s="16" t="n"/>
      <c r="Q33" s="24" t="n"/>
      <c r="R33" s="17" t="n"/>
      <c r="S33" s="17" t="n"/>
      <c r="T33" s="27" t="n"/>
      <c r="U33" s="27" t="n"/>
      <c r="V33" s="10" t="n"/>
    </row>
    <row r="34">
      <c r="A34" s="16" t="n"/>
      <c r="B34" s="17" t="n"/>
      <c r="C34" s="17" t="n"/>
      <c r="D34" s="10" t="n"/>
      <c r="E34" s="10" t="n"/>
      <c r="F34" s="17" t="n"/>
      <c r="G34" s="19" t="n"/>
      <c r="H34" s="16" t="n"/>
      <c r="I34" s="16" t="n"/>
      <c r="J34" s="16" t="n"/>
      <c r="K34" s="26" t="n"/>
      <c r="L34" s="26" t="n"/>
      <c r="M34" s="16" t="n"/>
      <c r="N34" s="9" t="n"/>
      <c r="O34" s="16" t="n"/>
      <c r="P34" s="16" t="n"/>
      <c r="Q34" s="24" t="n"/>
      <c r="R34" s="17" t="n"/>
      <c r="S34" s="17" t="n"/>
      <c r="T34" s="27" t="n"/>
      <c r="U34" s="27" t="n"/>
      <c r="V34" s="10" t="n"/>
    </row>
    <row r="35">
      <c r="A35" s="16" t="n"/>
      <c r="B35" s="17" t="n"/>
      <c r="C35" s="17" t="n"/>
      <c r="D35" s="10" t="n"/>
      <c r="E35" s="10" t="n"/>
      <c r="F35" s="17" t="n"/>
      <c r="G35" s="19" t="n"/>
      <c r="H35" s="16" t="n"/>
      <c r="I35" s="16" t="n"/>
      <c r="J35" s="16" t="n"/>
      <c r="K35" s="26" t="n"/>
      <c r="L35" s="26" t="n"/>
      <c r="M35" s="16" t="n"/>
      <c r="N35" s="9" t="n"/>
      <c r="O35" s="16" t="n"/>
      <c r="P35" s="16" t="n"/>
      <c r="Q35" s="24" t="n"/>
      <c r="R35" s="17" t="n"/>
      <c r="S35" s="17" t="n"/>
      <c r="T35" s="27" t="n"/>
      <c r="U35" s="27" t="n"/>
      <c r="V35" s="10" t="n"/>
    </row>
    <row r="36">
      <c r="A36" s="16" t="n"/>
      <c r="B36" s="17" t="n"/>
      <c r="C36" s="17" t="n"/>
      <c r="D36" s="10" t="n"/>
      <c r="E36" s="10" t="n"/>
      <c r="F36" s="17" t="n"/>
      <c r="G36" s="19" t="n"/>
      <c r="H36" s="16" t="n"/>
      <c r="I36" s="16" t="n"/>
      <c r="J36" s="16" t="n"/>
      <c r="K36" s="26" t="n"/>
      <c r="L36" s="26" t="n"/>
      <c r="M36" s="16" t="n"/>
      <c r="N36" s="9" t="n"/>
      <c r="O36" s="16" t="n"/>
      <c r="P36" s="16" t="n"/>
      <c r="Q36" s="24" t="n"/>
      <c r="R36" s="17" t="n"/>
      <c r="S36" s="17" t="n"/>
      <c r="T36" s="27" t="n"/>
      <c r="U36" s="27" t="n"/>
      <c r="V36" s="10" t="n"/>
    </row>
    <row r="37">
      <c r="A37" s="16" t="n"/>
      <c r="B37" s="17" t="n"/>
      <c r="C37" s="17" t="n"/>
      <c r="D37" s="10" t="n"/>
      <c r="E37" s="10" t="n"/>
      <c r="F37" s="17" t="n"/>
      <c r="G37" s="19" t="n"/>
      <c r="H37" s="16" t="n"/>
      <c r="I37" s="16" t="n"/>
      <c r="J37" s="16" t="n"/>
      <c r="K37" s="26" t="n"/>
      <c r="L37" s="26" t="n"/>
      <c r="M37" s="16" t="n"/>
      <c r="N37" s="9" t="n"/>
      <c r="O37" s="16" t="n"/>
      <c r="P37" s="16" t="n"/>
      <c r="Q37" s="24" t="n"/>
      <c r="R37" s="17" t="n"/>
      <c r="S37" s="17" t="n"/>
      <c r="T37" s="27" t="n"/>
      <c r="U37" s="27" t="n"/>
      <c r="V37" s="10" t="n"/>
    </row>
    <row r="38">
      <c r="A38" s="16" t="n"/>
      <c r="B38" s="17" t="n"/>
      <c r="C38" s="17" t="n"/>
      <c r="D38" s="10" t="n"/>
      <c r="E38" s="10" t="n"/>
      <c r="F38" s="17" t="n"/>
      <c r="G38" s="19" t="n"/>
      <c r="H38" s="16" t="n"/>
      <c r="I38" s="16" t="n"/>
      <c r="J38" s="16" t="n"/>
      <c r="K38" s="26" t="n"/>
      <c r="L38" s="26" t="n"/>
      <c r="M38" s="16" t="n"/>
      <c r="N38" s="9" t="n"/>
      <c r="O38" s="16" t="n"/>
      <c r="P38" s="16" t="n"/>
      <c r="Q38" s="24" t="n"/>
      <c r="R38" s="17" t="n"/>
      <c r="S38" s="17" t="n"/>
      <c r="T38" s="27" t="n"/>
      <c r="U38" s="27" t="n"/>
      <c r="V38" s="10" t="n"/>
    </row>
    <row r="39">
      <c r="A39" s="16" t="n"/>
      <c r="B39" s="17" t="n"/>
      <c r="C39" s="17" t="n"/>
      <c r="D39" s="10" t="n"/>
      <c r="E39" s="10" t="n"/>
      <c r="F39" s="17" t="n"/>
      <c r="G39" s="19" t="n"/>
      <c r="H39" s="16" t="n"/>
      <c r="I39" s="16" t="n"/>
      <c r="J39" s="16" t="n"/>
      <c r="K39" s="26" t="n"/>
      <c r="L39" s="26" t="n"/>
      <c r="M39" s="16" t="n"/>
      <c r="N39" s="9" t="n"/>
      <c r="O39" s="16" t="n"/>
      <c r="P39" s="16" t="n"/>
      <c r="Q39" s="24" t="n"/>
      <c r="R39" s="17" t="n"/>
      <c r="S39" s="17" t="n"/>
      <c r="T39" s="27" t="n"/>
      <c r="U39" s="27" t="n"/>
      <c r="V39" s="10" t="n"/>
    </row>
    <row r="40">
      <c r="A40" s="16" t="n"/>
      <c r="B40" s="17" t="n"/>
      <c r="C40" s="17" t="n"/>
      <c r="D40" s="10" t="n"/>
      <c r="E40" s="10" t="n"/>
      <c r="F40" s="17" t="n"/>
      <c r="G40" s="19" t="n"/>
      <c r="H40" s="16" t="n"/>
      <c r="I40" s="16" t="n"/>
      <c r="J40" s="16" t="n"/>
      <c r="K40" s="26" t="n"/>
      <c r="L40" s="26" t="n"/>
      <c r="M40" s="16" t="n"/>
      <c r="N40" s="9" t="n"/>
      <c r="O40" s="16" t="n"/>
      <c r="P40" s="16" t="n"/>
      <c r="Q40" s="24" t="n"/>
      <c r="R40" s="17" t="n"/>
      <c r="S40" s="17" t="n"/>
      <c r="T40" s="27" t="n"/>
      <c r="U40" s="27" t="n"/>
      <c r="V40" s="10" t="n"/>
    </row>
    <row r="41">
      <c r="A41" s="16" t="n"/>
      <c r="B41" s="17" t="n"/>
      <c r="C41" s="17" t="n"/>
      <c r="D41" s="10" t="n"/>
      <c r="E41" s="10" t="n"/>
      <c r="F41" s="17" t="n"/>
      <c r="G41" s="19" t="n"/>
      <c r="H41" s="16" t="n"/>
      <c r="I41" s="16" t="n"/>
      <c r="J41" s="16" t="n"/>
      <c r="K41" s="26" t="n"/>
      <c r="L41" s="26" t="n"/>
      <c r="M41" s="16" t="n"/>
      <c r="N41" s="9" t="n"/>
      <c r="O41" s="16" t="n"/>
      <c r="P41" s="16" t="n"/>
      <c r="Q41" s="24" t="n"/>
      <c r="R41" s="17" t="n"/>
      <c r="S41" s="17" t="n"/>
      <c r="T41" s="27" t="n"/>
      <c r="U41" s="27" t="n"/>
      <c r="V41" s="10" t="n"/>
    </row>
    <row r="42">
      <c r="A42" s="16" t="n"/>
      <c r="B42" s="17" t="n"/>
      <c r="C42" s="17" t="n"/>
      <c r="D42" s="10" t="n"/>
      <c r="E42" s="10" t="n"/>
      <c r="F42" s="17" t="n"/>
      <c r="G42" s="19" t="n"/>
      <c r="H42" s="16" t="n"/>
      <c r="I42" s="16" t="n"/>
      <c r="J42" s="16" t="n"/>
      <c r="K42" s="26" t="n"/>
      <c r="L42" s="26" t="n"/>
      <c r="M42" s="16" t="n"/>
      <c r="N42" s="9" t="n"/>
      <c r="O42" s="16" t="n"/>
      <c r="P42" s="16" t="n"/>
      <c r="Q42" s="24" t="n"/>
      <c r="R42" s="17" t="n"/>
      <c r="S42" s="17" t="n"/>
      <c r="T42" s="27" t="n"/>
      <c r="U42" s="27" t="n"/>
      <c r="V42" s="10" t="n"/>
    </row>
    <row r="43">
      <c r="A43" s="16" t="n"/>
      <c r="B43" s="17" t="n"/>
      <c r="C43" s="17" t="n"/>
      <c r="D43" s="10" t="n"/>
      <c r="E43" s="10" t="n"/>
      <c r="F43" s="17" t="n"/>
      <c r="G43" s="19" t="n"/>
      <c r="H43" s="16" t="n"/>
      <c r="I43" s="16" t="n"/>
      <c r="J43" s="16" t="n"/>
      <c r="K43" s="26" t="n"/>
      <c r="L43" s="26" t="n"/>
      <c r="M43" s="16" t="n"/>
      <c r="N43" s="9" t="n"/>
      <c r="O43" s="16" t="n"/>
      <c r="P43" s="16" t="n"/>
      <c r="Q43" s="24" t="n"/>
      <c r="R43" s="17" t="n"/>
      <c r="S43" s="17" t="n"/>
      <c r="T43" s="27" t="n"/>
      <c r="U43" s="27" t="n"/>
      <c r="V43" s="10" t="n"/>
    </row>
    <row r="44">
      <c r="A44" s="16" t="n"/>
      <c r="B44" s="17" t="n"/>
      <c r="C44" s="17" t="n"/>
      <c r="D44" s="10" t="n"/>
      <c r="E44" s="10" t="n"/>
      <c r="F44" s="17" t="n"/>
      <c r="G44" s="19" t="n"/>
      <c r="H44" s="16" t="n"/>
      <c r="I44" s="16" t="n"/>
      <c r="J44" s="16" t="n"/>
      <c r="K44" s="26" t="n"/>
      <c r="L44" s="26" t="n"/>
      <c r="M44" s="16" t="n"/>
      <c r="N44" s="9" t="n"/>
      <c r="O44" s="16" t="n"/>
      <c r="P44" s="16" t="n"/>
      <c r="Q44" s="24" t="n"/>
      <c r="R44" s="17" t="n"/>
      <c r="S44" s="17" t="n"/>
      <c r="T44" s="27" t="n"/>
      <c r="U44" s="27" t="n"/>
      <c r="V44" s="10" t="n"/>
    </row>
    <row r="45">
      <c r="A45" s="16" t="n"/>
      <c r="B45" s="17" t="n"/>
      <c r="C45" s="17" t="n"/>
      <c r="D45" s="10" t="n"/>
      <c r="E45" s="10" t="n"/>
      <c r="F45" s="17" t="n"/>
      <c r="G45" s="19" t="n"/>
      <c r="H45" s="16" t="n"/>
      <c r="I45" s="16" t="n"/>
      <c r="J45" s="16" t="n"/>
      <c r="K45" s="26" t="n"/>
      <c r="L45" s="26" t="n"/>
      <c r="M45" s="16" t="n"/>
      <c r="N45" s="9" t="n"/>
      <c r="O45" s="16" t="n"/>
      <c r="P45" s="16" t="n"/>
      <c r="Q45" s="24" t="n"/>
      <c r="R45" s="17" t="n"/>
      <c r="S45" s="17" t="n"/>
      <c r="T45" s="27" t="n"/>
      <c r="U45" s="27" t="n"/>
      <c r="V45" s="10" t="n"/>
    </row>
    <row r="46">
      <c r="A46" s="16" t="n"/>
      <c r="B46" s="17" t="n"/>
      <c r="C46" s="17" t="n"/>
      <c r="D46" s="10" t="n"/>
      <c r="E46" s="10" t="n"/>
      <c r="F46" s="17" t="n"/>
      <c r="G46" s="19" t="n"/>
      <c r="H46" s="16" t="n"/>
      <c r="I46" s="16" t="n"/>
      <c r="J46" s="16" t="n"/>
      <c r="K46" s="26" t="n"/>
      <c r="L46" s="26" t="n"/>
      <c r="M46" s="16" t="n"/>
      <c r="N46" s="9" t="n"/>
      <c r="O46" s="16" t="n"/>
      <c r="P46" s="16" t="n"/>
      <c r="Q46" s="24" t="n"/>
      <c r="R46" s="17" t="n"/>
      <c r="S46" s="17" t="n"/>
      <c r="T46" s="27" t="n"/>
      <c r="U46" s="27" t="n"/>
      <c r="V46" s="10" t="n"/>
    </row>
    <row r="47">
      <c r="A47" s="16" t="n"/>
      <c r="B47" s="17" t="n"/>
      <c r="C47" s="17" t="n"/>
      <c r="D47" s="10" t="n"/>
      <c r="E47" s="10" t="n"/>
      <c r="F47" s="17" t="n"/>
      <c r="G47" s="19" t="n"/>
      <c r="H47" s="16" t="n"/>
      <c r="I47" s="16" t="n"/>
      <c r="J47" s="16" t="n"/>
      <c r="K47" s="26" t="n"/>
      <c r="L47" s="26" t="n"/>
      <c r="M47" s="16" t="n"/>
      <c r="N47" s="9" t="n"/>
      <c r="O47" s="16" t="n"/>
      <c r="P47" s="16" t="n"/>
      <c r="Q47" s="24" t="n"/>
      <c r="R47" s="17" t="n"/>
      <c r="S47" s="17" t="n"/>
      <c r="T47" s="27" t="n"/>
      <c r="U47" s="27" t="n"/>
      <c r="V47" s="10" t="n"/>
    </row>
    <row r="48">
      <c r="A48" s="16" t="n"/>
      <c r="B48" s="17" t="n"/>
      <c r="C48" s="17" t="n"/>
      <c r="D48" s="10" t="n"/>
      <c r="E48" s="10" t="n"/>
      <c r="F48" s="17" t="n"/>
      <c r="G48" s="19" t="n"/>
      <c r="H48" s="16" t="n"/>
      <c r="I48" s="16" t="n"/>
      <c r="J48" s="16" t="n"/>
      <c r="K48" s="26" t="n"/>
      <c r="L48" s="26" t="n"/>
      <c r="M48" s="16" t="n"/>
      <c r="N48" s="9" t="n"/>
      <c r="O48" s="16" t="n"/>
      <c r="P48" s="16" t="n"/>
      <c r="Q48" s="24" t="n"/>
      <c r="R48" s="17" t="n"/>
      <c r="S48" s="17" t="n"/>
      <c r="T48" s="27" t="n"/>
      <c r="U48" s="27" t="n"/>
      <c r="V48" s="10" t="n"/>
    </row>
    <row r="49">
      <c r="A49" s="16" t="n"/>
      <c r="B49" s="17" t="n"/>
      <c r="C49" s="17" t="n"/>
      <c r="D49" s="10" t="n"/>
      <c r="E49" s="10" t="n"/>
      <c r="F49" s="17" t="n"/>
      <c r="G49" s="19" t="n"/>
      <c r="H49" s="16" t="n"/>
      <c r="I49" s="16" t="n"/>
      <c r="J49" s="16" t="n"/>
      <c r="K49" s="26" t="n"/>
      <c r="L49" s="26" t="n"/>
      <c r="M49" s="16" t="n"/>
      <c r="N49" s="9" t="n"/>
      <c r="O49" s="16" t="n"/>
      <c r="P49" s="16" t="n"/>
      <c r="Q49" s="24" t="n"/>
      <c r="R49" s="17" t="n"/>
      <c r="S49" s="17" t="n"/>
      <c r="T49" s="27" t="n"/>
      <c r="U49" s="27" t="n"/>
      <c r="V49" s="10" t="n"/>
    </row>
    <row r="50">
      <c r="A50" s="16" t="n"/>
      <c r="B50" s="17" t="n"/>
      <c r="C50" s="17" t="n"/>
      <c r="D50" s="10" t="n"/>
      <c r="E50" s="10" t="n"/>
      <c r="F50" s="17" t="n"/>
      <c r="G50" s="19" t="n"/>
      <c r="H50" s="16" t="n"/>
      <c r="I50" s="16" t="n"/>
      <c r="J50" s="16" t="n"/>
      <c r="K50" s="26" t="n"/>
      <c r="L50" s="26" t="n"/>
      <c r="M50" s="16" t="n"/>
      <c r="N50" s="9" t="n"/>
      <c r="O50" s="16" t="n"/>
      <c r="P50" s="16" t="n"/>
      <c r="Q50" s="24" t="n"/>
      <c r="R50" s="17" t="n"/>
      <c r="S50" s="17" t="n"/>
      <c r="T50" s="27" t="n"/>
      <c r="U50" s="27" t="n"/>
      <c r="V50" s="10" t="n"/>
    </row>
    <row r="51">
      <c r="A51" s="16" t="n"/>
      <c r="B51" s="17" t="n"/>
      <c r="C51" s="17" t="n"/>
      <c r="D51" s="10" t="n"/>
      <c r="E51" s="10" t="n"/>
      <c r="F51" s="17" t="n"/>
      <c r="G51" s="19" t="n"/>
      <c r="H51" s="16" t="n"/>
      <c r="I51" s="16" t="n"/>
      <c r="J51" s="16" t="n"/>
      <c r="K51" s="26" t="n"/>
      <c r="L51" s="26" t="n"/>
      <c r="M51" s="16" t="n"/>
      <c r="N51" s="9" t="n"/>
      <c r="O51" s="16" t="n"/>
      <c r="P51" s="16" t="n"/>
      <c r="Q51" s="24" t="n"/>
      <c r="R51" s="17" t="n"/>
      <c r="S51" s="17" t="n"/>
      <c r="T51" s="27" t="n"/>
      <c r="U51" s="27" t="n"/>
      <c r="V51" s="10" t="n"/>
    </row>
    <row r="52">
      <c r="A52" s="16" t="n"/>
      <c r="B52" s="17" t="n"/>
      <c r="C52" s="17" t="n"/>
      <c r="D52" s="10" t="n"/>
      <c r="E52" s="10" t="n"/>
      <c r="F52" s="17" t="n"/>
      <c r="G52" s="19" t="n"/>
      <c r="H52" s="16" t="n"/>
      <c r="I52" s="16" t="n"/>
      <c r="J52" s="16" t="n"/>
      <c r="K52" s="26" t="n"/>
      <c r="L52" s="26" t="n"/>
      <c r="M52" s="16" t="n"/>
      <c r="N52" s="9" t="n"/>
      <c r="O52" s="16" t="n"/>
      <c r="P52" s="16" t="n"/>
      <c r="Q52" s="24" t="n"/>
      <c r="R52" s="17" t="n"/>
      <c r="S52" s="17" t="n"/>
      <c r="T52" s="27" t="n"/>
      <c r="U52" s="27" t="n"/>
      <c r="V52" s="10" t="n"/>
    </row>
    <row r="53">
      <c r="A53" s="16" t="n"/>
      <c r="B53" s="17" t="n"/>
      <c r="C53" s="17" t="n"/>
      <c r="D53" s="10" t="n"/>
      <c r="E53" s="10" t="n"/>
      <c r="F53" s="17" t="n"/>
      <c r="G53" s="19" t="n"/>
      <c r="H53" s="16" t="n"/>
      <c r="I53" s="16" t="n"/>
      <c r="J53" s="16" t="n"/>
      <c r="K53" s="26" t="n"/>
      <c r="L53" s="26" t="n"/>
      <c r="M53" s="16" t="n"/>
      <c r="N53" s="9" t="n"/>
      <c r="O53" s="16" t="n"/>
      <c r="P53" s="16" t="n"/>
      <c r="Q53" s="24" t="n"/>
      <c r="R53" s="17" t="n"/>
      <c r="S53" s="17" t="n"/>
      <c r="T53" s="27" t="n"/>
      <c r="U53" s="27" t="n"/>
      <c r="V53" s="10" t="n"/>
    </row>
    <row r="54">
      <c r="A54" s="16" t="n"/>
      <c r="B54" s="17" t="n"/>
      <c r="C54" s="17" t="n"/>
      <c r="D54" s="10" t="n"/>
      <c r="E54" s="10" t="n"/>
      <c r="F54" s="17" t="n"/>
      <c r="G54" s="19" t="n"/>
      <c r="H54" s="16" t="n"/>
      <c r="I54" s="16" t="n"/>
      <c r="J54" s="16" t="n"/>
      <c r="K54" s="26" t="n"/>
      <c r="L54" s="26" t="n"/>
      <c r="M54" s="16" t="n"/>
      <c r="N54" s="9" t="n"/>
      <c r="O54" s="16" t="n"/>
      <c r="P54" s="16" t="n"/>
      <c r="Q54" s="24" t="n"/>
      <c r="R54" s="17" t="n"/>
      <c r="S54" s="17" t="n"/>
      <c r="T54" s="27" t="n"/>
      <c r="U54" s="27" t="n"/>
      <c r="V54" s="10" t="n"/>
    </row>
    <row r="55">
      <c r="A55" s="16" t="n"/>
      <c r="B55" s="17" t="n"/>
      <c r="C55" s="17" t="n"/>
      <c r="D55" s="10" t="n"/>
      <c r="E55" s="10" t="n"/>
      <c r="F55" s="17" t="n"/>
      <c r="G55" s="19" t="n"/>
      <c r="H55" s="16" t="n"/>
      <c r="I55" s="16" t="n"/>
      <c r="J55" s="16" t="n"/>
      <c r="K55" s="26" t="n"/>
      <c r="L55" s="26" t="n"/>
      <c r="M55" s="16" t="n"/>
      <c r="N55" s="9" t="n"/>
      <c r="O55" s="16" t="n"/>
      <c r="P55" s="16" t="n"/>
      <c r="Q55" s="24" t="n"/>
      <c r="R55" s="17" t="n"/>
      <c r="S55" s="17" t="n"/>
      <c r="T55" s="27" t="n"/>
      <c r="U55" s="27" t="n"/>
      <c r="V55" s="10" t="n"/>
    </row>
    <row r="56">
      <c r="A56" s="16" t="n"/>
      <c r="B56" s="17" t="n"/>
      <c r="C56" s="17" t="n"/>
      <c r="D56" s="10" t="n"/>
      <c r="E56" s="10" t="n"/>
      <c r="F56" s="17" t="n"/>
      <c r="G56" s="19" t="n"/>
      <c r="H56" s="16" t="n"/>
      <c r="I56" s="16" t="n"/>
      <c r="J56" s="16" t="n"/>
      <c r="K56" s="26" t="n"/>
      <c r="L56" s="26" t="n"/>
      <c r="M56" s="16" t="n"/>
      <c r="N56" s="9" t="n"/>
      <c r="O56" s="16" t="n"/>
      <c r="P56" s="16" t="n"/>
      <c r="Q56" s="24" t="n"/>
      <c r="R56" s="17" t="n"/>
      <c r="S56" s="17" t="n"/>
      <c r="T56" s="27" t="n"/>
      <c r="U56" s="27" t="n"/>
      <c r="V56" s="10" t="n"/>
    </row>
    <row r="57">
      <c r="A57" s="16" t="n"/>
      <c r="B57" s="17" t="n"/>
      <c r="C57" s="17" t="n"/>
      <c r="D57" s="10" t="n"/>
      <c r="E57" s="10" t="n"/>
      <c r="F57" s="17" t="n"/>
      <c r="G57" s="19" t="n"/>
      <c r="H57" s="16" t="n"/>
      <c r="I57" s="16" t="n"/>
      <c r="J57" s="16" t="n"/>
      <c r="K57" s="26" t="n"/>
      <c r="L57" s="26" t="n"/>
      <c r="M57" s="16" t="n"/>
      <c r="N57" s="9" t="n"/>
      <c r="O57" s="16" t="n"/>
      <c r="P57" s="16" t="n"/>
      <c r="Q57" s="24" t="n"/>
      <c r="R57" s="17" t="n"/>
      <c r="S57" s="17" t="n"/>
      <c r="T57" s="27" t="n"/>
      <c r="U57" s="27" t="n"/>
      <c r="V57" s="10" t="n"/>
    </row>
    <row r="58">
      <c r="A58" s="16" t="n"/>
      <c r="B58" s="17" t="n"/>
      <c r="C58" s="17" t="n"/>
      <c r="D58" s="10" t="n"/>
      <c r="E58" s="10" t="n"/>
      <c r="F58" s="17" t="n"/>
      <c r="G58" s="19" t="n"/>
      <c r="H58" s="16" t="n"/>
      <c r="I58" s="16" t="n"/>
      <c r="J58" s="16" t="n"/>
      <c r="K58" s="26" t="n"/>
      <c r="L58" s="26" t="n"/>
      <c r="M58" s="16" t="n"/>
      <c r="N58" s="9" t="n"/>
      <c r="O58" s="16" t="n"/>
      <c r="P58" s="16" t="n"/>
      <c r="Q58" s="24" t="n"/>
      <c r="R58" s="17" t="n"/>
      <c r="S58" s="17" t="n"/>
      <c r="T58" s="27" t="n"/>
      <c r="U58" s="27" t="n"/>
      <c r="V58" s="10" t="n"/>
    </row>
    <row r="59">
      <c r="A59" s="16" t="n"/>
      <c r="B59" s="17" t="n"/>
      <c r="C59" s="17" t="n"/>
      <c r="D59" s="10" t="n"/>
      <c r="E59" s="10" t="n"/>
      <c r="F59" s="17" t="n"/>
      <c r="G59" s="19" t="n"/>
      <c r="H59" s="16" t="n"/>
      <c r="I59" s="16" t="n"/>
      <c r="J59" s="16" t="n"/>
      <c r="K59" s="26" t="n"/>
      <c r="L59" s="26" t="n"/>
      <c r="M59" s="16" t="n"/>
      <c r="N59" s="9" t="n"/>
      <c r="O59" s="16" t="n"/>
      <c r="P59" s="16" t="n"/>
      <c r="Q59" s="24" t="n"/>
      <c r="R59" s="17" t="n"/>
      <c r="S59" s="17" t="n"/>
      <c r="T59" s="27" t="n"/>
      <c r="U59" s="27" t="n"/>
      <c r="V59" s="10" t="n"/>
    </row>
    <row r="60">
      <c r="A60" s="16" t="n"/>
      <c r="B60" s="17" t="n"/>
      <c r="C60" s="17" t="n"/>
      <c r="D60" s="10" t="n"/>
      <c r="E60" s="10" t="n"/>
      <c r="F60" s="17" t="n"/>
      <c r="G60" s="19" t="n"/>
      <c r="H60" s="16" t="n"/>
      <c r="I60" s="16" t="n"/>
      <c r="J60" s="16" t="n"/>
      <c r="K60" s="26" t="n"/>
      <c r="L60" s="26" t="n"/>
      <c r="M60" s="16" t="n"/>
      <c r="N60" s="9" t="n"/>
      <c r="O60" s="16" t="n"/>
      <c r="P60" s="16" t="n"/>
      <c r="Q60" s="24" t="n"/>
      <c r="R60" s="17" t="n"/>
      <c r="S60" s="17" t="n"/>
      <c r="T60" s="27" t="n"/>
      <c r="U60" s="27" t="n"/>
      <c r="V60" s="10" t="n"/>
    </row>
    <row r="61">
      <c r="A61" s="16" t="n"/>
      <c r="B61" s="17" t="n"/>
      <c r="C61" s="17" t="n"/>
      <c r="D61" s="10" t="n"/>
      <c r="E61" s="10" t="n"/>
      <c r="F61" s="17" t="n"/>
      <c r="G61" s="19" t="n"/>
      <c r="H61" s="16" t="n"/>
      <c r="I61" s="16" t="n"/>
      <c r="J61" s="16" t="n"/>
      <c r="K61" s="26" t="n"/>
      <c r="L61" s="26" t="n"/>
      <c r="M61" s="16" t="n"/>
      <c r="N61" s="9" t="n"/>
      <c r="O61" s="16" t="n"/>
      <c r="P61" s="16" t="n"/>
      <c r="Q61" s="24" t="n"/>
      <c r="R61" s="17" t="n"/>
      <c r="S61" s="17" t="n"/>
      <c r="T61" s="27" t="n"/>
      <c r="U61" s="27" t="n"/>
      <c r="V61" s="10" t="n"/>
    </row>
    <row r="62">
      <c r="A62" s="16" t="n"/>
      <c r="B62" s="17" t="n"/>
      <c r="C62" s="17" t="n"/>
      <c r="D62" s="10" t="n"/>
      <c r="E62" s="10" t="n"/>
      <c r="F62" s="17" t="n"/>
      <c r="G62" s="19" t="n"/>
      <c r="H62" s="16" t="n"/>
      <c r="I62" s="16" t="n"/>
      <c r="J62" s="16" t="n"/>
      <c r="K62" s="26" t="n"/>
      <c r="L62" s="26" t="n"/>
      <c r="M62" s="16" t="n"/>
      <c r="N62" s="9" t="n"/>
      <c r="O62" s="16" t="n"/>
      <c r="P62" s="16" t="n"/>
      <c r="Q62" s="24" t="n"/>
      <c r="R62" s="17" t="n"/>
      <c r="S62" s="17" t="n"/>
      <c r="T62" s="27" t="n"/>
      <c r="U62" s="27" t="n"/>
      <c r="V62" s="10" t="n"/>
    </row>
    <row r="63">
      <c r="A63" s="16" t="n"/>
      <c r="B63" s="17" t="n"/>
      <c r="C63" s="17" t="n"/>
      <c r="D63" s="10" t="n"/>
      <c r="E63" s="10" t="n"/>
      <c r="F63" s="17" t="n"/>
      <c r="G63" s="19" t="n"/>
      <c r="H63" s="16" t="n"/>
      <c r="I63" s="16" t="n"/>
      <c r="J63" s="16" t="n"/>
      <c r="K63" s="26" t="n"/>
      <c r="L63" s="26" t="n"/>
      <c r="M63" s="16" t="n"/>
      <c r="N63" s="9" t="n"/>
      <c r="O63" s="16" t="n"/>
      <c r="P63" s="16" t="n"/>
      <c r="Q63" s="24" t="n"/>
      <c r="R63" s="17" t="n"/>
      <c r="S63" s="17" t="n"/>
      <c r="T63" s="27" t="n"/>
      <c r="U63" s="27" t="n"/>
      <c r="V63" s="10" t="n"/>
    </row>
    <row r="64">
      <c r="A64" s="16" t="n"/>
      <c r="B64" s="17" t="n"/>
      <c r="C64" s="17" t="n"/>
      <c r="D64" s="10" t="n"/>
      <c r="E64" s="10" t="n"/>
      <c r="F64" s="17" t="n"/>
      <c r="G64" s="19" t="n"/>
      <c r="H64" s="16" t="n"/>
      <c r="I64" s="16" t="n"/>
      <c r="J64" s="16" t="n"/>
      <c r="K64" s="26" t="n"/>
      <c r="L64" s="26" t="n"/>
      <c r="M64" s="16" t="n"/>
      <c r="N64" s="9" t="n"/>
      <c r="O64" s="16" t="n"/>
      <c r="P64" s="16" t="n"/>
      <c r="Q64" s="24" t="n"/>
      <c r="R64" s="17" t="n"/>
      <c r="S64" s="17" t="n"/>
      <c r="T64" s="27" t="n"/>
      <c r="U64" s="27" t="n"/>
      <c r="V64" s="10" t="n"/>
    </row>
    <row r="65">
      <c r="A65" s="16" t="n"/>
      <c r="B65" s="17" t="n"/>
      <c r="C65" s="17" t="n"/>
      <c r="D65" s="10" t="n"/>
      <c r="E65" s="10" t="n"/>
      <c r="F65" s="17" t="n"/>
      <c r="G65" s="19" t="n"/>
      <c r="H65" s="16" t="n"/>
      <c r="I65" s="16" t="n"/>
      <c r="J65" s="16" t="n"/>
      <c r="K65" s="26" t="n"/>
      <c r="L65" s="26" t="n"/>
      <c r="M65" s="16" t="n"/>
      <c r="N65" s="9" t="n"/>
      <c r="O65" s="16" t="n"/>
      <c r="P65" s="16" t="n"/>
      <c r="Q65" s="24" t="n"/>
      <c r="R65" s="17" t="n"/>
      <c r="S65" s="17" t="n"/>
      <c r="T65" s="27" t="n"/>
      <c r="U65" s="27" t="n"/>
      <c r="V65" s="10" t="n"/>
    </row>
    <row r="66">
      <c r="A66" s="16" t="n"/>
      <c r="B66" s="17" t="n"/>
      <c r="C66" s="17" t="n"/>
      <c r="D66" s="10" t="n"/>
      <c r="E66" s="10" t="n"/>
      <c r="F66" s="17" t="n"/>
      <c r="G66" s="19" t="n"/>
      <c r="H66" s="16" t="n"/>
      <c r="I66" s="16" t="n"/>
      <c r="J66" s="16" t="n"/>
      <c r="K66" s="26" t="n"/>
      <c r="L66" s="26" t="n"/>
      <c r="M66" s="16" t="n"/>
      <c r="N66" s="9" t="n"/>
      <c r="O66" s="16" t="n"/>
      <c r="P66" s="16" t="n"/>
      <c r="Q66" s="24" t="n"/>
      <c r="R66" s="17" t="n"/>
      <c r="S66" s="17" t="n"/>
      <c r="T66" s="27" t="n"/>
      <c r="U66" s="27" t="n"/>
      <c r="V66" s="10" t="n"/>
    </row>
    <row r="67">
      <c r="A67" s="16" t="n"/>
      <c r="B67" s="17" t="n"/>
      <c r="C67" s="17" t="n"/>
      <c r="D67" s="10" t="n"/>
      <c r="E67" s="10" t="n"/>
      <c r="F67" s="17" t="n"/>
      <c r="G67" s="19" t="n"/>
      <c r="H67" s="16" t="n"/>
      <c r="I67" s="16" t="n"/>
      <c r="J67" s="16" t="n"/>
      <c r="K67" s="26" t="n"/>
      <c r="L67" s="26" t="n"/>
      <c r="M67" s="16" t="n"/>
      <c r="N67" s="9" t="n"/>
      <c r="O67" s="16" t="n"/>
      <c r="P67" s="16" t="n"/>
      <c r="Q67" s="24" t="n"/>
      <c r="R67" s="17" t="n"/>
      <c r="S67" s="17" t="n"/>
      <c r="T67" s="27" t="n"/>
      <c r="U67" s="27" t="n"/>
      <c r="V67" s="10" t="n"/>
    </row>
    <row r="68">
      <c r="A68" s="16" t="n"/>
      <c r="B68" s="17" t="n"/>
      <c r="C68" s="17" t="n"/>
      <c r="D68" s="10" t="n"/>
      <c r="E68" s="10" t="n"/>
      <c r="F68" s="17" t="n"/>
      <c r="G68" s="19" t="n"/>
      <c r="H68" s="16" t="n"/>
      <c r="I68" s="16" t="n"/>
      <c r="J68" s="16" t="n"/>
      <c r="K68" s="26" t="n"/>
      <c r="L68" s="26" t="n"/>
      <c r="M68" s="16" t="n"/>
      <c r="N68" s="9" t="n"/>
      <c r="O68" s="16" t="n"/>
      <c r="P68" s="16" t="n"/>
      <c r="Q68" s="24" t="n"/>
      <c r="R68" s="17" t="n"/>
      <c r="S68" s="17" t="n"/>
      <c r="T68" s="27" t="n"/>
      <c r="U68" s="27" t="n"/>
      <c r="V68" s="10" t="n"/>
    </row>
    <row r="69">
      <c r="A69" s="16" t="n"/>
      <c r="B69" s="17" t="n"/>
      <c r="C69" s="17" t="n"/>
      <c r="D69" s="10" t="n"/>
      <c r="E69" s="10" t="n"/>
      <c r="F69" s="17" t="n"/>
      <c r="G69" s="19" t="n"/>
      <c r="H69" s="16" t="n"/>
      <c r="I69" s="16" t="n"/>
      <c r="J69" s="16" t="n"/>
      <c r="K69" s="26" t="n"/>
      <c r="L69" s="26" t="n"/>
      <c r="M69" s="16" t="n"/>
      <c r="N69" s="9" t="n"/>
      <c r="O69" s="16" t="n"/>
      <c r="P69" s="16" t="n"/>
      <c r="Q69" s="24" t="n"/>
      <c r="R69" s="17" t="n"/>
      <c r="S69" s="17" t="n"/>
      <c r="T69" s="27" t="n"/>
      <c r="U69" s="27" t="n"/>
      <c r="V69" s="10" t="n"/>
    </row>
    <row r="70">
      <c r="A70" s="16" t="n"/>
      <c r="B70" s="17" t="n"/>
      <c r="C70" s="17" t="n"/>
      <c r="D70" s="10" t="n"/>
      <c r="E70" s="10" t="n"/>
      <c r="F70" s="17" t="n"/>
      <c r="G70" s="19" t="n"/>
      <c r="H70" s="16" t="n"/>
      <c r="I70" s="16" t="n"/>
      <c r="J70" s="16" t="n"/>
      <c r="K70" s="26" t="n"/>
      <c r="L70" s="26" t="n"/>
      <c r="M70" s="16" t="n"/>
      <c r="N70" s="9" t="n"/>
      <c r="O70" s="16" t="n"/>
      <c r="P70" s="16" t="n"/>
      <c r="Q70" s="24" t="n"/>
      <c r="R70" s="17" t="n"/>
      <c r="S70" s="17" t="n"/>
      <c r="T70" s="27" t="n"/>
      <c r="U70" s="27" t="n"/>
      <c r="V70" s="10" t="n"/>
    </row>
    <row r="71">
      <c r="A71" s="16" t="n"/>
      <c r="B71" s="17" t="n"/>
      <c r="C71" s="17" t="n"/>
      <c r="D71" s="10" t="n"/>
      <c r="E71" s="10" t="n"/>
      <c r="F71" s="17" t="n"/>
      <c r="G71" s="19" t="n"/>
      <c r="H71" s="16" t="n"/>
      <c r="I71" s="16" t="n"/>
      <c r="J71" s="16" t="n"/>
      <c r="K71" s="26" t="n"/>
      <c r="L71" s="26" t="n"/>
      <c r="M71" s="16" t="n"/>
      <c r="N71" s="9" t="n"/>
      <c r="O71" s="16" t="n"/>
      <c r="P71" s="16" t="n"/>
      <c r="Q71" s="24" t="n"/>
      <c r="R71" s="17" t="n"/>
      <c r="S71" s="17" t="n"/>
      <c r="T71" s="27" t="n"/>
      <c r="U71" s="27" t="n"/>
      <c r="V71" s="10" t="n"/>
    </row>
    <row r="72">
      <c r="A72" s="16" t="n"/>
      <c r="B72" s="17" t="n"/>
      <c r="C72" s="17" t="n"/>
      <c r="D72" s="10" t="n"/>
      <c r="E72" s="10" t="n"/>
      <c r="F72" s="17" t="n"/>
      <c r="G72" s="19" t="n"/>
      <c r="H72" s="16" t="n"/>
      <c r="I72" s="16" t="n"/>
      <c r="J72" s="16" t="n"/>
      <c r="K72" s="26" t="n"/>
      <c r="L72" s="26" t="n"/>
      <c r="M72" s="16" t="n"/>
      <c r="N72" s="9" t="n"/>
      <c r="O72" s="16" t="n"/>
      <c r="P72" s="16" t="n"/>
      <c r="Q72" s="24" t="n"/>
      <c r="R72" s="17" t="n"/>
      <c r="S72" s="17" t="n"/>
      <c r="T72" s="27" t="n"/>
      <c r="U72" s="27" t="n"/>
      <c r="V72" s="10" t="n"/>
    </row>
    <row r="73">
      <c r="A73" s="16" t="n"/>
      <c r="B73" s="17" t="n"/>
      <c r="C73" s="17" t="n"/>
      <c r="D73" s="10" t="n"/>
      <c r="E73" s="10" t="n"/>
      <c r="F73" s="17" t="n"/>
      <c r="G73" s="19" t="n"/>
      <c r="H73" s="16" t="n"/>
      <c r="I73" s="16" t="n"/>
      <c r="J73" s="16" t="n"/>
      <c r="K73" s="26" t="n"/>
      <c r="L73" s="26" t="n"/>
      <c r="M73" s="16" t="n"/>
      <c r="N73" s="9" t="n"/>
      <c r="O73" s="16" t="n"/>
      <c r="P73" s="16" t="n"/>
      <c r="Q73" s="24" t="n"/>
      <c r="R73" s="17" t="n"/>
      <c r="S73" s="17" t="n"/>
      <c r="T73" s="27" t="n"/>
      <c r="U73" s="27" t="n"/>
      <c r="V73" s="10" t="n"/>
    </row>
    <row r="74">
      <c r="A74" s="16" t="n"/>
      <c r="B74" s="17" t="n"/>
      <c r="C74" s="17" t="n"/>
      <c r="D74" s="10" t="n"/>
      <c r="E74" s="10" t="n"/>
      <c r="F74" s="17" t="n"/>
      <c r="G74" s="19" t="n"/>
      <c r="H74" s="16" t="n"/>
      <c r="I74" s="16" t="n"/>
      <c r="J74" s="16" t="n"/>
      <c r="K74" s="26" t="n"/>
      <c r="L74" s="26" t="n"/>
      <c r="M74" s="16" t="n"/>
      <c r="N74" s="9" t="n"/>
      <c r="O74" s="16" t="n"/>
      <c r="P74" s="16" t="n"/>
      <c r="Q74" s="24" t="n"/>
      <c r="R74" s="17" t="n"/>
      <c r="S74" s="17" t="n"/>
      <c r="T74" s="27" t="n"/>
      <c r="U74" s="27" t="n"/>
      <c r="V74" s="10" t="n"/>
    </row>
    <row r="75">
      <c r="A75" s="16" t="n"/>
      <c r="B75" s="17" t="n"/>
      <c r="C75" s="17" t="n"/>
      <c r="D75" s="10" t="n"/>
      <c r="E75" s="10" t="n"/>
      <c r="F75" s="17" t="n"/>
      <c r="G75" s="19" t="n"/>
      <c r="H75" s="16" t="n"/>
      <c r="I75" s="16" t="n"/>
      <c r="J75" s="16" t="n"/>
      <c r="K75" s="26" t="n"/>
      <c r="L75" s="26" t="n"/>
      <c r="M75" s="16" t="n"/>
      <c r="N75" s="9" t="n"/>
      <c r="O75" s="16" t="n"/>
      <c r="P75" s="16" t="n"/>
      <c r="Q75" s="24" t="n"/>
      <c r="R75" s="17" t="n"/>
      <c r="S75" s="17" t="n"/>
      <c r="T75" s="27" t="n"/>
      <c r="U75" s="27" t="n"/>
      <c r="V75" s="10" t="n"/>
    </row>
    <row r="76">
      <c r="A76" s="16" t="n"/>
      <c r="B76" s="17" t="n"/>
      <c r="C76" s="17" t="n"/>
      <c r="D76" s="10" t="n"/>
      <c r="E76" s="10" t="n"/>
      <c r="F76" s="17" t="n"/>
      <c r="G76" s="19" t="n"/>
      <c r="H76" s="16" t="n"/>
      <c r="I76" s="16" t="n"/>
      <c r="J76" s="16" t="n"/>
      <c r="K76" s="26" t="n"/>
      <c r="L76" s="26" t="n"/>
      <c r="M76" s="16" t="n"/>
      <c r="N76" s="9" t="n"/>
      <c r="O76" s="16" t="n"/>
      <c r="P76" s="16" t="n"/>
      <c r="Q76" s="24" t="n"/>
      <c r="R76" s="17" t="n"/>
      <c r="S76" s="17" t="n"/>
      <c r="T76" s="27" t="n"/>
      <c r="U76" s="27" t="n"/>
      <c r="V76" s="10" t="n"/>
    </row>
    <row r="77">
      <c r="A77" s="16" t="n"/>
      <c r="B77" s="17" t="n"/>
      <c r="C77" s="17" t="n"/>
      <c r="D77" s="10" t="n"/>
      <c r="E77" s="10" t="n"/>
      <c r="F77" s="17" t="n"/>
      <c r="G77" s="19" t="n"/>
      <c r="H77" s="16" t="n"/>
      <c r="I77" s="16" t="n"/>
      <c r="J77" s="16" t="n"/>
      <c r="K77" s="26" t="n"/>
      <c r="L77" s="26" t="n"/>
      <c r="M77" s="16" t="n"/>
      <c r="N77" s="9" t="n"/>
      <c r="O77" s="16" t="n"/>
      <c r="P77" s="16" t="n"/>
      <c r="Q77" s="24" t="n"/>
      <c r="R77" s="17" t="n"/>
      <c r="S77" s="17" t="n"/>
      <c r="T77" s="27" t="n"/>
      <c r="U77" s="27" t="n"/>
      <c r="V77" s="10" t="n"/>
    </row>
    <row r="78">
      <c r="A78" s="16" t="n"/>
      <c r="B78" s="17" t="n"/>
      <c r="C78" s="17" t="n"/>
      <c r="D78" s="10" t="n"/>
      <c r="E78" s="10" t="n"/>
      <c r="F78" s="17" t="n"/>
      <c r="G78" s="19" t="n"/>
      <c r="H78" s="16" t="n"/>
      <c r="I78" s="16" t="n"/>
      <c r="J78" s="16" t="n"/>
      <c r="K78" s="26" t="n"/>
      <c r="L78" s="26" t="n"/>
      <c r="M78" s="16" t="n"/>
      <c r="N78" s="9" t="n"/>
      <c r="O78" s="16" t="n"/>
      <c r="P78" s="16" t="n"/>
      <c r="Q78" s="24" t="n"/>
      <c r="R78" s="17" t="n"/>
      <c r="S78" s="17" t="n"/>
      <c r="T78" s="27" t="n"/>
      <c r="U78" s="27" t="n"/>
      <c r="V78" s="10" t="n"/>
    </row>
    <row r="79">
      <c r="A79" s="16" t="n"/>
      <c r="B79" s="17" t="n"/>
      <c r="C79" s="17" t="n"/>
      <c r="D79" s="10" t="n"/>
      <c r="E79" s="10" t="n"/>
      <c r="F79" s="17" t="n"/>
      <c r="G79" s="19" t="n"/>
      <c r="H79" s="16" t="n"/>
      <c r="I79" s="16" t="n"/>
      <c r="J79" s="16" t="n"/>
      <c r="K79" s="26" t="n"/>
      <c r="L79" s="26" t="n"/>
      <c r="M79" s="16" t="n"/>
      <c r="N79" s="9" t="n"/>
      <c r="O79" s="16" t="n"/>
      <c r="P79" s="16" t="n"/>
      <c r="Q79" s="24" t="n"/>
      <c r="R79" s="17" t="n"/>
      <c r="S79" s="17" t="n"/>
      <c r="T79" s="27" t="n"/>
      <c r="U79" s="27" t="n"/>
      <c r="V79" s="10" t="n"/>
    </row>
    <row r="80">
      <c r="A80" s="16" t="n"/>
      <c r="B80" s="17" t="n"/>
      <c r="C80" s="17" t="n"/>
      <c r="D80" s="10" t="n"/>
      <c r="E80" s="10" t="n"/>
      <c r="F80" s="17" t="n"/>
      <c r="G80" s="19" t="n"/>
      <c r="H80" s="16" t="n"/>
      <c r="I80" s="16" t="n"/>
      <c r="J80" s="16" t="n"/>
      <c r="K80" s="26" t="n"/>
      <c r="L80" s="26" t="n"/>
      <c r="M80" s="16" t="n"/>
      <c r="N80" s="9" t="n"/>
      <c r="O80" s="16" t="n"/>
      <c r="P80" s="16" t="n"/>
      <c r="Q80" s="24" t="n"/>
      <c r="R80" s="17" t="n"/>
      <c r="S80" s="17" t="n"/>
      <c r="T80" s="27" t="n"/>
      <c r="U80" s="27" t="n"/>
      <c r="V80" s="10" t="n"/>
    </row>
    <row r="81">
      <c r="A81" s="16" t="n"/>
      <c r="B81" s="17" t="n"/>
      <c r="C81" s="17" t="n"/>
      <c r="D81" s="10" t="n"/>
      <c r="E81" s="10" t="n"/>
      <c r="F81" s="17" t="n"/>
      <c r="G81" s="19" t="n"/>
      <c r="H81" s="16" t="n"/>
      <c r="I81" s="16" t="n"/>
      <c r="J81" s="16" t="n"/>
      <c r="K81" s="26" t="n"/>
      <c r="L81" s="26" t="n"/>
      <c r="M81" s="16" t="n"/>
      <c r="N81" s="9" t="n"/>
      <c r="O81" s="16" t="n"/>
      <c r="P81" s="16" t="n"/>
      <c r="Q81" s="24" t="n"/>
      <c r="R81" s="17" t="n"/>
      <c r="S81" s="17" t="n"/>
      <c r="T81" s="27" t="n"/>
      <c r="U81" s="27" t="n"/>
      <c r="V81" s="10" t="n"/>
    </row>
    <row r="82">
      <c r="A82" s="16" t="n"/>
      <c r="B82" s="17" t="n"/>
      <c r="C82" s="17" t="n"/>
      <c r="D82" s="10" t="n"/>
      <c r="E82" s="10" t="n"/>
      <c r="F82" s="17" t="n"/>
      <c r="G82" s="19" t="n"/>
      <c r="H82" s="16" t="n"/>
      <c r="I82" s="16" t="n"/>
      <c r="J82" s="16" t="n"/>
      <c r="K82" s="26" t="n"/>
      <c r="L82" s="26" t="n"/>
      <c r="M82" s="16" t="n"/>
      <c r="N82" s="9" t="n"/>
      <c r="O82" s="16" t="n"/>
      <c r="P82" s="16" t="n"/>
      <c r="Q82" s="24" t="n"/>
      <c r="R82" s="17" t="n"/>
      <c r="S82" s="17" t="n"/>
      <c r="T82" s="27" t="n"/>
      <c r="U82" s="27" t="n"/>
      <c r="V82" s="10" t="n"/>
    </row>
    <row r="83">
      <c r="A83" s="16" t="n"/>
      <c r="B83" s="17" t="n"/>
      <c r="C83" s="17" t="n"/>
      <c r="D83" s="10" t="n"/>
      <c r="E83" s="10" t="n"/>
      <c r="F83" s="17" t="n"/>
      <c r="G83" s="19" t="n"/>
      <c r="H83" s="16" t="n"/>
      <c r="I83" s="16" t="n"/>
      <c r="J83" s="16" t="n"/>
      <c r="K83" s="26" t="n"/>
      <c r="L83" s="26" t="n"/>
      <c r="M83" s="16" t="n"/>
      <c r="N83" s="9" t="n"/>
      <c r="O83" s="16" t="n"/>
      <c r="P83" s="16" t="n"/>
      <c r="Q83" s="24" t="n"/>
      <c r="R83" s="17" t="n"/>
      <c r="S83" s="17" t="n"/>
      <c r="T83" s="27" t="n"/>
      <c r="U83" s="27" t="n"/>
      <c r="V83" s="10" t="n"/>
    </row>
    <row r="84">
      <c r="A84" s="16" t="n"/>
      <c r="B84" s="17" t="n"/>
      <c r="C84" s="17" t="n"/>
      <c r="D84" s="10" t="n"/>
      <c r="E84" s="10" t="n"/>
      <c r="F84" s="17" t="n"/>
      <c r="G84" s="19" t="n"/>
      <c r="H84" s="16" t="n"/>
      <c r="I84" s="16" t="n"/>
      <c r="J84" s="16" t="n"/>
      <c r="K84" s="26" t="n"/>
      <c r="L84" s="26" t="n"/>
      <c r="M84" s="16" t="n"/>
      <c r="N84" s="9" t="n"/>
      <c r="O84" s="16" t="n"/>
      <c r="P84" s="16" t="n"/>
      <c r="Q84" s="24" t="n"/>
      <c r="R84" s="17" t="n"/>
      <c r="S84" s="17" t="n"/>
      <c r="T84" s="27" t="n"/>
      <c r="U84" s="27" t="n"/>
      <c r="V84" s="10" t="n"/>
    </row>
    <row r="85">
      <c r="A85" s="16" t="n"/>
      <c r="B85" s="17" t="n"/>
      <c r="C85" s="17" t="n"/>
      <c r="D85" s="10" t="n"/>
      <c r="E85" s="10" t="n"/>
      <c r="F85" s="17" t="n"/>
      <c r="G85" s="19" t="n"/>
      <c r="H85" s="16" t="n"/>
      <c r="I85" s="16" t="n"/>
      <c r="J85" s="16" t="n"/>
      <c r="K85" s="26" t="n"/>
      <c r="L85" s="26" t="n"/>
      <c r="M85" s="16" t="n"/>
      <c r="N85" s="9" t="n"/>
      <c r="O85" s="16" t="n"/>
      <c r="P85" s="16" t="n"/>
      <c r="Q85" s="24" t="n"/>
      <c r="R85" s="17" t="n"/>
      <c r="S85" s="17" t="n"/>
      <c r="T85" s="27" t="n"/>
      <c r="U85" s="27" t="n"/>
      <c r="V85" s="10" t="n"/>
    </row>
    <row r="86">
      <c r="A86" s="16" t="n"/>
      <c r="B86" s="17" t="n"/>
      <c r="C86" s="17" t="n"/>
      <c r="D86" s="10" t="n"/>
      <c r="E86" s="10" t="n"/>
      <c r="F86" s="17" t="n"/>
      <c r="G86" s="19" t="n"/>
      <c r="H86" s="16" t="n"/>
      <c r="I86" s="16" t="n"/>
      <c r="J86" s="16" t="n"/>
      <c r="K86" s="26" t="n"/>
      <c r="L86" s="26" t="n"/>
      <c r="M86" s="16" t="n"/>
      <c r="N86" s="9" t="n"/>
      <c r="O86" s="16" t="n"/>
      <c r="P86" s="16" t="n"/>
      <c r="Q86" s="24" t="n"/>
      <c r="R86" s="17" t="n"/>
      <c r="S86" s="17" t="n"/>
      <c r="T86" s="27" t="n"/>
      <c r="U86" s="27" t="n"/>
      <c r="V86" s="10" t="n"/>
    </row>
    <row r="87">
      <c r="A87" s="16" t="n"/>
      <c r="B87" s="17" t="n"/>
      <c r="C87" s="17" t="n"/>
      <c r="D87" s="10" t="n"/>
      <c r="E87" s="10" t="n"/>
      <c r="F87" s="17" t="n"/>
      <c r="G87" s="19" t="n"/>
      <c r="H87" s="16" t="n"/>
      <c r="I87" s="16" t="n"/>
      <c r="J87" s="16" t="n"/>
      <c r="K87" s="26" t="n"/>
      <c r="L87" s="26" t="n"/>
      <c r="M87" s="16" t="n"/>
      <c r="N87" s="9" t="n"/>
      <c r="O87" s="16" t="n"/>
      <c r="P87" s="16" t="n"/>
      <c r="Q87" s="24" t="n"/>
      <c r="R87" s="17" t="n"/>
      <c r="S87" s="17" t="n"/>
      <c r="T87" s="27" t="n"/>
      <c r="U87" s="27" t="n"/>
      <c r="V87" s="10" t="n"/>
    </row>
    <row r="88">
      <c r="A88" s="16" t="n"/>
      <c r="B88" s="17" t="n"/>
      <c r="C88" s="17" t="n"/>
      <c r="D88" s="10" t="n"/>
      <c r="E88" s="10" t="n"/>
      <c r="F88" s="17" t="n"/>
      <c r="G88" s="19" t="n"/>
      <c r="H88" s="16" t="n"/>
      <c r="I88" s="16" t="n"/>
      <c r="J88" s="16" t="n"/>
      <c r="K88" s="26" t="n"/>
      <c r="L88" s="26" t="n"/>
      <c r="M88" s="16" t="n"/>
      <c r="N88" s="9" t="n"/>
      <c r="O88" s="16" t="n"/>
      <c r="P88" s="16" t="n"/>
      <c r="Q88" s="24" t="n"/>
      <c r="R88" s="17" t="n"/>
      <c r="S88" s="17" t="n"/>
      <c r="T88" s="27" t="n"/>
      <c r="U88" s="27" t="n"/>
      <c r="V88" s="10" t="n"/>
    </row>
    <row r="89">
      <c r="A89" s="16" t="n"/>
      <c r="B89" s="17" t="n"/>
      <c r="C89" s="17" t="n"/>
      <c r="D89" s="10" t="n"/>
      <c r="E89" s="10" t="n"/>
      <c r="F89" s="17" t="n"/>
      <c r="G89" s="19" t="n"/>
      <c r="H89" s="16" t="n"/>
      <c r="I89" s="16" t="n"/>
      <c r="J89" s="16" t="n"/>
      <c r="K89" s="26" t="n"/>
      <c r="L89" s="26" t="n"/>
      <c r="M89" s="16" t="n"/>
      <c r="N89" s="9" t="n"/>
      <c r="O89" s="16" t="n"/>
      <c r="P89" s="16" t="n"/>
      <c r="Q89" s="24" t="n"/>
      <c r="R89" s="17" t="n"/>
      <c r="S89" s="17" t="n"/>
      <c r="T89" s="27" t="n"/>
      <c r="U89" s="27" t="n"/>
      <c r="V89" s="10" t="n"/>
    </row>
    <row r="90">
      <c r="A90" s="16" t="n"/>
      <c r="B90" s="17" t="n"/>
      <c r="C90" s="17" t="n"/>
      <c r="D90" s="10" t="n"/>
      <c r="E90" s="10" t="n"/>
      <c r="F90" s="17" t="n"/>
      <c r="G90" s="19" t="n"/>
      <c r="H90" s="16" t="n"/>
      <c r="I90" s="16" t="n"/>
      <c r="J90" s="16" t="n"/>
      <c r="K90" s="26" t="n"/>
      <c r="L90" s="26" t="n"/>
      <c r="M90" s="16" t="n"/>
      <c r="N90" s="9" t="n"/>
      <c r="O90" s="16" t="n"/>
      <c r="P90" s="16" t="n"/>
      <c r="Q90" s="24" t="n"/>
      <c r="R90" s="17" t="n"/>
      <c r="S90" s="17" t="n"/>
      <c r="T90" s="27" t="n"/>
      <c r="U90" s="27" t="n"/>
      <c r="V90" s="10" t="n"/>
    </row>
    <row r="91">
      <c r="A91" s="16" t="n"/>
      <c r="B91" s="17" t="n"/>
      <c r="C91" s="17" t="n"/>
      <c r="D91" s="10" t="n"/>
      <c r="E91" s="10" t="n"/>
      <c r="F91" s="17" t="n"/>
      <c r="G91" s="19" t="n"/>
      <c r="H91" s="16" t="n"/>
      <c r="I91" s="16" t="n"/>
      <c r="J91" s="16" t="n"/>
      <c r="K91" s="26" t="n"/>
      <c r="L91" s="26" t="n"/>
      <c r="M91" s="16" t="n"/>
      <c r="N91" s="9" t="n"/>
      <c r="O91" s="16" t="n"/>
      <c r="P91" s="16" t="n"/>
      <c r="Q91" s="24" t="n"/>
      <c r="R91" s="17" t="n"/>
      <c r="S91" s="17" t="n"/>
      <c r="T91" s="27" t="n"/>
      <c r="U91" s="27" t="n"/>
      <c r="V91" s="10" t="n"/>
    </row>
    <row r="92">
      <c r="A92" s="16" t="n"/>
      <c r="B92" s="17" t="n"/>
      <c r="C92" s="17" t="n"/>
      <c r="D92" s="10" t="n"/>
      <c r="E92" s="10" t="n"/>
      <c r="F92" s="17" t="n"/>
      <c r="G92" s="19" t="n"/>
      <c r="H92" s="16" t="n"/>
      <c r="I92" s="16" t="n"/>
      <c r="J92" s="16" t="n"/>
      <c r="K92" s="26" t="n"/>
      <c r="L92" s="26" t="n"/>
      <c r="M92" s="16" t="n"/>
      <c r="N92" s="9" t="n"/>
      <c r="O92" s="16" t="n"/>
      <c r="P92" s="16" t="n"/>
      <c r="Q92" s="24" t="n"/>
      <c r="R92" s="17" t="n"/>
      <c r="S92" s="17" t="n"/>
      <c r="T92" s="27" t="n"/>
      <c r="U92" s="27" t="n"/>
      <c r="V92" s="10" t="n"/>
    </row>
    <row r="93">
      <c r="A93" s="16" t="n"/>
      <c r="B93" s="17" t="n"/>
      <c r="C93" s="17" t="n"/>
      <c r="D93" s="10" t="n"/>
      <c r="E93" s="10" t="n"/>
      <c r="F93" s="17" t="n"/>
      <c r="G93" s="19" t="n"/>
      <c r="H93" s="16" t="n"/>
      <c r="I93" s="16" t="n"/>
      <c r="J93" s="16" t="n"/>
      <c r="K93" s="26" t="n"/>
      <c r="L93" s="26" t="n"/>
      <c r="M93" s="16" t="n"/>
      <c r="N93" s="9" t="n"/>
      <c r="O93" s="16" t="n"/>
      <c r="P93" s="16" t="n"/>
      <c r="Q93" s="24" t="n"/>
      <c r="R93" s="17" t="n"/>
      <c r="S93" s="17" t="n"/>
      <c r="T93" s="27" t="n"/>
      <c r="U93" s="27" t="n"/>
      <c r="V93" s="10" t="n"/>
    </row>
    <row r="94">
      <c r="A94" s="16" t="n"/>
      <c r="B94" s="17" t="n"/>
      <c r="C94" s="17" t="n"/>
      <c r="D94" s="10" t="n"/>
      <c r="E94" s="10" t="n"/>
      <c r="F94" s="17" t="n"/>
      <c r="G94" s="19" t="n"/>
      <c r="H94" s="16" t="n"/>
      <c r="I94" s="16" t="n"/>
      <c r="J94" s="16" t="n"/>
      <c r="K94" s="26" t="n"/>
      <c r="L94" s="26" t="n"/>
      <c r="M94" s="16" t="n"/>
      <c r="N94" s="9" t="n"/>
      <c r="O94" s="16" t="n"/>
      <c r="P94" s="16" t="n"/>
      <c r="Q94" s="24" t="n"/>
      <c r="R94" s="17" t="n"/>
      <c r="S94" s="17" t="n"/>
      <c r="T94" s="27" t="n"/>
      <c r="U94" s="27" t="n"/>
      <c r="V94" s="10" t="n"/>
    </row>
    <row r="95">
      <c r="A95" s="16" t="n"/>
      <c r="B95" s="17" t="n"/>
      <c r="C95" s="17" t="n"/>
      <c r="D95" s="10" t="n"/>
      <c r="E95" s="10" t="n"/>
      <c r="F95" s="17" t="n"/>
      <c r="G95" s="19" t="n"/>
      <c r="H95" s="16" t="n"/>
      <c r="I95" s="16" t="n"/>
      <c r="J95" s="16" t="n"/>
      <c r="K95" s="26" t="n"/>
      <c r="L95" s="26" t="n"/>
      <c r="M95" s="16" t="n"/>
      <c r="N95" s="9" t="n"/>
      <c r="O95" s="16" t="n"/>
      <c r="P95" s="16" t="n"/>
      <c r="Q95" s="24" t="n"/>
      <c r="R95" s="17" t="n"/>
      <c r="S95" s="17" t="n"/>
      <c r="T95" s="27" t="n"/>
      <c r="U95" s="27" t="n"/>
      <c r="V95" s="10" t="n"/>
    </row>
    <row r="96">
      <c r="A96" s="16" t="n"/>
      <c r="B96" s="17" t="n"/>
      <c r="C96" s="17" t="n"/>
      <c r="D96" s="10" t="n"/>
      <c r="E96" s="10" t="n"/>
      <c r="F96" s="17" t="n"/>
      <c r="G96" s="19" t="n"/>
      <c r="H96" s="16" t="n"/>
      <c r="I96" s="16" t="n"/>
      <c r="J96" s="16" t="n"/>
      <c r="K96" s="26" t="n"/>
      <c r="L96" s="26" t="n"/>
      <c r="M96" s="16" t="n"/>
      <c r="N96" s="9" t="n"/>
      <c r="O96" s="16" t="n"/>
      <c r="P96" s="16" t="n"/>
      <c r="Q96" s="24" t="n"/>
      <c r="R96" s="17" t="n"/>
      <c r="S96" s="17" t="n"/>
      <c r="T96" s="27" t="n"/>
      <c r="U96" s="27" t="n"/>
      <c r="V96" s="10" t="n"/>
    </row>
    <row r="97">
      <c r="A97" s="16" t="n"/>
      <c r="B97" s="17" t="n"/>
      <c r="C97" s="17" t="n"/>
      <c r="D97" s="10" t="n"/>
      <c r="E97" s="10" t="n"/>
      <c r="F97" s="17" t="n"/>
      <c r="G97" s="19" t="n"/>
      <c r="H97" s="16" t="n"/>
      <c r="I97" s="16" t="n"/>
      <c r="J97" s="16" t="n"/>
      <c r="K97" s="26" t="n"/>
      <c r="L97" s="26" t="n"/>
      <c r="M97" s="16" t="n"/>
      <c r="N97" s="9" t="n"/>
      <c r="O97" s="16" t="n"/>
      <c r="P97" s="16" t="n"/>
      <c r="Q97" s="24" t="n"/>
      <c r="R97" s="17" t="n"/>
      <c r="S97" s="17" t="n"/>
      <c r="T97" s="27" t="n"/>
      <c r="U97" s="27" t="n"/>
      <c r="V97" s="10" t="n"/>
    </row>
    <row r="98">
      <c r="A98" s="16" t="n"/>
      <c r="B98" s="17" t="n"/>
      <c r="C98" s="17" t="n"/>
      <c r="D98" s="10" t="n"/>
      <c r="E98" s="10" t="n"/>
      <c r="F98" s="17" t="n"/>
      <c r="G98" s="19" t="n"/>
      <c r="H98" s="16" t="n"/>
      <c r="I98" s="16" t="n"/>
      <c r="J98" s="16" t="n"/>
      <c r="K98" s="26" t="n"/>
      <c r="L98" s="26" t="n"/>
      <c r="M98" s="16" t="n"/>
      <c r="N98" s="9" t="n"/>
      <c r="O98" s="16" t="n"/>
      <c r="P98" s="16" t="n"/>
      <c r="Q98" s="24" t="n"/>
      <c r="R98" s="17" t="n"/>
      <c r="S98" s="17" t="n"/>
      <c r="T98" s="27" t="n"/>
      <c r="U98" s="27" t="n"/>
      <c r="V98" s="10" t="n"/>
    </row>
    <row r="99">
      <c r="A99" s="16" t="n"/>
      <c r="B99" s="17" t="n"/>
      <c r="C99" s="17" t="n"/>
      <c r="D99" s="10" t="n"/>
      <c r="E99" s="10" t="n"/>
      <c r="F99" s="17" t="n"/>
      <c r="G99" s="19" t="n"/>
      <c r="H99" s="16" t="n"/>
      <c r="I99" s="16" t="n"/>
      <c r="J99" s="16" t="n"/>
      <c r="K99" s="26" t="n"/>
      <c r="L99" s="26" t="n"/>
      <c r="M99" s="16" t="n"/>
      <c r="N99" s="9" t="n"/>
      <c r="O99" s="16" t="n"/>
      <c r="P99" s="16" t="n"/>
      <c r="Q99" s="24" t="n"/>
      <c r="R99" s="17" t="n"/>
      <c r="S99" s="17" t="n"/>
      <c r="T99" s="27" t="n"/>
      <c r="U99" s="27" t="n"/>
      <c r="V99" s="10" t="n"/>
    </row>
    <row r="100">
      <c r="A100" s="16" t="n"/>
      <c r="B100" s="17" t="n"/>
      <c r="C100" s="17" t="n"/>
      <c r="D100" s="10" t="n"/>
      <c r="E100" s="10" t="n"/>
      <c r="F100" s="17" t="n"/>
      <c r="G100" s="19" t="n"/>
      <c r="H100" s="16" t="n"/>
      <c r="I100" s="16" t="n"/>
      <c r="J100" s="16" t="n"/>
      <c r="K100" s="26" t="n"/>
      <c r="L100" s="26" t="n"/>
      <c r="M100" s="16" t="n"/>
      <c r="N100" s="9" t="n"/>
      <c r="O100" s="16" t="n"/>
      <c r="P100" s="16" t="n"/>
      <c r="Q100" s="24" t="n"/>
      <c r="R100" s="17" t="n"/>
      <c r="S100" s="17" t="n"/>
      <c r="T100" s="27" t="n"/>
      <c r="U100" s="27" t="n"/>
      <c r="V100" s="10" t="n"/>
    </row>
    <row r="101">
      <c r="A101" s="16" t="n"/>
      <c r="B101" s="17" t="n"/>
      <c r="C101" s="17" t="n"/>
      <c r="D101" s="10" t="n"/>
      <c r="E101" s="10" t="n"/>
      <c r="F101" s="17" t="n"/>
      <c r="G101" s="19" t="n"/>
      <c r="H101" s="16" t="n"/>
      <c r="I101" s="16" t="n"/>
      <c r="J101" s="16" t="n"/>
      <c r="K101" s="26" t="n"/>
      <c r="L101" s="26" t="n"/>
      <c r="M101" s="16" t="n"/>
      <c r="N101" s="9" t="n"/>
      <c r="O101" s="16" t="n"/>
      <c r="P101" s="16" t="n"/>
      <c r="Q101" s="24" t="n"/>
      <c r="R101" s="17" t="n"/>
      <c r="S101" s="17" t="n"/>
      <c r="T101" s="27" t="n"/>
      <c r="U101" s="27" t="n"/>
      <c r="V101" s="10" t="n"/>
    </row>
    <row r="102">
      <c r="A102" s="16" t="n"/>
      <c r="B102" s="17" t="n"/>
      <c r="C102" s="17" t="n"/>
      <c r="D102" s="10" t="n"/>
      <c r="E102" s="10" t="n"/>
      <c r="F102" s="17" t="n"/>
      <c r="G102" s="19" t="n"/>
      <c r="H102" s="16" t="n"/>
      <c r="I102" s="16" t="n"/>
      <c r="J102" s="16" t="n"/>
      <c r="K102" s="26" t="n"/>
      <c r="L102" s="26" t="n"/>
      <c r="M102" s="16" t="n"/>
      <c r="N102" s="9" t="n"/>
      <c r="O102" s="16" t="n"/>
      <c r="P102" s="16" t="n"/>
      <c r="Q102" s="24" t="n"/>
      <c r="R102" s="17" t="n"/>
      <c r="S102" s="17" t="n"/>
      <c r="T102" s="27" t="n"/>
      <c r="U102" s="27" t="n"/>
      <c r="V102" s="10" t="n"/>
    </row>
    <row r="103">
      <c r="A103" s="16" t="n"/>
      <c r="B103" s="17" t="n"/>
      <c r="C103" s="17" t="n"/>
      <c r="D103" s="10" t="n"/>
      <c r="E103" s="10" t="n"/>
      <c r="F103" s="17" t="n"/>
      <c r="G103" s="19" t="n"/>
      <c r="H103" s="16" t="n"/>
      <c r="I103" s="16" t="n"/>
      <c r="J103" s="16" t="n"/>
      <c r="K103" s="26" t="n"/>
      <c r="L103" s="26" t="n"/>
      <c r="M103" s="16" t="n"/>
      <c r="N103" s="9" t="n"/>
      <c r="O103" s="16" t="n"/>
      <c r="P103" s="16" t="n"/>
      <c r="Q103" s="24" t="n"/>
      <c r="R103" s="17" t="n"/>
      <c r="S103" s="17" t="n"/>
      <c r="T103" s="27" t="n"/>
      <c r="U103" s="27" t="n"/>
      <c r="V103" s="10" t="n"/>
    </row>
    <row r="104">
      <c r="A104" s="16" t="n"/>
      <c r="B104" s="17" t="n"/>
      <c r="C104" s="17" t="n"/>
      <c r="D104" s="10" t="n"/>
      <c r="E104" s="10" t="n"/>
      <c r="F104" s="17" t="n"/>
      <c r="G104" s="19" t="n"/>
      <c r="H104" s="16" t="n"/>
      <c r="I104" s="16" t="n"/>
      <c r="J104" s="16" t="n"/>
      <c r="K104" s="26" t="n"/>
      <c r="L104" s="26" t="n"/>
      <c r="M104" s="16" t="n"/>
      <c r="N104" s="9" t="n"/>
      <c r="O104" s="16" t="n"/>
      <c r="P104" s="16" t="n"/>
      <c r="Q104" s="24" t="n"/>
      <c r="R104" s="17" t="n"/>
      <c r="S104" s="17" t="n"/>
      <c r="T104" s="27" t="n"/>
      <c r="U104" s="27" t="n"/>
      <c r="V104" s="10" t="n"/>
    </row>
    <row r="105">
      <c r="A105" s="16" t="n"/>
      <c r="B105" s="17" t="n"/>
      <c r="C105" s="17" t="n"/>
      <c r="D105" s="10" t="n"/>
      <c r="E105" s="10" t="n"/>
      <c r="F105" s="17" t="n"/>
      <c r="G105" s="19" t="n"/>
      <c r="H105" s="16" t="n"/>
      <c r="I105" s="16" t="n"/>
      <c r="J105" s="16" t="n"/>
      <c r="K105" s="26" t="n"/>
      <c r="L105" s="26" t="n"/>
      <c r="M105" s="16" t="n"/>
      <c r="N105" s="9" t="n"/>
      <c r="O105" s="16" t="n"/>
      <c r="P105" s="16" t="n"/>
      <c r="Q105" s="24" t="n"/>
      <c r="R105" s="17" t="n"/>
      <c r="S105" s="17" t="n"/>
      <c r="T105" s="27" t="n"/>
      <c r="U105" s="27" t="n"/>
      <c r="V105" s="10" t="n"/>
    </row>
    <row r="106">
      <c r="A106" s="16" t="n"/>
      <c r="B106" s="17" t="n"/>
      <c r="C106" s="17" t="n"/>
      <c r="D106" s="10" t="n"/>
      <c r="E106" s="10" t="n"/>
      <c r="F106" s="17" t="n"/>
      <c r="G106" s="19" t="n"/>
      <c r="H106" s="16" t="n"/>
      <c r="I106" s="16" t="n"/>
      <c r="J106" s="16" t="n"/>
      <c r="K106" s="26" t="n"/>
      <c r="L106" s="26" t="n"/>
      <c r="M106" s="16" t="n"/>
      <c r="N106" s="9" t="n"/>
      <c r="O106" s="16" t="n"/>
      <c r="P106" s="16" t="n"/>
      <c r="Q106" s="24" t="n"/>
      <c r="R106" s="17" t="n"/>
      <c r="S106" s="17" t="n"/>
      <c r="T106" s="27" t="n"/>
      <c r="U106" s="27" t="n"/>
      <c r="V106" s="10" t="n"/>
    </row>
    <row r="107">
      <c r="A107" s="16" t="n"/>
      <c r="B107" s="17" t="n"/>
      <c r="C107" s="17" t="n"/>
      <c r="D107" s="10" t="n"/>
      <c r="E107" s="10" t="n"/>
      <c r="F107" s="17" t="n"/>
      <c r="G107" s="19" t="n"/>
      <c r="H107" s="16" t="n"/>
      <c r="I107" s="16" t="n"/>
      <c r="J107" s="16" t="n"/>
      <c r="K107" s="26" t="n"/>
      <c r="L107" s="26" t="n"/>
      <c r="M107" s="16" t="n"/>
      <c r="N107" s="9" t="n"/>
      <c r="O107" s="16" t="n"/>
      <c r="P107" s="16" t="n"/>
      <c r="Q107" s="24" t="n"/>
      <c r="R107" s="17" t="n"/>
      <c r="S107" s="17" t="n"/>
      <c r="T107" s="27" t="n"/>
      <c r="U107" s="27" t="n"/>
      <c r="V107" s="10" t="n"/>
    </row>
    <row r="108">
      <c r="A108" s="16" t="n"/>
      <c r="B108" s="17" t="n"/>
      <c r="C108" s="17" t="n"/>
      <c r="D108" s="10" t="n"/>
      <c r="E108" s="10" t="n"/>
      <c r="F108" s="17" t="n"/>
      <c r="G108" s="19" t="n"/>
      <c r="H108" s="16" t="n"/>
      <c r="I108" s="16" t="n"/>
      <c r="J108" s="16" t="n"/>
      <c r="K108" s="26" t="n"/>
      <c r="L108" s="26" t="n"/>
      <c r="M108" s="16" t="n"/>
      <c r="N108" s="9" t="n"/>
      <c r="O108" s="16" t="n"/>
      <c r="P108" s="16" t="n"/>
      <c r="Q108" s="24" t="n"/>
      <c r="R108" s="17" t="n"/>
      <c r="S108" s="17" t="n"/>
      <c r="T108" s="27" t="n"/>
      <c r="U108" s="27" t="n"/>
      <c r="V108" s="10" t="n"/>
    </row>
    <row r="109">
      <c r="A109" s="16" t="n"/>
      <c r="B109" s="17" t="n"/>
      <c r="C109" s="17" t="n"/>
      <c r="D109" s="10" t="n"/>
      <c r="E109" s="10" t="n"/>
      <c r="F109" s="17" t="n"/>
      <c r="G109" s="19" t="n"/>
      <c r="H109" s="16" t="n"/>
      <c r="I109" s="16" t="n"/>
      <c r="J109" s="16" t="n"/>
      <c r="K109" s="26" t="n"/>
      <c r="L109" s="26" t="n"/>
      <c r="M109" s="16" t="n"/>
      <c r="N109" s="9" t="n"/>
      <c r="O109" s="16" t="n"/>
      <c r="P109" s="16" t="n"/>
      <c r="Q109" s="24" t="n"/>
      <c r="R109" s="17" t="n"/>
      <c r="S109" s="17" t="n"/>
      <c r="T109" s="27" t="n"/>
      <c r="U109" s="27" t="n"/>
      <c r="V109" s="10" t="n"/>
    </row>
    <row r="110">
      <c r="A110" s="16" t="n"/>
      <c r="B110" s="17" t="n"/>
      <c r="C110" s="17" t="n"/>
      <c r="D110" s="10" t="n"/>
      <c r="E110" s="10" t="n"/>
      <c r="F110" s="17" t="n"/>
      <c r="G110" s="19" t="n"/>
      <c r="H110" s="16" t="n"/>
      <c r="I110" s="16" t="n"/>
      <c r="J110" s="16" t="n"/>
      <c r="K110" s="26" t="n"/>
      <c r="L110" s="26" t="n"/>
      <c r="M110" s="16" t="n"/>
      <c r="N110" s="9" t="n"/>
      <c r="O110" s="16" t="n"/>
      <c r="P110" s="16" t="n"/>
      <c r="Q110" s="24" t="n"/>
      <c r="R110" s="17" t="n"/>
      <c r="S110" s="17" t="n"/>
      <c r="T110" s="27" t="n"/>
      <c r="U110" s="27" t="n"/>
      <c r="V110" s="10" t="n"/>
    </row>
    <row r="111">
      <c r="A111" s="16" t="n"/>
      <c r="B111" s="17" t="n"/>
      <c r="C111" s="17" t="n"/>
      <c r="D111" s="10" t="n"/>
      <c r="E111" s="10" t="n"/>
      <c r="F111" s="17" t="n"/>
      <c r="G111" s="19" t="n"/>
      <c r="H111" s="16" t="n"/>
      <c r="I111" s="16" t="n"/>
      <c r="J111" s="16" t="n"/>
      <c r="K111" s="26" t="n"/>
      <c r="L111" s="26" t="n"/>
      <c r="M111" s="16" t="n"/>
      <c r="N111" s="9" t="n"/>
      <c r="O111" s="16" t="n"/>
      <c r="P111" s="16" t="n"/>
      <c r="Q111" s="24" t="n"/>
      <c r="R111" s="17" t="n"/>
      <c r="S111" s="17" t="n"/>
      <c r="T111" s="27" t="n"/>
      <c r="U111" s="27" t="n"/>
      <c r="V111" s="10" t="n"/>
    </row>
    <row r="112">
      <c r="A112" s="16" t="n"/>
      <c r="B112" s="17" t="n"/>
      <c r="C112" s="17" t="n"/>
      <c r="D112" s="10" t="n"/>
      <c r="E112" s="10" t="n"/>
      <c r="F112" s="17" t="n"/>
      <c r="G112" s="19" t="n"/>
      <c r="H112" s="16" t="n"/>
      <c r="I112" s="16" t="n"/>
      <c r="J112" s="16" t="n"/>
      <c r="K112" s="26" t="n"/>
      <c r="L112" s="26" t="n"/>
      <c r="M112" s="16" t="n"/>
      <c r="N112" s="9" t="n"/>
      <c r="O112" s="16" t="n"/>
      <c r="P112" s="16" t="n"/>
      <c r="Q112" s="24" t="n"/>
      <c r="R112" s="17" t="n"/>
      <c r="S112" s="17" t="n"/>
      <c r="T112" s="27" t="n"/>
      <c r="U112" s="27" t="n"/>
      <c r="V112" s="10" t="n"/>
    </row>
    <row r="113">
      <c r="A113" s="16" t="n"/>
      <c r="B113" s="17" t="n"/>
      <c r="C113" s="17" t="n"/>
      <c r="D113" s="10" t="n"/>
      <c r="E113" s="10" t="n"/>
      <c r="F113" s="17" t="n"/>
      <c r="G113" s="19" t="n"/>
      <c r="H113" s="16" t="n"/>
      <c r="I113" s="16" t="n"/>
      <c r="J113" s="16" t="n"/>
      <c r="K113" s="26" t="n"/>
      <c r="L113" s="26" t="n"/>
      <c r="M113" s="16" t="n"/>
      <c r="N113" s="9" t="n"/>
      <c r="O113" s="16" t="n"/>
      <c r="P113" s="16" t="n"/>
      <c r="Q113" s="24" t="n"/>
      <c r="R113" s="17" t="n"/>
      <c r="S113" s="17" t="n"/>
      <c r="T113" s="27" t="n"/>
      <c r="U113" s="27" t="n"/>
      <c r="V113" s="10" t="n"/>
    </row>
    <row r="114">
      <c r="A114" s="16" t="n"/>
      <c r="B114" s="17" t="n"/>
      <c r="C114" s="17" t="n"/>
      <c r="D114" s="10" t="n"/>
      <c r="E114" s="10" t="n"/>
      <c r="F114" s="17" t="n"/>
      <c r="G114" s="19" t="n"/>
      <c r="H114" s="16" t="n"/>
      <c r="I114" s="16" t="n"/>
      <c r="J114" s="16" t="n"/>
      <c r="K114" s="26" t="n"/>
      <c r="L114" s="26" t="n"/>
      <c r="M114" s="16" t="n"/>
      <c r="N114" s="9" t="n"/>
      <c r="O114" s="16" t="n"/>
      <c r="P114" s="16" t="n"/>
      <c r="Q114" s="24" t="n"/>
      <c r="R114" s="17" t="n"/>
      <c r="S114" s="17" t="n"/>
      <c r="T114" s="27" t="n"/>
      <c r="U114" s="27" t="n"/>
      <c r="V114" s="10" t="n"/>
    </row>
    <row r="115">
      <c r="A115" s="16" t="n"/>
      <c r="B115" s="17" t="n"/>
      <c r="C115" s="17" t="n"/>
      <c r="D115" s="10" t="n"/>
      <c r="E115" s="10" t="n"/>
      <c r="F115" s="17" t="n"/>
      <c r="G115" s="19" t="n"/>
      <c r="H115" s="16" t="n"/>
      <c r="I115" s="16" t="n"/>
      <c r="J115" s="16" t="n"/>
      <c r="K115" s="26" t="n"/>
      <c r="L115" s="26" t="n"/>
      <c r="M115" s="16" t="n"/>
      <c r="N115" s="9" t="n"/>
      <c r="O115" s="16" t="n"/>
      <c r="P115" s="16" t="n"/>
      <c r="Q115" s="24" t="n"/>
      <c r="R115" s="17" t="n"/>
      <c r="S115" s="17" t="n"/>
      <c r="T115" s="27" t="n"/>
      <c r="U115" s="27" t="n"/>
      <c r="V115" s="10" t="n"/>
    </row>
    <row r="116">
      <c r="A116" s="16" t="n"/>
      <c r="B116" s="17" t="n"/>
      <c r="C116" s="17" t="n"/>
      <c r="D116" s="10" t="n"/>
      <c r="E116" s="10" t="n"/>
      <c r="F116" s="17" t="n"/>
      <c r="G116" s="19" t="n"/>
      <c r="H116" s="16" t="n"/>
      <c r="I116" s="16" t="n"/>
      <c r="J116" s="16" t="n"/>
      <c r="K116" s="26" t="n"/>
      <c r="L116" s="26" t="n"/>
      <c r="M116" s="16" t="n"/>
      <c r="N116" s="9" t="n"/>
      <c r="O116" s="16" t="n"/>
      <c r="P116" s="16" t="n"/>
      <c r="Q116" s="24" t="n"/>
      <c r="R116" s="17" t="n"/>
      <c r="S116" s="17" t="n"/>
      <c r="T116" s="27" t="n"/>
      <c r="U116" s="27" t="n"/>
      <c r="V116" s="10" t="n"/>
    </row>
    <row r="117">
      <c r="A117" s="16" t="n"/>
      <c r="B117" s="17" t="n"/>
      <c r="C117" s="17" t="n"/>
      <c r="D117" s="10" t="n"/>
      <c r="E117" s="10" t="n"/>
      <c r="F117" s="17" t="n"/>
      <c r="G117" s="19" t="n"/>
      <c r="H117" s="16" t="n"/>
      <c r="I117" s="16" t="n"/>
      <c r="J117" s="16" t="n"/>
      <c r="K117" s="26" t="n"/>
      <c r="L117" s="26" t="n"/>
      <c r="M117" s="16" t="n"/>
      <c r="N117" s="9" t="n"/>
      <c r="O117" s="16" t="n"/>
      <c r="P117" s="16" t="n"/>
      <c r="Q117" s="24" t="n"/>
      <c r="R117" s="17" t="n"/>
      <c r="S117" s="17" t="n"/>
      <c r="T117" s="27" t="n"/>
      <c r="U117" s="27" t="n"/>
      <c r="V117" s="10" t="n"/>
    </row>
    <row r="118">
      <c r="A118" s="16" t="n"/>
      <c r="B118" s="17" t="n"/>
      <c r="C118" s="17" t="n"/>
      <c r="D118" s="10" t="n"/>
      <c r="E118" s="10" t="n"/>
      <c r="F118" s="17" t="n"/>
      <c r="G118" s="19" t="n"/>
      <c r="H118" s="16" t="n"/>
      <c r="I118" s="16" t="n"/>
      <c r="J118" s="16" t="n"/>
      <c r="K118" s="26" t="n"/>
      <c r="L118" s="26" t="n"/>
      <c r="M118" s="16" t="n"/>
      <c r="N118" s="9" t="n"/>
      <c r="O118" s="16" t="n"/>
      <c r="P118" s="16" t="n"/>
      <c r="Q118" s="24" t="n"/>
      <c r="R118" s="17" t="n"/>
      <c r="S118" s="17" t="n"/>
      <c r="T118" s="27" t="n"/>
      <c r="U118" s="27" t="n"/>
      <c r="V118" s="10" t="n"/>
    </row>
    <row r="119">
      <c r="A119" s="16" t="n"/>
      <c r="B119" s="17" t="n"/>
      <c r="C119" s="17" t="n"/>
      <c r="D119" s="10" t="n"/>
      <c r="E119" s="10" t="n"/>
      <c r="F119" s="17" t="n"/>
      <c r="G119" s="19" t="n"/>
      <c r="H119" s="16" t="n"/>
      <c r="I119" s="16" t="n"/>
      <c r="J119" s="16" t="n"/>
      <c r="K119" s="26" t="n"/>
      <c r="L119" s="26" t="n"/>
      <c r="M119" s="16" t="n"/>
      <c r="N119" s="9" t="n"/>
      <c r="O119" s="16" t="n"/>
      <c r="P119" s="16" t="n"/>
      <c r="Q119" s="24" t="n"/>
      <c r="R119" s="17" t="n"/>
      <c r="S119" s="17" t="n"/>
      <c r="T119" s="27" t="n"/>
      <c r="U119" s="27" t="n"/>
      <c r="V119" s="10" t="n"/>
    </row>
    <row r="120">
      <c r="A120" s="16" t="n"/>
      <c r="B120" s="17" t="n"/>
      <c r="C120" s="17" t="n"/>
      <c r="D120" s="10" t="n"/>
      <c r="E120" s="10" t="n"/>
      <c r="F120" s="17" t="n"/>
      <c r="G120" s="19" t="n"/>
      <c r="H120" s="16" t="n"/>
      <c r="I120" s="16" t="n"/>
      <c r="J120" s="16" t="n"/>
      <c r="K120" s="26" t="n"/>
      <c r="L120" s="26" t="n"/>
      <c r="M120" s="16" t="n"/>
      <c r="N120" s="9" t="n"/>
      <c r="O120" s="16" t="n"/>
      <c r="P120" s="16" t="n"/>
      <c r="Q120" s="24" t="n"/>
      <c r="R120" s="17" t="n"/>
      <c r="S120" s="17" t="n"/>
      <c r="T120" s="27" t="n"/>
      <c r="U120" s="27" t="n"/>
      <c r="V120" s="10" t="n"/>
    </row>
    <row r="121">
      <c r="A121" s="16" t="n"/>
      <c r="B121" s="17" t="n"/>
      <c r="C121" s="17" t="n"/>
      <c r="D121" s="10" t="n"/>
      <c r="E121" s="10" t="n"/>
      <c r="F121" s="17" t="n"/>
      <c r="G121" s="19" t="n"/>
      <c r="H121" s="16" t="n"/>
      <c r="I121" s="16" t="n"/>
      <c r="J121" s="16" t="n"/>
      <c r="K121" s="26" t="n"/>
      <c r="L121" s="26" t="n"/>
      <c r="M121" s="16" t="n"/>
      <c r="N121" s="9" t="n"/>
      <c r="O121" s="16" t="n"/>
      <c r="P121" s="16" t="n"/>
      <c r="Q121" s="24" t="n"/>
      <c r="R121" s="17" t="n"/>
      <c r="S121" s="17" t="n"/>
      <c r="T121" s="27" t="n"/>
      <c r="U121" s="27" t="n"/>
      <c r="V121" s="10" t="n"/>
    </row>
    <row r="122">
      <c r="A122" s="16" t="n"/>
      <c r="B122" s="17" t="n"/>
      <c r="C122" s="17" t="n"/>
      <c r="D122" s="10" t="n"/>
      <c r="E122" s="10" t="n"/>
      <c r="F122" s="17" t="n"/>
      <c r="G122" s="19" t="n"/>
      <c r="H122" s="16" t="n"/>
      <c r="I122" s="16" t="n"/>
      <c r="J122" s="16" t="n"/>
      <c r="K122" s="26" t="n"/>
      <c r="L122" s="26" t="n"/>
      <c r="M122" s="16" t="n"/>
      <c r="N122" s="9" t="n"/>
      <c r="O122" s="16" t="n"/>
      <c r="P122" s="16" t="n"/>
      <c r="Q122" s="24" t="n"/>
      <c r="R122" s="17" t="n"/>
      <c r="S122" s="17" t="n"/>
      <c r="T122" s="27" t="n"/>
      <c r="U122" s="27" t="n"/>
      <c r="V122" s="10" t="n"/>
    </row>
    <row r="123">
      <c r="A123" s="16" t="n"/>
      <c r="B123" s="17" t="n"/>
      <c r="C123" s="17" t="n"/>
      <c r="D123" s="10" t="n"/>
      <c r="E123" s="10" t="n"/>
      <c r="F123" s="17" t="n"/>
      <c r="G123" s="19" t="n"/>
      <c r="H123" s="16" t="n"/>
      <c r="I123" s="16" t="n"/>
      <c r="J123" s="16" t="n"/>
      <c r="K123" s="26" t="n"/>
      <c r="L123" s="26" t="n"/>
      <c r="M123" s="16" t="n"/>
      <c r="N123" s="9" t="n"/>
      <c r="O123" s="16" t="n"/>
      <c r="P123" s="16" t="n"/>
      <c r="Q123" s="24" t="n"/>
      <c r="R123" s="17" t="n"/>
      <c r="S123" s="17" t="n"/>
      <c r="T123" s="27" t="n"/>
      <c r="U123" s="27" t="n"/>
      <c r="V123" s="10" t="n"/>
    </row>
    <row r="124">
      <c r="A124" s="16" t="n"/>
      <c r="B124" s="17" t="n"/>
      <c r="C124" s="17" t="n"/>
      <c r="D124" s="10" t="n"/>
      <c r="E124" s="10" t="n"/>
      <c r="F124" s="17" t="n"/>
      <c r="G124" s="19" t="n"/>
      <c r="H124" s="16" t="n"/>
      <c r="I124" s="16" t="n"/>
      <c r="J124" s="16" t="n"/>
      <c r="K124" s="26" t="n"/>
      <c r="L124" s="26" t="n"/>
      <c r="M124" s="16" t="n"/>
      <c r="N124" s="9" t="n"/>
      <c r="O124" s="16" t="n"/>
      <c r="P124" s="16" t="n"/>
      <c r="Q124" s="24" t="n"/>
      <c r="R124" s="17" t="n"/>
      <c r="S124" s="17" t="n"/>
      <c r="T124" s="27" t="n"/>
      <c r="U124" s="27" t="n"/>
      <c r="V124" s="10" t="n"/>
    </row>
    <row r="125">
      <c r="A125" s="16" t="n"/>
      <c r="B125" s="17" t="n"/>
      <c r="C125" s="17" t="n"/>
      <c r="D125" s="10" t="n"/>
      <c r="E125" s="10" t="n"/>
      <c r="F125" s="17" t="n"/>
      <c r="G125" s="19" t="n"/>
      <c r="H125" s="16" t="n"/>
      <c r="I125" s="16" t="n"/>
      <c r="J125" s="16" t="n"/>
      <c r="K125" s="26" t="n"/>
      <c r="L125" s="26" t="n"/>
      <c r="M125" s="16" t="n"/>
      <c r="N125" s="9" t="n"/>
      <c r="O125" s="16" t="n"/>
      <c r="P125" s="16" t="n"/>
      <c r="Q125" s="24" t="n"/>
      <c r="R125" s="17" t="n"/>
      <c r="S125" s="17" t="n"/>
      <c r="T125" s="27" t="n"/>
      <c r="U125" s="27" t="n"/>
      <c r="V125" s="10" t="n"/>
    </row>
    <row r="126">
      <c r="A126" s="16" t="n"/>
      <c r="B126" s="17" t="n"/>
      <c r="C126" s="17" t="n"/>
      <c r="D126" s="10" t="n"/>
      <c r="E126" s="10" t="n"/>
      <c r="F126" s="17" t="n"/>
      <c r="G126" s="19" t="n"/>
      <c r="H126" s="16" t="n"/>
      <c r="I126" s="16" t="n"/>
      <c r="J126" s="16" t="n"/>
      <c r="K126" s="26" t="n"/>
      <c r="L126" s="26" t="n"/>
      <c r="M126" s="16" t="n"/>
      <c r="N126" s="9" t="n"/>
      <c r="O126" s="16" t="n"/>
      <c r="P126" s="16" t="n"/>
      <c r="Q126" s="24" t="n"/>
      <c r="R126" s="17" t="n"/>
      <c r="S126" s="17" t="n"/>
      <c r="T126" s="27" t="n"/>
      <c r="U126" s="27" t="n"/>
      <c r="V126" s="10" t="n"/>
    </row>
    <row r="127">
      <c r="A127" s="16" t="n"/>
      <c r="B127" s="17" t="n"/>
      <c r="C127" s="17" t="n"/>
      <c r="D127" s="10" t="n"/>
      <c r="E127" s="10" t="n"/>
      <c r="F127" s="17" t="n"/>
      <c r="G127" s="19" t="n"/>
      <c r="H127" s="16" t="n"/>
      <c r="I127" s="16" t="n"/>
      <c r="J127" s="16" t="n"/>
      <c r="K127" s="26" t="n"/>
      <c r="L127" s="26" t="n"/>
      <c r="M127" s="16" t="n"/>
      <c r="N127" s="9" t="n"/>
      <c r="O127" s="16" t="n"/>
      <c r="P127" s="16" t="n"/>
      <c r="Q127" s="24" t="n"/>
      <c r="R127" s="17" t="n"/>
      <c r="S127" s="17" t="n"/>
      <c r="T127" s="27" t="n"/>
      <c r="U127" s="27" t="n"/>
      <c r="V127" s="10" t="n"/>
    </row>
    <row r="128">
      <c r="A128" s="16" t="n"/>
      <c r="B128" s="17" t="n"/>
      <c r="C128" s="17" t="n"/>
      <c r="D128" s="10" t="n"/>
      <c r="E128" s="10" t="n"/>
      <c r="F128" s="17" t="n"/>
      <c r="G128" s="19" t="n"/>
      <c r="H128" s="16" t="n"/>
      <c r="I128" s="16" t="n"/>
      <c r="J128" s="16" t="n"/>
      <c r="K128" s="26" t="n"/>
      <c r="L128" s="26" t="n"/>
      <c r="M128" s="16" t="n"/>
      <c r="N128" s="9" t="n"/>
      <c r="O128" s="16" t="n"/>
      <c r="P128" s="16" t="n"/>
      <c r="Q128" s="24" t="n"/>
      <c r="R128" s="17" t="n"/>
      <c r="S128" s="17" t="n"/>
      <c r="T128" s="27" t="n"/>
      <c r="U128" s="27" t="n"/>
      <c r="V128" s="10" t="n"/>
    </row>
    <row r="129">
      <c r="A129" s="16" t="n"/>
      <c r="B129" s="17" t="n"/>
      <c r="C129" s="17" t="n"/>
      <c r="D129" s="10" t="n"/>
      <c r="E129" s="10" t="n"/>
      <c r="F129" s="17" t="n"/>
      <c r="G129" s="19" t="n"/>
      <c r="H129" s="16" t="n"/>
      <c r="I129" s="16" t="n"/>
      <c r="J129" s="16" t="n"/>
      <c r="K129" s="26" t="n"/>
      <c r="L129" s="26" t="n"/>
      <c r="M129" s="16" t="n"/>
      <c r="N129" s="9" t="n"/>
      <c r="O129" s="16" t="n"/>
      <c r="P129" s="16" t="n"/>
      <c r="Q129" s="24" t="n"/>
      <c r="R129" s="17" t="n"/>
      <c r="S129" s="17" t="n"/>
      <c r="T129" s="27" t="n"/>
      <c r="U129" s="27" t="n"/>
      <c r="V129" s="10" t="n"/>
    </row>
    <row r="130">
      <c r="A130" s="16" t="n"/>
      <c r="B130" s="17" t="n"/>
      <c r="C130" s="17" t="n"/>
      <c r="D130" s="10" t="n"/>
      <c r="E130" s="10" t="n"/>
      <c r="F130" s="17" t="n"/>
      <c r="G130" s="19" t="n"/>
      <c r="H130" s="16" t="n"/>
      <c r="I130" s="16" t="n"/>
      <c r="J130" s="16" t="n"/>
      <c r="K130" s="26" t="n"/>
      <c r="L130" s="26" t="n"/>
      <c r="M130" s="16" t="n"/>
      <c r="N130" s="9" t="n"/>
      <c r="O130" s="16" t="n"/>
      <c r="P130" s="16" t="n"/>
      <c r="Q130" s="24" t="n"/>
      <c r="R130" s="17" t="n"/>
      <c r="S130" s="17" t="n"/>
      <c r="T130" s="27" t="n"/>
      <c r="U130" s="27" t="n"/>
      <c r="V130" s="10" t="n"/>
    </row>
    <row r="131">
      <c r="A131" s="16" t="n"/>
      <c r="B131" s="17" t="n"/>
      <c r="C131" s="17" t="n"/>
      <c r="D131" s="10" t="n"/>
      <c r="E131" s="10" t="n"/>
      <c r="F131" s="17" t="n"/>
      <c r="G131" s="19" t="n"/>
      <c r="H131" s="16" t="n"/>
      <c r="I131" s="16" t="n"/>
      <c r="J131" s="16" t="n"/>
      <c r="K131" s="26" t="n"/>
      <c r="L131" s="26" t="n"/>
      <c r="M131" s="16" t="n"/>
      <c r="N131" s="9" t="n"/>
      <c r="O131" s="16" t="n"/>
      <c r="P131" s="16" t="n"/>
      <c r="Q131" s="24" t="n"/>
      <c r="R131" s="17" t="n"/>
      <c r="S131" s="17" t="n"/>
      <c r="T131" s="27" t="n"/>
      <c r="U131" s="27" t="n"/>
      <c r="V131" s="10" t="n"/>
    </row>
    <row r="132">
      <c r="A132" s="16" t="n"/>
      <c r="B132" s="17" t="n"/>
      <c r="C132" s="17" t="n"/>
      <c r="D132" s="10" t="n"/>
      <c r="E132" s="10" t="n"/>
      <c r="F132" s="17" t="n"/>
      <c r="G132" s="19" t="n"/>
      <c r="H132" s="16" t="n"/>
      <c r="I132" s="16" t="n"/>
      <c r="J132" s="16" t="n"/>
      <c r="K132" s="26" t="n"/>
      <c r="L132" s="26" t="n"/>
      <c r="M132" s="16" t="n"/>
      <c r="N132" s="9" t="n"/>
      <c r="O132" s="16" t="n"/>
      <c r="P132" s="16" t="n"/>
      <c r="Q132" s="24" t="n"/>
      <c r="R132" s="17" t="n"/>
      <c r="S132" s="17" t="n"/>
      <c r="T132" s="27" t="n"/>
      <c r="U132" s="27" t="n"/>
      <c r="V132" s="10" t="n"/>
    </row>
    <row r="133">
      <c r="A133" s="16" t="n"/>
      <c r="B133" s="17" t="n"/>
      <c r="C133" s="17" t="n"/>
      <c r="D133" s="10" t="n"/>
      <c r="E133" s="10" t="n"/>
      <c r="F133" s="17" t="n"/>
      <c r="G133" s="19" t="n"/>
      <c r="H133" s="16" t="n"/>
      <c r="I133" s="16" t="n"/>
      <c r="J133" s="16" t="n"/>
      <c r="K133" s="26" t="n"/>
      <c r="L133" s="26" t="n"/>
      <c r="M133" s="16" t="n"/>
      <c r="N133" s="9" t="n"/>
      <c r="O133" s="16" t="n"/>
      <c r="P133" s="16" t="n"/>
      <c r="Q133" s="24" t="n"/>
      <c r="R133" s="17" t="n"/>
      <c r="S133" s="17" t="n"/>
      <c r="T133" s="27" t="n"/>
      <c r="U133" s="27" t="n"/>
      <c r="V133" s="10" t="n"/>
    </row>
    <row r="134">
      <c r="A134" s="16" t="n"/>
      <c r="B134" s="17" t="n"/>
      <c r="C134" s="17" t="n"/>
      <c r="D134" s="10" t="n"/>
      <c r="E134" s="10" t="n"/>
      <c r="F134" s="17" t="n"/>
      <c r="G134" s="19" t="n"/>
      <c r="H134" s="16" t="n"/>
      <c r="I134" s="16" t="n"/>
      <c r="J134" s="16" t="n"/>
      <c r="K134" s="26" t="n"/>
      <c r="L134" s="26" t="n"/>
      <c r="M134" s="16" t="n"/>
      <c r="N134" s="9" t="n"/>
      <c r="O134" s="16" t="n"/>
      <c r="P134" s="16" t="n"/>
      <c r="Q134" s="24" t="n"/>
      <c r="R134" s="17" t="n"/>
      <c r="S134" s="17" t="n"/>
      <c r="T134" s="27" t="n"/>
      <c r="U134" s="27" t="n"/>
      <c r="V134" s="10" t="n"/>
    </row>
    <row r="135">
      <c r="A135" s="16" t="n"/>
      <c r="B135" s="17" t="n"/>
      <c r="C135" s="17" t="n"/>
      <c r="D135" s="10" t="n"/>
      <c r="E135" s="10" t="n"/>
      <c r="F135" s="17" t="n"/>
      <c r="G135" s="19" t="n"/>
      <c r="H135" s="16" t="n"/>
      <c r="I135" s="16" t="n"/>
      <c r="J135" s="16" t="n"/>
      <c r="K135" s="26" t="n"/>
      <c r="L135" s="26" t="n"/>
      <c r="M135" s="16" t="n"/>
      <c r="N135" s="9" t="n"/>
      <c r="O135" s="16" t="n"/>
      <c r="P135" s="16" t="n"/>
      <c r="Q135" s="24" t="n"/>
      <c r="R135" s="17" t="n"/>
      <c r="S135" s="17" t="n"/>
      <c r="T135" s="27" t="n"/>
      <c r="U135" s="27" t="n"/>
      <c r="V135" s="10" t="n"/>
    </row>
    <row r="136">
      <c r="A136" s="16" t="n"/>
      <c r="B136" s="17" t="n"/>
      <c r="C136" s="17" t="n"/>
      <c r="D136" s="10" t="n"/>
      <c r="E136" s="10" t="n"/>
      <c r="F136" s="17" t="n"/>
      <c r="G136" s="19" t="n"/>
      <c r="H136" s="16" t="n"/>
      <c r="I136" s="16" t="n"/>
      <c r="J136" s="16" t="n"/>
      <c r="K136" s="26" t="n"/>
      <c r="L136" s="26" t="n"/>
      <c r="M136" s="16" t="n"/>
      <c r="N136" s="9" t="n"/>
      <c r="O136" s="16" t="n"/>
      <c r="P136" s="16" t="n"/>
      <c r="Q136" s="24" t="n"/>
      <c r="R136" s="17" t="n"/>
      <c r="S136" s="17" t="n"/>
      <c r="T136" s="27" t="n"/>
      <c r="U136" s="27" t="n"/>
      <c r="V136" s="10" t="n"/>
    </row>
    <row r="137">
      <c r="A137" s="16" t="n"/>
      <c r="B137" s="17" t="n"/>
      <c r="C137" s="17" t="n"/>
      <c r="D137" s="10" t="n"/>
      <c r="E137" s="10" t="n"/>
      <c r="F137" s="17" t="n"/>
      <c r="G137" s="19" t="n"/>
      <c r="H137" s="16" t="n"/>
      <c r="I137" s="16" t="n"/>
      <c r="J137" s="16" t="n"/>
      <c r="K137" s="26" t="n"/>
      <c r="L137" s="26" t="n"/>
      <c r="M137" s="16" t="n"/>
      <c r="N137" s="9" t="n"/>
      <c r="O137" s="16" t="n"/>
      <c r="P137" s="16" t="n"/>
      <c r="Q137" s="24" t="n"/>
      <c r="R137" s="17" t="n"/>
      <c r="S137" s="17" t="n"/>
      <c r="T137" s="27" t="n"/>
      <c r="U137" s="27" t="n"/>
      <c r="V137" s="10" t="n"/>
    </row>
    <row r="138">
      <c r="A138" s="16" t="n"/>
      <c r="B138" s="17" t="n"/>
      <c r="C138" s="17" t="n"/>
      <c r="D138" s="10" t="n"/>
      <c r="E138" s="10" t="n"/>
      <c r="F138" s="17" t="n"/>
      <c r="G138" s="19" t="n"/>
      <c r="H138" s="16" t="n"/>
      <c r="I138" s="16" t="n"/>
      <c r="J138" s="16" t="n"/>
      <c r="K138" s="26" t="n"/>
      <c r="L138" s="26" t="n"/>
      <c r="M138" s="16" t="n"/>
      <c r="N138" s="9" t="n"/>
      <c r="O138" s="16" t="n"/>
      <c r="P138" s="16" t="n"/>
      <c r="Q138" s="24" t="n"/>
      <c r="R138" s="17" t="n"/>
      <c r="S138" s="17" t="n"/>
      <c r="T138" s="27" t="n"/>
      <c r="U138" s="27" t="n"/>
      <c r="V138" s="10" t="n"/>
    </row>
    <row r="139">
      <c r="A139" s="16" t="n"/>
      <c r="B139" s="17" t="n"/>
      <c r="C139" s="17" t="n"/>
      <c r="D139" s="10" t="n"/>
      <c r="E139" s="10" t="n"/>
      <c r="F139" s="17" t="n"/>
      <c r="G139" s="19" t="n"/>
      <c r="H139" s="16" t="n"/>
      <c r="I139" s="16" t="n"/>
      <c r="J139" s="16" t="n"/>
      <c r="K139" s="26" t="n"/>
      <c r="L139" s="26" t="n"/>
      <c r="M139" s="16" t="n"/>
      <c r="N139" s="9" t="n"/>
      <c r="O139" s="16" t="n"/>
      <c r="P139" s="16" t="n"/>
      <c r="Q139" s="24" t="n"/>
      <c r="R139" s="17" t="n"/>
      <c r="S139" s="17" t="n"/>
      <c r="T139" s="27" t="n"/>
      <c r="U139" s="27" t="n"/>
      <c r="V139" s="10" t="n"/>
    </row>
    <row r="140">
      <c r="A140" s="16" t="n"/>
      <c r="B140" s="17" t="n"/>
      <c r="C140" s="17" t="n"/>
      <c r="D140" s="10" t="n"/>
      <c r="E140" s="10" t="n"/>
      <c r="F140" s="17" t="n"/>
      <c r="G140" s="19" t="n"/>
      <c r="H140" s="16" t="n"/>
      <c r="I140" s="16" t="n"/>
      <c r="J140" s="16" t="n"/>
      <c r="K140" s="26" t="n"/>
      <c r="L140" s="26" t="n"/>
      <c r="M140" s="16" t="n"/>
      <c r="N140" s="9" t="n"/>
      <c r="O140" s="16" t="n"/>
      <c r="P140" s="16" t="n"/>
      <c r="Q140" s="24" t="n"/>
      <c r="R140" s="17" t="n"/>
      <c r="S140" s="17" t="n"/>
      <c r="T140" s="27" t="n"/>
      <c r="U140" s="27" t="n"/>
      <c r="V140" s="10" t="n"/>
    </row>
    <row r="141">
      <c r="A141" s="16" t="n"/>
      <c r="B141" s="17" t="n"/>
      <c r="C141" s="17" t="n"/>
      <c r="D141" s="10" t="n"/>
      <c r="E141" s="10" t="n"/>
      <c r="F141" s="17" t="n"/>
      <c r="G141" s="19" t="n"/>
      <c r="H141" s="16" t="n"/>
      <c r="I141" s="16" t="n"/>
      <c r="J141" s="16" t="n"/>
      <c r="K141" s="26" t="n"/>
      <c r="L141" s="26" t="n"/>
      <c r="M141" s="16" t="n"/>
      <c r="N141" s="9" t="n"/>
      <c r="O141" s="16" t="n"/>
      <c r="P141" s="16" t="n"/>
      <c r="Q141" s="24" t="n"/>
      <c r="R141" s="17" t="n"/>
      <c r="S141" s="17" t="n"/>
      <c r="T141" s="27" t="n"/>
      <c r="U141" s="27" t="n"/>
      <c r="V141" s="10" t="n"/>
    </row>
    <row r="142">
      <c r="A142" s="16" t="n"/>
      <c r="B142" s="17" t="n"/>
      <c r="C142" s="17" t="n"/>
      <c r="D142" s="10" t="n"/>
      <c r="E142" s="10" t="n"/>
      <c r="F142" s="17" t="n"/>
      <c r="G142" s="19" t="n"/>
      <c r="H142" s="16" t="n"/>
      <c r="I142" s="16" t="n"/>
      <c r="J142" s="16" t="n"/>
      <c r="K142" s="26" t="n"/>
      <c r="L142" s="26" t="n"/>
      <c r="M142" s="16" t="n"/>
      <c r="N142" s="9" t="n"/>
      <c r="O142" s="16" t="n"/>
      <c r="P142" s="16" t="n"/>
      <c r="Q142" s="24" t="n"/>
      <c r="R142" s="17" t="n"/>
      <c r="S142" s="17" t="n"/>
      <c r="T142" s="27" t="n"/>
      <c r="U142" s="27" t="n"/>
      <c r="V142" s="10" t="n"/>
    </row>
    <row r="143">
      <c r="A143" s="16" t="n"/>
      <c r="B143" s="17" t="n"/>
      <c r="C143" s="17" t="n"/>
      <c r="D143" s="10" t="n"/>
      <c r="E143" s="10" t="n"/>
      <c r="F143" s="17" t="n"/>
      <c r="G143" s="19" t="n"/>
      <c r="H143" s="16" t="n"/>
      <c r="I143" s="16" t="n"/>
      <c r="J143" s="16" t="n"/>
      <c r="K143" s="26" t="n"/>
      <c r="L143" s="26" t="n"/>
      <c r="M143" s="16" t="n"/>
      <c r="N143" s="9" t="n"/>
      <c r="O143" s="16" t="n"/>
      <c r="P143" s="16" t="n"/>
      <c r="Q143" s="24" t="n"/>
      <c r="R143" s="17" t="n"/>
      <c r="S143" s="17" t="n"/>
      <c r="T143" s="27" t="n"/>
      <c r="U143" s="27" t="n"/>
      <c r="V143" s="10" t="n"/>
    </row>
    <row r="144">
      <c r="A144" s="16" t="n"/>
      <c r="B144" s="17" t="n"/>
      <c r="C144" s="17" t="n"/>
      <c r="D144" s="10" t="n"/>
      <c r="E144" s="10" t="n"/>
      <c r="F144" s="17" t="n"/>
      <c r="G144" s="19" t="n"/>
      <c r="H144" s="16" t="n"/>
      <c r="I144" s="16" t="n"/>
      <c r="J144" s="16" t="n"/>
      <c r="K144" s="26" t="n"/>
      <c r="L144" s="26" t="n"/>
      <c r="M144" s="16" t="n"/>
      <c r="N144" s="9" t="n"/>
      <c r="O144" s="16" t="n"/>
      <c r="P144" s="16" t="n"/>
      <c r="Q144" s="24" t="n"/>
      <c r="R144" s="17" t="n"/>
      <c r="S144" s="17" t="n"/>
      <c r="T144" s="27" t="n"/>
      <c r="U144" s="27" t="n"/>
      <c r="V144" s="10" t="n"/>
    </row>
    <row r="145">
      <c r="A145" s="16" t="n"/>
      <c r="B145" s="17" t="n"/>
      <c r="C145" s="17" t="n"/>
      <c r="D145" s="10" t="n"/>
      <c r="E145" s="10" t="n"/>
      <c r="F145" s="17" t="n"/>
      <c r="G145" s="19" t="n"/>
      <c r="H145" s="16" t="n"/>
      <c r="I145" s="16" t="n"/>
      <c r="J145" s="16" t="n"/>
      <c r="K145" s="26" t="n"/>
      <c r="L145" s="26" t="n"/>
      <c r="M145" s="16" t="n"/>
      <c r="N145" s="9" t="n"/>
      <c r="O145" s="16" t="n"/>
      <c r="P145" s="16" t="n"/>
      <c r="Q145" s="24" t="n"/>
      <c r="R145" s="17" t="n"/>
      <c r="S145" s="17" t="n"/>
      <c r="T145" s="27" t="n"/>
      <c r="U145" s="27" t="n"/>
      <c r="V145" s="10" t="n"/>
    </row>
    <row r="146">
      <c r="A146" s="16" t="n"/>
      <c r="B146" s="17" t="n"/>
      <c r="C146" s="17" t="n"/>
      <c r="D146" s="10" t="n"/>
      <c r="E146" s="10" t="n"/>
      <c r="F146" s="17" t="n"/>
      <c r="G146" s="19" t="n"/>
      <c r="H146" s="16" t="n"/>
      <c r="I146" s="16" t="n"/>
      <c r="J146" s="16" t="n"/>
      <c r="K146" s="26" t="n"/>
      <c r="L146" s="26" t="n"/>
      <c r="M146" s="16" t="n"/>
      <c r="N146" s="9" t="n"/>
      <c r="O146" s="16" t="n"/>
      <c r="P146" s="16" t="n"/>
      <c r="Q146" s="24" t="n"/>
      <c r="R146" s="17" t="n"/>
      <c r="S146" s="17" t="n"/>
      <c r="T146" s="27" t="n"/>
      <c r="U146" s="27" t="n"/>
      <c r="V146" s="10" t="n"/>
    </row>
    <row r="147">
      <c r="A147" s="16" t="n"/>
      <c r="B147" s="17" t="n"/>
      <c r="C147" s="17" t="n"/>
      <c r="D147" s="10" t="n"/>
      <c r="E147" s="10" t="n"/>
      <c r="F147" s="17" t="n"/>
      <c r="G147" s="19" t="n"/>
      <c r="H147" s="16" t="n"/>
      <c r="I147" s="16" t="n"/>
      <c r="J147" s="16" t="n"/>
      <c r="K147" s="26" t="n"/>
      <c r="L147" s="26" t="n"/>
      <c r="M147" s="16" t="n"/>
      <c r="N147" s="9" t="n"/>
      <c r="O147" s="16" t="n"/>
      <c r="P147" s="16" t="n"/>
      <c r="Q147" s="24" t="n"/>
      <c r="R147" s="17" t="n"/>
      <c r="S147" s="17" t="n"/>
      <c r="T147" s="27" t="n"/>
      <c r="U147" s="27" t="n"/>
      <c r="V147" s="10" t="n"/>
    </row>
    <row r="148">
      <c r="A148" s="16" t="n"/>
      <c r="B148" s="17" t="n"/>
      <c r="C148" s="17" t="n"/>
      <c r="D148" s="10" t="n"/>
      <c r="E148" s="10" t="n"/>
      <c r="F148" s="17" t="n"/>
      <c r="G148" s="19" t="n"/>
      <c r="H148" s="16" t="n"/>
      <c r="I148" s="16" t="n"/>
      <c r="J148" s="16" t="n"/>
      <c r="K148" s="26" t="n"/>
      <c r="L148" s="26" t="n"/>
      <c r="M148" s="16" t="n"/>
      <c r="N148" s="9" t="n"/>
      <c r="O148" s="16" t="n"/>
      <c r="P148" s="16" t="n"/>
      <c r="Q148" s="24" t="n"/>
      <c r="R148" s="17" t="n"/>
      <c r="S148" s="17" t="n"/>
      <c r="T148" s="27" t="n"/>
      <c r="U148" s="27" t="n"/>
      <c r="V148" s="10" t="n"/>
    </row>
    <row r="149">
      <c r="A149" s="16" t="n"/>
      <c r="B149" s="17" t="n"/>
      <c r="C149" s="17" t="n"/>
      <c r="D149" s="10" t="n"/>
      <c r="E149" s="10" t="n"/>
      <c r="F149" s="17" t="n"/>
      <c r="G149" s="19" t="n"/>
      <c r="H149" s="16" t="n"/>
      <c r="I149" s="16" t="n"/>
      <c r="J149" s="16" t="n"/>
      <c r="K149" s="26" t="n"/>
      <c r="L149" s="26" t="n"/>
      <c r="M149" s="16" t="n"/>
      <c r="N149" s="9" t="n"/>
      <c r="O149" s="16" t="n"/>
      <c r="P149" s="16" t="n"/>
      <c r="Q149" s="24" t="n"/>
      <c r="R149" s="17" t="n"/>
      <c r="S149" s="17" t="n"/>
      <c r="T149" s="27" t="n"/>
      <c r="U149" s="27" t="n"/>
      <c r="V149" s="10" t="n"/>
    </row>
    <row r="150">
      <c r="A150" s="16" t="n"/>
      <c r="B150" s="17" t="n"/>
      <c r="C150" s="17" t="n"/>
      <c r="D150" s="10" t="n"/>
      <c r="E150" s="10" t="n"/>
      <c r="F150" s="17" t="n"/>
      <c r="G150" s="19" t="n"/>
      <c r="H150" s="16" t="n"/>
      <c r="I150" s="16" t="n"/>
      <c r="J150" s="16" t="n"/>
      <c r="K150" s="26" t="n"/>
      <c r="L150" s="26" t="n"/>
      <c r="M150" s="16" t="n"/>
      <c r="N150" s="9" t="n"/>
      <c r="O150" s="16" t="n"/>
      <c r="P150" s="16" t="n"/>
      <c r="Q150" s="24" t="n"/>
      <c r="R150" s="17" t="n"/>
      <c r="S150" s="17" t="n"/>
      <c r="T150" s="27" t="n"/>
      <c r="U150" s="27" t="n"/>
      <c r="V150" s="10" t="n"/>
    </row>
    <row r="151">
      <c r="A151" s="16" t="n"/>
      <c r="B151" s="17" t="n"/>
      <c r="C151" s="17" t="n"/>
      <c r="D151" s="10" t="n"/>
      <c r="E151" s="10" t="n"/>
      <c r="F151" s="17" t="n"/>
      <c r="G151" s="19" t="n"/>
      <c r="H151" s="16" t="n"/>
      <c r="I151" s="16" t="n"/>
      <c r="J151" s="16" t="n"/>
      <c r="K151" s="26" t="n"/>
      <c r="L151" s="26" t="n"/>
      <c r="M151" s="16" t="n"/>
      <c r="N151" s="9" t="n"/>
      <c r="O151" s="16" t="n"/>
      <c r="P151" s="16" t="n"/>
      <c r="Q151" s="24" t="n"/>
      <c r="R151" s="17" t="n"/>
      <c r="S151" s="17" t="n"/>
      <c r="T151" s="27" t="n"/>
      <c r="U151" s="27" t="n"/>
      <c r="V151" s="10" t="n"/>
    </row>
    <row r="152">
      <c r="A152" s="16" t="n"/>
      <c r="B152" s="17" t="n"/>
      <c r="C152" s="17" t="n"/>
      <c r="D152" s="10" t="n"/>
      <c r="E152" s="10" t="n"/>
      <c r="F152" s="17" t="n"/>
      <c r="G152" s="19" t="n"/>
      <c r="H152" s="16" t="n"/>
      <c r="I152" s="16" t="n"/>
      <c r="J152" s="16" t="n"/>
      <c r="K152" s="26" t="n"/>
      <c r="L152" s="26" t="n"/>
      <c r="M152" s="16" t="n"/>
      <c r="N152" s="9" t="n"/>
      <c r="O152" s="16" t="n"/>
      <c r="P152" s="16" t="n"/>
      <c r="Q152" s="24" t="n"/>
      <c r="R152" s="17" t="n"/>
      <c r="S152" s="17" t="n"/>
      <c r="T152" s="27" t="n"/>
      <c r="U152" s="27" t="n"/>
      <c r="V152" s="10" t="n"/>
    </row>
    <row r="153">
      <c r="A153" s="16" t="n"/>
      <c r="B153" s="17" t="n"/>
      <c r="C153" s="17" t="n"/>
      <c r="D153" s="10" t="n"/>
      <c r="E153" s="10" t="n"/>
      <c r="F153" s="17" t="n"/>
      <c r="G153" s="19" t="n"/>
      <c r="H153" s="16" t="n"/>
      <c r="I153" s="16" t="n"/>
      <c r="J153" s="16" t="n"/>
      <c r="K153" s="26" t="n"/>
      <c r="L153" s="26" t="n"/>
      <c r="M153" s="16" t="n"/>
      <c r="N153" s="9" t="n"/>
      <c r="O153" s="16" t="n"/>
      <c r="P153" s="16" t="n"/>
      <c r="Q153" s="24" t="n"/>
      <c r="R153" s="17" t="n"/>
      <c r="S153" s="17" t="n"/>
      <c r="T153" s="27" t="n"/>
      <c r="U153" s="27" t="n"/>
      <c r="V153" s="10" t="n"/>
    </row>
    <row r="154">
      <c r="A154" s="16" t="n"/>
      <c r="B154" s="17" t="n"/>
      <c r="C154" s="17" t="n"/>
      <c r="D154" s="10" t="n"/>
      <c r="E154" s="10" t="n"/>
      <c r="F154" s="17" t="n"/>
      <c r="G154" s="19" t="n"/>
      <c r="H154" s="16" t="n"/>
      <c r="I154" s="16" t="n"/>
      <c r="J154" s="16" t="n"/>
      <c r="K154" s="26" t="n"/>
      <c r="L154" s="26" t="n"/>
      <c r="M154" s="16" t="n"/>
      <c r="N154" s="9" t="n"/>
      <c r="O154" s="16" t="n"/>
      <c r="P154" s="16" t="n"/>
      <c r="Q154" s="24" t="n"/>
      <c r="R154" s="17" t="n"/>
      <c r="S154" s="17" t="n"/>
      <c r="T154" s="27" t="n"/>
      <c r="U154" s="27" t="n"/>
      <c r="V154" s="10" t="n"/>
    </row>
    <row r="155">
      <c r="A155" s="16" t="n"/>
      <c r="B155" s="17" t="n"/>
      <c r="C155" s="17" t="n"/>
      <c r="D155" s="10" t="n"/>
      <c r="E155" s="10" t="n"/>
      <c r="F155" s="17" t="n"/>
      <c r="G155" s="19" t="n"/>
      <c r="H155" s="16" t="n"/>
      <c r="I155" s="16" t="n"/>
      <c r="J155" s="16" t="n"/>
      <c r="K155" s="26" t="n"/>
      <c r="L155" s="26" t="n"/>
      <c r="M155" s="16" t="n"/>
      <c r="N155" s="9" t="n"/>
      <c r="O155" s="16" t="n"/>
      <c r="P155" s="16" t="n"/>
      <c r="Q155" s="24" t="n"/>
      <c r="R155" s="17" t="n"/>
      <c r="S155" s="17" t="n"/>
      <c r="T155" s="27" t="n"/>
      <c r="U155" s="27" t="n"/>
      <c r="V155" s="10" t="n"/>
    </row>
    <row r="156">
      <c r="A156" s="16" t="n"/>
      <c r="B156" s="17" t="n"/>
      <c r="C156" s="17" t="n"/>
      <c r="D156" s="10" t="n"/>
      <c r="E156" s="10" t="n"/>
      <c r="F156" s="17" t="n"/>
      <c r="G156" s="19" t="n"/>
      <c r="H156" s="16" t="n"/>
      <c r="I156" s="16" t="n"/>
      <c r="J156" s="16" t="n"/>
      <c r="K156" s="26" t="n"/>
      <c r="L156" s="26" t="n"/>
      <c r="M156" s="16" t="n"/>
      <c r="N156" s="9" t="n"/>
      <c r="O156" s="16" t="n"/>
      <c r="P156" s="16" t="n"/>
      <c r="Q156" s="24" t="n"/>
      <c r="R156" s="17" t="n"/>
      <c r="S156" s="17" t="n"/>
      <c r="T156" s="27" t="n"/>
      <c r="U156" s="27" t="n"/>
      <c r="V156" s="10" t="n"/>
    </row>
    <row r="157">
      <c r="A157" s="16" t="n"/>
      <c r="B157" s="17" t="n"/>
      <c r="C157" s="17" t="n"/>
      <c r="D157" s="10" t="n"/>
      <c r="E157" s="10" t="n"/>
      <c r="F157" s="17" t="n"/>
      <c r="G157" s="19" t="n"/>
      <c r="H157" s="16" t="n"/>
      <c r="I157" s="16" t="n"/>
      <c r="J157" s="16" t="n"/>
      <c r="K157" s="26" t="n"/>
      <c r="L157" s="26" t="n"/>
      <c r="M157" s="16" t="n"/>
      <c r="N157" s="9" t="n"/>
      <c r="O157" s="16" t="n"/>
      <c r="P157" s="16" t="n"/>
      <c r="Q157" s="24" t="n"/>
      <c r="R157" s="17" t="n"/>
      <c r="S157" s="17" t="n"/>
      <c r="T157" s="27" t="n"/>
      <c r="U157" s="27" t="n"/>
      <c r="V157" s="10" t="n"/>
    </row>
    <row r="158">
      <c r="A158" s="16" t="n"/>
      <c r="B158" s="17" t="n"/>
      <c r="C158" s="17" t="n"/>
      <c r="D158" s="10" t="n"/>
      <c r="E158" s="10" t="n"/>
      <c r="F158" s="17" t="n"/>
      <c r="G158" s="19" t="n"/>
      <c r="H158" s="16" t="n"/>
      <c r="I158" s="16" t="n"/>
      <c r="J158" s="16" t="n"/>
      <c r="K158" s="26" t="n"/>
      <c r="L158" s="26" t="n"/>
      <c r="M158" s="16" t="n"/>
      <c r="N158" s="9" t="n"/>
      <c r="O158" s="16" t="n"/>
      <c r="P158" s="16" t="n"/>
      <c r="Q158" s="24" t="n"/>
      <c r="R158" s="17" t="n"/>
      <c r="S158" s="17" t="n"/>
      <c r="T158" s="27" t="n"/>
      <c r="U158" s="27" t="n"/>
      <c r="V158" s="10" t="n"/>
    </row>
    <row r="159">
      <c r="A159" s="16" t="n"/>
      <c r="B159" s="17" t="n"/>
      <c r="C159" s="17" t="n"/>
      <c r="D159" s="10" t="n"/>
      <c r="E159" s="10" t="n"/>
      <c r="F159" s="17" t="n"/>
      <c r="G159" s="19" t="n"/>
      <c r="H159" s="16" t="n"/>
      <c r="I159" s="16" t="n"/>
      <c r="J159" s="16" t="n"/>
      <c r="K159" s="26" t="n"/>
      <c r="L159" s="26" t="n"/>
      <c r="M159" s="16" t="n"/>
      <c r="N159" s="9" t="n"/>
      <c r="O159" s="16" t="n"/>
      <c r="P159" s="16" t="n"/>
      <c r="Q159" s="24" t="n"/>
      <c r="R159" s="17" t="n"/>
      <c r="S159" s="17" t="n"/>
      <c r="T159" s="27" t="n"/>
      <c r="U159" s="27" t="n"/>
      <c r="V159" s="10" t="n"/>
    </row>
    <row r="160">
      <c r="A160" s="16" t="n"/>
      <c r="B160" s="17" t="n"/>
      <c r="C160" s="17" t="n"/>
      <c r="D160" s="10" t="n"/>
      <c r="E160" s="10" t="n"/>
      <c r="F160" s="17" t="n"/>
      <c r="G160" s="19" t="n"/>
      <c r="H160" s="16" t="n"/>
      <c r="I160" s="16" t="n"/>
      <c r="J160" s="16" t="n"/>
      <c r="K160" s="26" t="n"/>
      <c r="L160" s="26" t="n"/>
      <c r="M160" s="16" t="n"/>
      <c r="N160" s="9" t="n"/>
      <c r="O160" s="16" t="n"/>
      <c r="P160" s="16" t="n"/>
      <c r="Q160" s="24" t="n"/>
      <c r="R160" s="17" t="n"/>
      <c r="S160" s="17" t="n"/>
      <c r="T160" s="27" t="n"/>
      <c r="U160" s="27" t="n"/>
      <c r="V160" s="10" t="n"/>
    </row>
    <row r="161">
      <c r="A161" s="16" t="n"/>
      <c r="B161" s="17" t="n"/>
      <c r="C161" s="17" t="n"/>
      <c r="D161" s="10" t="n"/>
      <c r="E161" s="10" t="n"/>
      <c r="F161" s="17" t="n"/>
      <c r="G161" s="19" t="n"/>
      <c r="H161" s="16" t="n"/>
      <c r="I161" s="16" t="n"/>
      <c r="J161" s="16" t="n"/>
      <c r="K161" s="26" t="n"/>
      <c r="L161" s="26" t="n"/>
      <c r="M161" s="16" t="n"/>
      <c r="N161" s="9" t="n"/>
      <c r="O161" s="16" t="n"/>
      <c r="P161" s="16" t="n"/>
      <c r="Q161" s="24" t="n"/>
      <c r="R161" s="17" t="n"/>
      <c r="S161" s="17" t="n"/>
      <c r="T161" s="27" t="n"/>
      <c r="U161" s="27" t="n"/>
      <c r="V161" s="10" t="n"/>
    </row>
    <row r="162">
      <c r="A162" s="16" t="n"/>
      <c r="B162" s="17" t="n"/>
      <c r="C162" s="17" t="n"/>
      <c r="D162" s="10" t="n"/>
      <c r="E162" s="10" t="n"/>
      <c r="F162" s="17" t="n"/>
      <c r="G162" s="19" t="n"/>
      <c r="H162" s="16" t="n"/>
      <c r="I162" s="16" t="n"/>
      <c r="J162" s="16" t="n"/>
      <c r="K162" s="26" t="n"/>
      <c r="L162" s="26" t="n"/>
      <c r="M162" s="16" t="n"/>
      <c r="N162" s="9" t="n"/>
      <c r="O162" s="16" t="n"/>
      <c r="P162" s="16" t="n"/>
      <c r="Q162" s="24" t="n"/>
      <c r="R162" s="17" t="n"/>
      <c r="S162" s="17" t="n"/>
      <c r="T162" s="27" t="n"/>
      <c r="U162" s="27" t="n"/>
      <c r="V162" s="10" t="n"/>
    </row>
    <row r="163">
      <c r="A163" s="16" t="n"/>
      <c r="B163" s="17" t="n"/>
      <c r="C163" s="17" t="n"/>
      <c r="D163" s="10" t="n"/>
      <c r="E163" s="10" t="n"/>
      <c r="F163" s="17" t="n"/>
      <c r="G163" s="19" t="n"/>
      <c r="H163" s="16" t="n"/>
      <c r="I163" s="16" t="n"/>
      <c r="J163" s="16" t="n"/>
      <c r="K163" s="26" t="n"/>
      <c r="L163" s="26" t="n"/>
      <c r="M163" s="16" t="n"/>
      <c r="N163" s="9" t="n"/>
      <c r="O163" s="16" t="n"/>
      <c r="P163" s="16" t="n"/>
      <c r="Q163" s="24" t="n"/>
      <c r="R163" s="17" t="n"/>
      <c r="S163" s="17" t="n"/>
      <c r="T163" s="27" t="n"/>
      <c r="U163" s="27" t="n"/>
      <c r="V163" s="10" t="n"/>
    </row>
    <row r="164">
      <c r="A164" s="16" t="n"/>
      <c r="B164" s="17" t="n"/>
      <c r="C164" s="17" t="n"/>
      <c r="D164" s="10" t="n"/>
      <c r="E164" s="10" t="n"/>
      <c r="F164" s="17" t="n"/>
      <c r="G164" s="19" t="n"/>
      <c r="H164" s="16" t="n"/>
      <c r="I164" s="16" t="n"/>
      <c r="J164" s="16" t="n"/>
      <c r="K164" s="26" t="n"/>
      <c r="L164" s="26" t="n"/>
      <c r="M164" s="16" t="n"/>
      <c r="N164" s="9" t="n"/>
      <c r="O164" s="16" t="n"/>
      <c r="P164" s="16" t="n"/>
      <c r="Q164" s="24" t="n"/>
      <c r="R164" s="17" t="n"/>
      <c r="S164" s="17" t="n"/>
      <c r="T164" s="27" t="n"/>
      <c r="U164" s="27" t="n"/>
      <c r="V164" s="10" t="n"/>
    </row>
    <row r="165">
      <c r="A165" s="16" t="n"/>
      <c r="B165" s="17" t="n"/>
      <c r="C165" s="17" t="n"/>
      <c r="D165" s="10" t="n"/>
      <c r="E165" s="10" t="n"/>
      <c r="F165" s="17" t="n"/>
      <c r="G165" s="19" t="n"/>
      <c r="H165" s="16" t="n"/>
      <c r="I165" s="16" t="n"/>
      <c r="J165" s="16" t="n"/>
      <c r="K165" s="26" t="n"/>
      <c r="L165" s="26" t="n"/>
      <c r="M165" s="16" t="n"/>
      <c r="N165" s="9" t="n"/>
      <c r="O165" s="16" t="n"/>
      <c r="P165" s="16" t="n"/>
      <c r="Q165" s="24" t="n"/>
      <c r="R165" s="17" t="n"/>
      <c r="S165" s="17" t="n"/>
      <c r="T165" s="27" t="n"/>
      <c r="U165" s="27" t="n"/>
      <c r="V165" s="10" t="n"/>
    </row>
    <row r="166">
      <c r="A166" s="16" t="n"/>
      <c r="B166" s="17" t="n"/>
      <c r="C166" s="17" t="n"/>
      <c r="D166" s="10" t="n"/>
      <c r="E166" s="10" t="n"/>
      <c r="F166" s="17" t="n"/>
      <c r="G166" s="19" t="n"/>
      <c r="H166" s="16" t="n"/>
      <c r="I166" s="16" t="n"/>
      <c r="J166" s="16" t="n"/>
      <c r="K166" s="26" t="n"/>
      <c r="L166" s="26" t="n"/>
      <c r="M166" s="16" t="n"/>
      <c r="N166" s="9" t="n"/>
      <c r="O166" s="16" t="n"/>
      <c r="P166" s="16" t="n"/>
      <c r="Q166" s="24" t="n"/>
      <c r="R166" s="17" t="n"/>
      <c r="S166" s="17" t="n"/>
      <c r="T166" s="27" t="n"/>
      <c r="U166" s="27" t="n"/>
      <c r="V166" s="10" t="n"/>
    </row>
    <row r="167">
      <c r="A167" s="16" t="n"/>
      <c r="B167" s="17" t="n"/>
      <c r="C167" s="17" t="n"/>
      <c r="D167" s="10" t="n"/>
      <c r="E167" s="10" t="n"/>
      <c r="F167" s="17" t="n"/>
      <c r="G167" s="19" t="n"/>
      <c r="H167" s="16" t="n"/>
      <c r="I167" s="16" t="n"/>
      <c r="J167" s="16" t="n"/>
      <c r="K167" s="26" t="n"/>
      <c r="L167" s="26" t="n"/>
      <c r="M167" s="16" t="n"/>
      <c r="N167" s="9" t="n"/>
      <c r="O167" s="16" t="n"/>
      <c r="P167" s="16" t="n"/>
      <c r="Q167" s="24" t="n"/>
      <c r="R167" s="17" t="n"/>
      <c r="S167" s="17" t="n"/>
      <c r="T167" s="27" t="n"/>
      <c r="U167" s="27" t="n"/>
      <c r="V167" s="10" t="n"/>
    </row>
    <row r="168">
      <c r="A168" s="16" t="n"/>
      <c r="B168" s="17" t="n"/>
      <c r="C168" s="17" t="n"/>
      <c r="D168" s="10" t="n"/>
      <c r="E168" s="10" t="n"/>
      <c r="F168" s="17" t="n"/>
      <c r="G168" s="19" t="n"/>
      <c r="H168" s="16" t="n"/>
      <c r="I168" s="16" t="n"/>
      <c r="J168" s="16" t="n"/>
      <c r="K168" s="26" t="n"/>
      <c r="L168" s="26" t="n"/>
      <c r="M168" s="16" t="n"/>
      <c r="N168" s="9" t="n"/>
      <c r="O168" s="16" t="n"/>
      <c r="P168" s="16" t="n"/>
      <c r="Q168" s="24" t="n"/>
      <c r="R168" s="17" t="n"/>
      <c r="S168" s="17" t="n"/>
      <c r="T168" s="27" t="n"/>
      <c r="U168" s="27" t="n"/>
      <c r="V168" s="10" t="n"/>
    </row>
    <row r="169">
      <c r="A169" s="16" t="n"/>
      <c r="B169" s="17" t="n"/>
      <c r="C169" s="17" t="n"/>
      <c r="D169" s="10" t="n"/>
      <c r="E169" s="10" t="n"/>
      <c r="F169" s="17" t="n"/>
      <c r="G169" s="19" t="n"/>
      <c r="H169" s="16" t="n"/>
      <c r="I169" s="16" t="n"/>
      <c r="J169" s="16" t="n"/>
      <c r="K169" s="26" t="n"/>
      <c r="L169" s="26" t="n"/>
      <c r="M169" s="16" t="n"/>
      <c r="N169" s="9" t="n"/>
      <c r="O169" s="16" t="n"/>
      <c r="P169" s="16" t="n"/>
      <c r="Q169" s="24" t="n"/>
      <c r="R169" s="17" t="n"/>
      <c r="S169" s="17" t="n"/>
      <c r="T169" s="27" t="n"/>
      <c r="U169" s="27" t="n"/>
      <c r="V169" s="10" t="n"/>
    </row>
    <row r="170">
      <c r="A170" s="16" t="n"/>
      <c r="B170" s="17" t="n"/>
      <c r="C170" s="17" t="n"/>
      <c r="D170" s="10" t="n"/>
      <c r="E170" s="10" t="n"/>
      <c r="F170" s="17" t="n"/>
      <c r="G170" s="19" t="n"/>
      <c r="H170" s="16" t="n"/>
      <c r="I170" s="16" t="n"/>
      <c r="J170" s="16" t="n"/>
      <c r="K170" s="26" t="n"/>
      <c r="L170" s="26" t="n"/>
      <c r="M170" s="16" t="n"/>
      <c r="N170" s="9" t="n"/>
      <c r="O170" s="16" t="n"/>
      <c r="P170" s="16" t="n"/>
      <c r="Q170" s="24" t="n"/>
      <c r="R170" s="17" t="n"/>
      <c r="S170" s="17" t="n"/>
      <c r="T170" s="27" t="n"/>
      <c r="U170" s="27" t="n"/>
      <c r="V170" s="10" t="n"/>
    </row>
    <row r="171">
      <c r="A171" s="16" t="n"/>
      <c r="B171" s="17" t="n"/>
      <c r="C171" s="17" t="n"/>
      <c r="D171" s="10" t="n"/>
      <c r="E171" s="10" t="n"/>
      <c r="F171" s="17" t="n"/>
      <c r="G171" s="19" t="n"/>
      <c r="H171" s="16" t="n"/>
      <c r="I171" s="16" t="n"/>
      <c r="J171" s="16" t="n"/>
      <c r="K171" s="26" t="n"/>
      <c r="L171" s="26" t="n"/>
      <c r="M171" s="16" t="n"/>
      <c r="N171" s="9" t="n"/>
      <c r="O171" s="16" t="n"/>
      <c r="P171" s="16" t="n"/>
      <c r="Q171" s="24" t="n"/>
      <c r="R171" s="17" t="n"/>
      <c r="S171" s="17" t="n"/>
      <c r="T171" s="27" t="n"/>
      <c r="U171" s="27" t="n"/>
      <c r="V171" s="10" t="n"/>
    </row>
    <row r="172">
      <c r="A172" s="16" t="n"/>
      <c r="B172" s="17" t="n"/>
      <c r="C172" s="17" t="n"/>
      <c r="D172" s="10" t="n"/>
      <c r="E172" s="10" t="n"/>
      <c r="F172" s="17" t="n"/>
      <c r="G172" s="19" t="n"/>
      <c r="H172" s="16" t="n"/>
      <c r="I172" s="16" t="n"/>
      <c r="J172" s="16" t="n"/>
      <c r="K172" s="26" t="n"/>
      <c r="L172" s="26" t="n"/>
      <c r="M172" s="16" t="n"/>
      <c r="N172" s="9" t="n"/>
      <c r="O172" s="16" t="n"/>
      <c r="P172" s="16" t="n"/>
      <c r="Q172" s="24" t="n"/>
      <c r="R172" s="17" t="n"/>
      <c r="S172" s="17" t="n"/>
      <c r="T172" s="27" t="n"/>
      <c r="U172" s="27" t="n"/>
      <c r="V172" s="10" t="n"/>
    </row>
    <row r="173">
      <c r="A173" s="16" t="n"/>
      <c r="B173" s="17" t="n"/>
      <c r="C173" s="17" t="n"/>
      <c r="D173" s="10" t="n"/>
      <c r="E173" s="10" t="n"/>
      <c r="F173" s="17" t="n"/>
      <c r="G173" s="19" t="n"/>
      <c r="H173" s="16" t="n"/>
      <c r="I173" s="16" t="n"/>
      <c r="J173" s="16" t="n"/>
      <c r="K173" s="26" t="n"/>
      <c r="L173" s="26" t="n"/>
      <c r="M173" s="16" t="n"/>
      <c r="N173" s="9" t="n"/>
      <c r="O173" s="16" t="n"/>
      <c r="P173" s="16" t="n"/>
      <c r="Q173" s="24" t="n"/>
      <c r="R173" s="17" t="n"/>
      <c r="S173" s="17" t="n"/>
      <c r="T173" s="27" t="n"/>
      <c r="U173" s="27" t="n"/>
      <c r="V173" s="10" t="n"/>
    </row>
    <row r="174">
      <c r="A174" s="16" t="n"/>
      <c r="B174" s="17" t="n"/>
      <c r="C174" s="17" t="n"/>
      <c r="D174" s="10" t="n"/>
      <c r="E174" s="10" t="n"/>
      <c r="F174" s="17" t="n"/>
      <c r="G174" s="19" t="n"/>
      <c r="H174" s="16" t="n"/>
      <c r="I174" s="16" t="n"/>
      <c r="J174" s="16" t="n"/>
      <c r="K174" s="26" t="n"/>
      <c r="L174" s="26" t="n"/>
      <c r="M174" s="16" t="n"/>
      <c r="N174" s="9" t="n"/>
      <c r="O174" s="16" t="n"/>
      <c r="P174" s="16" t="n"/>
      <c r="Q174" s="24" t="n"/>
      <c r="R174" s="17" t="n"/>
      <c r="S174" s="17" t="n"/>
      <c r="T174" s="27" t="n"/>
      <c r="U174" s="27" t="n"/>
      <c r="V174" s="10" t="n"/>
    </row>
    <row r="175">
      <c r="A175" s="16" t="n"/>
      <c r="B175" s="17" t="n"/>
      <c r="C175" s="17" t="n"/>
      <c r="D175" s="10" t="n"/>
      <c r="E175" s="10" t="n"/>
      <c r="F175" s="17" t="n"/>
      <c r="G175" s="19" t="n"/>
      <c r="H175" s="16" t="n"/>
      <c r="I175" s="16" t="n"/>
      <c r="J175" s="16" t="n"/>
      <c r="K175" s="26" t="n"/>
      <c r="L175" s="26" t="n"/>
      <c r="M175" s="16" t="n"/>
      <c r="N175" s="9" t="n"/>
      <c r="O175" s="16" t="n"/>
      <c r="P175" s="16" t="n"/>
      <c r="Q175" s="24" t="n"/>
      <c r="R175" s="17" t="n"/>
      <c r="S175" s="17" t="n"/>
      <c r="T175" s="27" t="n"/>
      <c r="U175" s="27" t="n"/>
      <c r="V175" s="10" t="n"/>
    </row>
    <row r="176">
      <c r="A176" s="16" t="n"/>
      <c r="B176" s="17" t="n"/>
      <c r="C176" s="17" t="n"/>
      <c r="D176" s="10" t="n"/>
      <c r="E176" s="10" t="n"/>
      <c r="F176" s="17" t="n"/>
      <c r="G176" s="19" t="n"/>
      <c r="H176" s="16" t="n"/>
      <c r="I176" s="16" t="n"/>
      <c r="J176" s="16" t="n"/>
      <c r="K176" s="26" t="n"/>
      <c r="L176" s="26" t="n"/>
      <c r="M176" s="16" t="n"/>
      <c r="N176" s="9" t="n"/>
      <c r="O176" s="16" t="n"/>
      <c r="P176" s="16" t="n"/>
      <c r="Q176" s="24" t="n"/>
      <c r="R176" s="17" t="n"/>
      <c r="S176" s="17" t="n"/>
      <c r="T176" s="27" t="n"/>
      <c r="U176" s="27" t="n"/>
      <c r="V176" s="10" t="n"/>
    </row>
    <row r="177">
      <c r="A177" s="16" t="n"/>
      <c r="B177" s="17" t="n"/>
      <c r="C177" s="17" t="n"/>
      <c r="D177" s="10" t="n"/>
      <c r="E177" s="10" t="n"/>
      <c r="F177" s="17" t="n"/>
      <c r="G177" s="19" t="n"/>
      <c r="H177" s="16" t="n"/>
      <c r="I177" s="16" t="n"/>
      <c r="J177" s="16" t="n"/>
      <c r="K177" s="26" t="n"/>
      <c r="L177" s="26" t="n"/>
      <c r="M177" s="16" t="n"/>
      <c r="N177" s="9" t="n"/>
      <c r="O177" s="16" t="n"/>
      <c r="P177" s="16" t="n"/>
      <c r="Q177" s="24" t="n"/>
      <c r="R177" s="17" t="n"/>
      <c r="S177" s="17" t="n"/>
      <c r="T177" s="27" t="n"/>
      <c r="U177" s="27" t="n"/>
      <c r="V177" s="10" t="n"/>
    </row>
    <row r="178">
      <c r="A178" s="16" t="n"/>
      <c r="B178" s="17" t="n"/>
      <c r="C178" s="17" t="n"/>
      <c r="D178" s="10" t="n"/>
      <c r="E178" s="10" t="n"/>
      <c r="F178" s="17" t="n"/>
      <c r="G178" s="19" t="n"/>
      <c r="H178" s="16" t="n"/>
      <c r="I178" s="16" t="n"/>
      <c r="J178" s="16" t="n"/>
      <c r="K178" s="26" t="n"/>
      <c r="L178" s="26" t="n"/>
      <c r="M178" s="16" t="n"/>
      <c r="N178" s="9" t="n"/>
      <c r="O178" s="16" t="n"/>
      <c r="P178" s="16" t="n"/>
      <c r="Q178" s="24" t="n"/>
      <c r="R178" s="17" t="n"/>
      <c r="S178" s="17" t="n"/>
      <c r="T178" s="27" t="n"/>
      <c r="U178" s="27" t="n"/>
      <c r="V178" s="10" t="n"/>
    </row>
    <row r="179">
      <c r="A179" s="16" t="n"/>
      <c r="B179" s="17" t="n"/>
      <c r="C179" s="17" t="n"/>
      <c r="D179" s="10" t="n"/>
      <c r="E179" s="10" t="n"/>
      <c r="F179" s="17" t="n"/>
      <c r="G179" s="19" t="n"/>
      <c r="H179" s="16" t="n"/>
      <c r="I179" s="16" t="n"/>
      <c r="J179" s="16" t="n"/>
      <c r="K179" s="26" t="n"/>
      <c r="L179" s="26" t="n"/>
      <c r="M179" s="16" t="n"/>
      <c r="N179" s="9" t="n"/>
      <c r="O179" s="16" t="n"/>
      <c r="P179" s="16" t="n"/>
      <c r="Q179" s="24" t="n"/>
      <c r="R179" s="17" t="n"/>
      <c r="S179" s="17" t="n"/>
      <c r="T179" s="27" t="n"/>
      <c r="U179" s="27" t="n"/>
      <c r="V179" s="10" t="n"/>
    </row>
    <row r="180">
      <c r="A180" s="16" t="n"/>
      <c r="B180" s="17" t="n"/>
      <c r="C180" s="17" t="n"/>
      <c r="D180" s="10" t="n"/>
      <c r="E180" s="10" t="n"/>
      <c r="F180" s="17" t="n"/>
      <c r="G180" s="19" t="n"/>
      <c r="H180" s="16" t="n"/>
      <c r="I180" s="16" t="n"/>
      <c r="J180" s="16" t="n"/>
      <c r="K180" s="26" t="n"/>
      <c r="L180" s="26" t="n"/>
      <c r="M180" s="16" t="n"/>
      <c r="N180" s="9" t="n"/>
      <c r="O180" s="16" t="n"/>
      <c r="P180" s="16" t="n"/>
      <c r="Q180" s="24" t="n"/>
      <c r="R180" s="17" t="n"/>
      <c r="S180" s="17" t="n"/>
      <c r="T180" s="27" t="n"/>
      <c r="U180" s="27" t="n"/>
      <c r="V180" s="10" t="n"/>
    </row>
    <row r="181">
      <c r="A181" s="16" t="n"/>
      <c r="B181" s="17" t="n"/>
      <c r="C181" s="17" t="n"/>
      <c r="D181" s="10" t="n"/>
      <c r="E181" s="10" t="n"/>
      <c r="F181" s="17" t="n"/>
      <c r="G181" s="19" t="n"/>
      <c r="H181" s="16" t="n"/>
      <c r="I181" s="16" t="n"/>
      <c r="J181" s="16" t="n"/>
      <c r="K181" s="26" t="n"/>
      <c r="L181" s="26" t="n"/>
      <c r="M181" s="16" t="n"/>
      <c r="N181" s="9" t="n"/>
      <c r="O181" s="16" t="n"/>
      <c r="P181" s="16" t="n"/>
      <c r="Q181" s="24" t="n"/>
      <c r="R181" s="17" t="n"/>
      <c r="S181" s="17" t="n"/>
      <c r="T181" s="27" t="n"/>
      <c r="U181" s="27" t="n"/>
      <c r="V181" s="10" t="n"/>
    </row>
    <row r="182">
      <c r="A182" s="16" t="n"/>
      <c r="B182" s="17" t="n"/>
      <c r="C182" s="17" t="n"/>
      <c r="D182" s="10" t="n"/>
      <c r="E182" s="10" t="n"/>
      <c r="F182" s="17" t="n"/>
      <c r="G182" s="19" t="n"/>
      <c r="H182" s="16" t="n"/>
      <c r="I182" s="16" t="n"/>
      <c r="J182" s="16" t="n"/>
      <c r="K182" s="26" t="n"/>
      <c r="L182" s="26" t="n"/>
      <c r="M182" s="16" t="n"/>
      <c r="N182" s="9" t="n"/>
      <c r="O182" s="16" t="n"/>
      <c r="P182" s="16" t="n"/>
      <c r="Q182" s="24" t="n"/>
      <c r="R182" s="17" t="n"/>
      <c r="S182" s="17" t="n"/>
      <c r="T182" s="27" t="n"/>
      <c r="U182" s="27" t="n"/>
      <c r="V182" s="10" t="n"/>
    </row>
    <row r="183">
      <c r="A183" s="16" t="n"/>
      <c r="B183" s="17" t="n"/>
      <c r="C183" s="17" t="n"/>
      <c r="D183" s="10" t="n"/>
      <c r="E183" s="10" t="n"/>
      <c r="F183" s="17" t="n"/>
      <c r="G183" s="19" t="n"/>
      <c r="H183" s="16" t="n"/>
      <c r="I183" s="16" t="n"/>
      <c r="J183" s="16" t="n"/>
      <c r="K183" s="26" t="n"/>
      <c r="L183" s="26" t="n"/>
      <c r="M183" s="16" t="n"/>
      <c r="N183" s="9" t="n"/>
      <c r="O183" s="16" t="n"/>
      <c r="P183" s="16" t="n"/>
      <c r="Q183" s="24" t="n"/>
      <c r="R183" s="17" t="n"/>
      <c r="S183" s="17" t="n"/>
      <c r="T183" s="27" t="n"/>
      <c r="U183" s="27" t="n"/>
      <c r="V183" s="10" t="n"/>
    </row>
    <row r="184">
      <c r="A184" s="16" t="n"/>
      <c r="B184" s="17" t="n"/>
      <c r="C184" s="17" t="n"/>
      <c r="D184" s="10" t="n"/>
      <c r="E184" s="10" t="n"/>
      <c r="F184" s="17" t="n"/>
      <c r="G184" s="19" t="n"/>
      <c r="H184" s="16" t="n"/>
      <c r="I184" s="16" t="n"/>
      <c r="J184" s="16" t="n"/>
      <c r="K184" s="26" t="n"/>
      <c r="L184" s="26" t="n"/>
      <c r="M184" s="16" t="n"/>
      <c r="N184" s="9" t="n"/>
      <c r="O184" s="16" t="n"/>
      <c r="P184" s="16" t="n"/>
      <c r="Q184" s="24" t="n"/>
      <c r="R184" s="17" t="n"/>
      <c r="S184" s="17" t="n"/>
      <c r="T184" s="27" t="n"/>
      <c r="U184" s="27" t="n"/>
      <c r="V184" s="10" t="n"/>
    </row>
    <row r="185">
      <c r="A185" s="16" t="n"/>
      <c r="B185" s="17" t="n"/>
      <c r="C185" s="17" t="n"/>
      <c r="D185" s="10" t="n"/>
      <c r="E185" s="10" t="n"/>
      <c r="F185" s="17" t="n"/>
      <c r="G185" s="19" t="n"/>
      <c r="H185" s="16" t="n"/>
      <c r="I185" s="16" t="n"/>
      <c r="J185" s="16" t="n"/>
      <c r="K185" s="26" t="n"/>
      <c r="L185" s="26" t="n"/>
      <c r="M185" s="16" t="n"/>
      <c r="N185" s="9" t="n"/>
      <c r="O185" s="16" t="n"/>
      <c r="P185" s="16" t="n"/>
      <c r="Q185" s="24" t="n"/>
      <c r="R185" s="17" t="n"/>
      <c r="S185" s="17" t="n"/>
      <c r="T185" s="27" t="n"/>
      <c r="U185" s="27" t="n"/>
      <c r="V185" s="10" t="n"/>
    </row>
    <row r="186">
      <c r="A186" s="16" t="n"/>
      <c r="B186" s="17" t="n"/>
      <c r="C186" s="17" t="n"/>
      <c r="D186" s="10" t="n"/>
      <c r="E186" s="10" t="n"/>
      <c r="F186" s="17" t="n"/>
      <c r="G186" s="19" t="n"/>
      <c r="H186" s="16" t="n"/>
      <c r="I186" s="16" t="n"/>
      <c r="J186" s="16" t="n"/>
      <c r="K186" s="26" t="n"/>
      <c r="L186" s="26" t="n"/>
      <c r="M186" s="16" t="n"/>
      <c r="N186" s="9" t="n"/>
      <c r="O186" s="16" t="n"/>
      <c r="P186" s="16" t="n"/>
      <c r="Q186" s="24" t="n"/>
      <c r="R186" s="17" t="n"/>
      <c r="S186" s="17" t="n"/>
      <c r="T186" s="27" t="n"/>
      <c r="U186" s="27" t="n"/>
      <c r="V186" s="10" t="n"/>
    </row>
    <row r="187">
      <c r="A187" s="16" t="n"/>
      <c r="B187" s="17" t="n"/>
      <c r="C187" s="17" t="n"/>
      <c r="D187" s="10" t="n"/>
      <c r="E187" s="10" t="n"/>
      <c r="F187" s="17" t="n"/>
      <c r="G187" s="19" t="n"/>
      <c r="H187" s="16" t="n"/>
      <c r="I187" s="16" t="n"/>
      <c r="J187" s="16" t="n"/>
      <c r="K187" s="26" t="n"/>
      <c r="L187" s="26" t="n"/>
      <c r="M187" s="16" t="n"/>
      <c r="N187" s="9" t="n"/>
      <c r="O187" s="16" t="n"/>
      <c r="P187" s="16" t="n"/>
      <c r="Q187" s="24" t="n"/>
      <c r="R187" s="17" t="n"/>
      <c r="S187" s="17" t="n"/>
      <c r="T187" s="27" t="n"/>
      <c r="U187" s="27" t="n"/>
      <c r="V187" s="10" t="n"/>
    </row>
    <row r="188">
      <c r="A188" s="16" t="n"/>
      <c r="B188" s="17" t="n"/>
      <c r="C188" s="17" t="n"/>
      <c r="D188" s="10" t="n"/>
      <c r="E188" s="10" t="n"/>
      <c r="F188" s="17" t="n"/>
      <c r="G188" s="19" t="n"/>
      <c r="H188" s="16" t="n"/>
      <c r="I188" s="16" t="n"/>
      <c r="J188" s="16" t="n"/>
      <c r="K188" s="26" t="n"/>
      <c r="L188" s="26" t="n"/>
      <c r="M188" s="16" t="n"/>
      <c r="N188" s="9" t="n"/>
      <c r="O188" s="16" t="n"/>
      <c r="P188" s="16" t="n"/>
      <c r="Q188" s="24" t="n"/>
      <c r="R188" s="17" t="n"/>
      <c r="S188" s="17" t="n"/>
      <c r="T188" s="27" t="n"/>
      <c r="U188" s="27" t="n"/>
      <c r="V188" s="10" t="n"/>
    </row>
    <row r="189">
      <c r="A189" s="16" t="n"/>
      <c r="B189" s="17" t="n"/>
      <c r="C189" s="17" t="n"/>
      <c r="D189" s="10" t="n"/>
      <c r="E189" s="10" t="n"/>
      <c r="F189" s="17" t="n"/>
      <c r="G189" s="19" t="n"/>
      <c r="H189" s="16" t="n"/>
      <c r="I189" s="16" t="n"/>
      <c r="J189" s="16" t="n"/>
      <c r="K189" s="26" t="n"/>
      <c r="L189" s="26" t="n"/>
      <c r="M189" s="16" t="n"/>
      <c r="N189" s="9" t="n"/>
      <c r="O189" s="16" t="n"/>
      <c r="P189" s="16" t="n"/>
      <c r="Q189" s="24" t="n"/>
      <c r="R189" s="17" t="n"/>
      <c r="S189" s="17" t="n"/>
      <c r="T189" s="27" t="n"/>
      <c r="U189" s="27" t="n"/>
      <c r="V189" s="10" t="n"/>
    </row>
    <row r="190">
      <c r="A190" s="16" t="n"/>
      <c r="B190" s="17" t="n"/>
      <c r="C190" s="17" t="n"/>
      <c r="D190" s="10" t="n"/>
      <c r="E190" s="10" t="n"/>
      <c r="F190" s="17" t="n"/>
      <c r="G190" s="19" t="n"/>
      <c r="H190" s="16" t="n"/>
      <c r="I190" s="16" t="n"/>
      <c r="J190" s="16" t="n"/>
      <c r="K190" s="26" t="n"/>
      <c r="L190" s="26" t="n"/>
      <c r="M190" s="16" t="n"/>
      <c r="N190" s="9" t="n"/>
      <c r="O190" s="16" t="n"/>
      <c r="P190" s="16" t="n"/>
      <c r="Q190" s="24" t="n"/>
      <c r="R190" s="17" t="n"/>
      <c r="S190" s="17" t="n"/>
      <c r="T190" s="27" t="n"/>
      <c r="U190" s="27" t="n"/>
      <c r="V190" s="10" t="n"/>
    </row>
    <row r="191">
      <c r="A191" s="16" t="n"/>
      <c r="B191" s="17" t="n"/>
      <c r="C191" s="17" t="n"/>
      <c r="D191" s="10" t="n"/>
      <c r="E191" s="10" t="n"/>
      <c r="F191" s="17" t="n"/>
      <c r="G191" s="19" t="n"/>
      <c r="H191" s="16" t="n"/>
      <c r="I191" s="16" t="n"/>
      <c r="J191" s="16" t="n"/>
      <c r="K191" s="26" t="n"/>
      <c r="L191" s="26" t="n"/>
      <c r="M191" s="16" t="n"/>
      <c r="N191" s="9" t="n"/>
      <c r="O191" s="16" t="n"/>
      <c r="P191" s="16" t="n"/>
      <c r="Q191" s="24" t="n"/>
      <c r="R191" s="17" t="n"/>
      <c r="S191" s="17" t="n"/>
      <c r="T191" s="27" t="n"/>
      <c r="U191" s="27" t="n"/>
      <c r="V191" s="10" t="n"/>
    </row>
    <row r="192">
      <c r="A192" s="16" t="n"/>
      <c r="B192" s="17" t="n"/>
      <c r="C192" s="17" t="n"/>
      <c r="D192" s="10" t="n"/>
      <c r="E192" s="10" t="n"/>
      <c r="F192" s="17" t="n"/>
      <c r="G192" s="19" t="n"/>
      <c r="H192" s="16" t="n"/>
      <c r="I192" s="16" t="n"/>
      <c r="J192" s="16" t="n"/>
      <c r="K192" s="26" t="n"/>
      <c r="L192" s="26" t="n"/>
      <c r="M192" s="16" t="n"/>
      <c r="N192" s="9" t="n"/>
      <c r="O192" s="16" t="n"/>
      <c r="P192" s="16" t="n"/>
      <c r="Q192" s="24" t="n"/>
      <c r="R192" s="17" t="n"/>
      <c r="S192" s="17" t="n"/>
      <c r="T192" s="27" t="n"/>
      <c r="U192" s="27" t="n"/>
      <c r="V192" s="10" t="n"/>
    </row>
    <row r="193">
      <c r="A193" s="16" t="n"/>
      <c r="B193" s="17" t="n"/>
      <c r="C193" s="17" t="n"/>
      <c r="D193" s="10" t="n"/>
      <c r="E193" s="10" t="n"/>
      <c r="F193" s="17" t="n"/>
      <c r="G193" s="19" t="n"/>
      <c r="H193" s="16" t="n"/>
      <c r="I193" s="16" t="n"/>
      <c r="J193" s="16" t="n"/>
      <c r="K193" s="26" t="n"/>
      <c r="L193" s="26" t="n"/>
      <c r="M193" s="16" t="n"/>
      <c r="N193" s="9" t="n"/>
      <c r="O193" s="16" t="n"/>
      <c r="P193" s="16" t="n"/>
      <c r="Q193" s="24" t="n"/>
      <c r="R193" s="17" t="n"/>
      <c r="S193" s="17" t="n"/>
      <c r="T193" s="27" t="n"/>
      <c r="U193" s="27" t="n"/>
      <c r="V193" s="10" t="n"/>
    </row>
    <row r="194">
      <c r="A194" s="16" t="n"/>
      <c r="B194" s="17" t="n"/>
      <c r="C194" s="17" t="n"/>
      <c r="D194" s="10" t="n"/>
      <c r="E194" s="10" t="n"/>
      <c r="F194" s="17" t="n"/>
      <c r="G194" s="19" t="n"/>
      <c r="H194" s="16" t="n"/>
      <c r="I194" s="16" t="n"/>
      <c r="J194" s="16" t="n"/>
      <c r="K194" s="26" t="n"/>
      <c r="L194" s="26" t="n"/>
      <c r="M194" s="16" t="n"/>
      <c r="N194" s="9" t="n"/>
      <c r="O194" s="16" t="n"/>
      <c r="P194" s="16" t="n"/>
      <c r="Q194" s="24" t="n"/>
      <c r="R194" s="17" t="n"/>
      <c r="S194" s="17" t="n"/>
      <c r="T194" s="27" t="n"/>
      <c r="U194" s="27" t="n"/>
      <c r="V194" s="10" t="n"/>
    </row>
    <row r="195">
      <c r="A195" s="16" t="n"/>
      <c r="B195" s="17" t="n"/>
      <c r="C195" s="17" t="n"/>
      <c r="D195" s="10" t="n"/>
      <c r="E195" s="10" t="n"/>
      <c r="F195" s="17" t="n"/>
      <c r="G195" s="19" t="n"/>
      <c r="H195" s="16" t="n"/>
      <c r="I195" s="16" t="n"/>
      <c r="J195" s="16" t="n"/>
      <c r="K195" s="26" t="n"/>
      <c r="L195" s="26" t="n"/>
      <c r="M195" s="16" t="n"/>
      <c r="N195" s="9" t="n"/>
      <c r="O195" s="16" t="n"/>
      <c r="P195" s="16" t="n"/>
      <c r="Q195" s="24" t="n"/>
      <c r="R195" s="17" t="n"/>
      <c r="S195" s="17" t="n"/>
      <c r="T195" s="27" t="n"/>
      <c r="U195" s="27" t="n"/>
      <c r="V195" s="10" t="n"/>
    </row>
    <row r="196">
      <c r="A196" s="16" t="n"/>
      <c r="B196" s="17" t="n"/>
      <c r="C196" s="17" t="n"/>
      <c r="D196" s="10" t="n"/>
      <c r="E196" s="10" t="n"/>
      <c r="F196" s="17" t="n"/>
      <c r="G196" s="19" t="n"/>
      <c r="H196" s="16" t="n"/>
      <c r="I196" s="16" t="n"/>
      <c r="J196" s="16" t="n"/>
      <c r="K196" s="26" t="n"/>
      <c r="L196" s="26" t="n"/>
      <c r="M196" s="16" t="n"/>
      <c r="N196" s="9" t="n"/>
      <c r="O196" s="16" t="n"/>
      <c r="P196" s="16" t="n"/>
      <c r="Q196" s="24" t="n"/>
      <c r="R196" s="17" t="n"/>
      <c r="S196" s="17" t="n"/>
      <c r="T196" s="27" t="n"/>
      <c r="U196" s="27" t="n"/>
      <c r="V196" s="10" t="n"/>
    </row>
    <row r="197">
      <c r="A197" s="16" t="n"/>
      <c r="B197" s="17" t="n"/>
      <c r="C197" s="17" t="n"/>
      <c r="D197" s="10" t="n"/>
      <c r="E197" s="10" t="n"/>
      <c r="F197" s="17" t="n"/>
      <c r="G197" s="19" t="n"/>
      <c r="H197" s="16" t="n"/>
      <c r="I197" s="16" t="n"/>
      <c r="J197" s="16" t="n"/>
      <c r="K197" s="26" t="n"/>
      <c r="L197" s="26" t="n"/>
      <c r="M197" s="16" t="n"/>
      <c r="N197" s="9" t="n"/>
      <c r="O197" s="16" t="n"/>
      <c r="P197" s="16" t="n"/>
      <c r="Q197" s="24" t="n"/>
      <c r="R197" s="17" t="n"/>
      <c r="S197" s="17" t="n"/>
      <c r="T197" s="27" t="n"/>
      <c r="U197" s="27" t="n"/>
      <c r="V197" s="10" t="n"/>
    </row>
    <row r="198">
      <c r="A198" s="16" t="n"/>
      <c r="B198" s="17" t="n"/>
      <c r="C198" s="17" t="n"/>
      <c r="D198" s="10" t="n"/>
      <c r="E198" s="10" t="n"/>
      <c r="F198" s="17" t="n"/>
      <c r="G198" s="19" t="n"/>
      <c r="H198" s="16" t="n"/>
      <c r="I198" s="16" t="n"/>
      <c r="J198" s="16" t="n"/>
      <c r="K198" s="26" t="n"/>
      <c r="L198" s="26" t="n"/>
      <c r="M198" s="16" t="n"/>
      <c r="N198" s="9" t="n"/>
      <c r="O198" s="16" t="n"/>
      <c r="P198" s="16" t="n"/>
      <c r="Q198" s="24" t="n"/>
      <c r="R198" s="17" t="n"/>
      <c r="S198" s="17" t="n"/>
      <c r="T198" s="27" t="n"/>
      <c r="U198" s="27" t="n"/>
      <c r="V198" s="10" t="n"/>
    </row>
    <row r="199">
      <c r="A199" s="16" t="n"/>
      <c r="B199" s="17" t="n"/>
      <c r="C199" s="17" t="n"/>
      <c r="D199" s="10" t="n"/>
      <c r="E199" s="10" t="n"/>
      <c r="F199" s="17" t="n"/>
      <c r="G199" s="19" t="n"/>
      <c r="H199" s="16" t="n"/>
      <c r="I199" s="16" t="n"/>
      <c r="J199" s="16" t="n"/>
      <c r="K199" s="26" t="n"/>
      <c r="L199" s="26" t="n"/>
      <c r="M199" s="16" t="n"/>
      <c r="N199" s="9" t="n"/>
      <c r="O199" s="16" t="n"/>
      <c r="P199" s="16" t="n"/>
      <c r="Q199" s="24" t="n"/>
      <c r="R199" s="17" t="n"/>
      <c r="S199" s="17" t="n"/>
      <c r="T199" s="27" t="n"/>
      <c r="U199" s="27" t="n"/>
      <c r="V199" s="10" t="n"/>
    </row>
    <row r="200">
      <c r="A200" s="16" t="n"/>
      <c r="B200" s="17" t="n"/>
      <c r="C200" s="17" t="n"/>
      <c r="D200" s="10" t="n"/>
      <c r="E200" s="10" t="n"/>
      <c r="F200" s="17" t="n"/>
      <c r="G200" s="19" t="n"/>
      <c r="H200" s="16" t="n"/>
      <c r="I200" s="16" t="n"/>
      <c r="J200" s="16" t="n"/>
      <c r="K200" s="26" t="n"/>
      <c r="L200" s="26" t="n"/>
      <c r="M200" s="16" t="n"/>
      <c r="N200" s="9" t="n"/>
      <c r="O200" s="16" t="n"/>
      <c r="P200" s="16" t="n"/>
      <c r="Q200" s="24" t="n"/>
      <c r="R200" s="17" t="n"/>
      <c r="S200" s="17" t="n"/>
      <c r="T200" s="27" t="n"/>
      <c r="U200" s="27" t="n"/>
      <c r="V200" s="10" t="n"/>
    </row>
    <row r="201">
      <c r="A201" s="16" t="n"/>
      <c r="B201" s="17" t="n"/>
      <c r="C201" s="17" t="n"/>
      <c r="D201" s="10" t="n"/>
      <c r="E201" s="10" t="n"/>
      <c r="F201" s="17" t="n"/>
      <c r="G201" s="19" t="n"/>
      <c r="H201" s="16" t="n"/>
      <c r="I201" s="16" t="n"/>
      <c r="J201" s="16" t="n"/>
      <c r="K201" s="26" t="n"/>
      <c r="L201" s="26" t="n"/>
      <c r="M201" s="16" t="n"/>
      <c r="N201" s="9" t="n"/>
      <c r="O201" s="16" t="n"/>
      <c r="P201" s="16" t="n"/>
      <c r="Q201" s="24" t="n"/>
      <c r="R201" s="17" t="n"/>
      <c r="S201" s="17" t="n"/>
      <c r="T201" s="27" t="n"/>
      <c r="U201" s="27" t="n"/>
      <c r="V201" s="10" t="n"/>
    </row>
    <row r="202">
      <c r="A202" s="16" t="n"/>
      <c r="B202" s="17" t="n"/>
      <c r="C202" s="17" t="n"/>
      <c r="D202" s="10" t="n"/>
      <c r="E202" s="10" t="n"/>
      <c r="F202" s="17" t="n"/>
      <c r="G202" s="19" t="n"/>
      <c r="H202" s="16" t="n"/>
      <c r="I202" s="16" t="n"/>
      <c r="J202" s="16" t="n"/>
      <c r="K202" s="26" t="n"/>
      <c r="L202" s="26" t="n"/>
      <c r="M202" s="16" t="n"/>
      <c r="N202" s="9" t="n"/>
      <c r="O202" s="16" t="n"/>
      <c r="P202" s="16" t="n"/>
      <c r="Q202" s="24" t="n"/>
      <c r="R202" s="17" t="n"/>
      <c r="S202" s="17" t="n"/>
      <c r="T202" s="27" t="n"/>
      <c r="U202" s="27" t="n"/>
      <c r="V202" s="10" t="n"/>
    </row>
    <row r="203">
      <c r="A203" s="16" t="n"/>
      <c r="B203" s="17" t="n"/>
      <c r="C203" s="17" t="n"/>
      <c r="D203" s="10" t="n"/>
      <c r="E203" s="10" t="n"/>
      <c r="F203" s="17" t="n"/>
      <c r="G203" s="19" t="n"/>
      <c r="H203" s="16" t="n"/>
      <c r="I203" s="16" t="n"/>
      <c r="J203" s="16" t="n"/>
      <c r="K203" s="26" t="n"/>
      <c r="L203" s="26" t="n"/>
      <c r="M203" s="16" t="n"/>
      <c r="N203" s="9" t="n"/>
      <c r="O203" s="16" t="n"/>
      <c r="P203" s="16" t="n"/>
      <c r="Q203" s="24" t="n"/>
      <c r="R203" s="17" t="n"/>
      <c r="S203" s="17" t="n"/>
      <c r="T203" s="27" t="n"/>
      <c r="U203" s="27" t="n"/>
      <c r="V203" s="10" t="n"/>
    </row>
    <row r="204">
      <c r="A204" s="16" t="n"/>
      <c r="B204" s="17" t="n"/>
      <c r="C204" s="17" t="n"/>
      <c r="D204" s="10" t="n"/>
      <c r="E204" s="10" t="n"/>
      <c r="F204" s="17" t="n"/>
      <c r="G204" s="19" t="n"/>
      <c r="H204" s="16" t="n"/>
      <c r="I204" s="16" t="n"/>
      <c r="J204" s="16" t="n"/>
      <c r="K204" s="26" t="n"/>
      <c r="L204" s="26" t="n"/>
      <c r="M204" s="16" t="n"/>
      <c r="N204" s="9" t="n"/>
      <c r="O204" s="16" t="n"/>
      <c r="P204" s="16" t="n"/>
      <c r="Q204" s="24" t="n"/>
      <c r="R204" s="17" t="n"/>
      <c r="S204" s="17" t="n"/>
      <c r="T204" s="27" t="n"/>
      <c r="U204" s="27" t="n"/>
      <c r="V204" s="10" t="n"/>
    </row>
    <row r="205">
      <c r="A205" s="16" t="n"/>
      <c r="B205" s="17" t="n"/>
      <c r="C205" s="17" t="n"/>
      <c r="D205" s="10" t="n"/>
      <c r="E205" s="10" t="n"/>
      <c r="F205" s="17" t="n"/>
      <c r="G205" s="19" t="n"/>
      <c r="H205" s="16" t="n"/>
      <c r="I205" s="16" t="n"/>
      <c r="J205" s="16" t="n"/>
      <c r="K205" s="26" t="n"/>
      <c r="L205" s="26" t="n"/>
      <c r="M205" s="16" t="n"/>
      <c r="N205" s="9" t="n"/>
      <c r="O205" s="16" t="n"/>
      <c r="P205" s="16" t="n"/>
      <c r="Q205" s="24" t="n"/>
      <c r="R205" s="17" t="n"/>
      <c r="S205" s="17" t="n"/>
      <c r="T205" s="27" t="n"/>
      <c r="U205" s="27" t="n"/>
      <c r="V205" s="10" t="n"/>
    </row>
    <row r="206">
      <c r="A206" s="16" t="n"/>
      <c r="B206" s="17" t="n"/>
      <c r="C206" s="17" t="n"/>
      <c r="D206" s="10" t="n"/>
      <c r="E206" s="10" t="n"/>
      <c r="F206" s="17" t="n"/>
      <c r="G206" s="19" t="n"/>
      <c r="H206" s="16" t="n"/>
      <c r="I206" s="16" t="n"/>
      <c r="J206" s="16" t="n"/>
      <c r="K206" s="26" t="n"/>
      <c r="L206" s="26" t="n"/>
      <c r="M206" s="16" t="n"/>
      <c r="N206" s="9" t="n"/>
      <c r="O206" s="16" t="n"/>
      <c r="P206" s="16" t="n"/>
      <c r="Q206" s="24" t="n"/>
      <c r="R206" s="17" t="n"/>
      <c r="S206" s="17" t="n"/>
      <c r="T206" s="27" t="n"/>
      <c r="U206" s="27" t="n"/>
      <c r="V206" s="10" t="n"/>
    </row>
    <row r="207">
      <c r="A207" s="16" t="n"/>
      <c r="B207" s="17" t="n"/>
      <c r="C207" s="17" t="n"/>
      <c r="D207" s="10" t="n"/>
      <c r="E207" s="10" t="n"/>
      <c r="F207" s="17" t="n"/>
      <c r="G207" s="19" t="n"/>
      <c r="H207" s="16" t="n"/>
      <c r="I207" s="16" t="n"/>
      <c r="J207" s="16" t="n"/>
      <c r="K207" s="26" t="n"/>
      <c r="L207" s="26" t="n"/>
      <c r="M207" s="16" t="n"/>
      <c r="N207" s="9" t="n"/>
      <c r="O207" s="16" t="n"/>
      <c r="P207" s="16" t="n"/>
      <c r="Q207" s="24" t="n"/>
      <c r="R207" s="17" t="n"/>
      <c r="S207" s="17" t="n"/>
      <c r="T207" s="27" t="n"/>
      <c r="U207" s="27" t="n"/>
      <c r="V207" s="10" t="n"/>
    </row>
    <row r="208">
      <c r="A208" s="16" t="n"/>
      <c r="B208" s="17" t="n"/>
      <c r="C208" s="17" t="n"/>
      <c r="D208" s="10" t="n"/>
      <c r="E208" s="10" t="n"/>
      <c r="F208" s="17" t="n"/>
      <c r="G208" s="19" t="n"/>
      <c r="H208" s="16" t="n"/>
      <c r="I208" s="16" t="n"/>
      <c r="J208" s="16" t="n"/>
      <c r="K208" s="26" t="n"/>
      <c r="L208" s="26" t="n"/>
      <c r="M208" s="16" t="n"/>
      <c r="N208" s="9" t="n"/>
      <c r="O208" s="16" t="n"/>
      <c r="P208" s="16" t="n"/>
      <c r="Q208" s="24" t="n"/>
      <c r="R208" s="17" t="n"/>
      <c r="S208" s="17" t="n"/>
      <c r="T208" s="27" t="n"/>
      <c r="U208" s="27" t="n"/>
      <c r="V208" s="10" t="n"/>
    </row>
    <row r="209">
      <c r="A209" s="16" t="n"/>
      <c r="B209" s="17" t="n"/>
      <c r="C209" s="17" t="n"/>
      <c r="D209" s="10" t="n"/>
      <c r="E209" s="10" t="n"/>
      <c r="F209" s="17" t="n"/>
      <c r="G209" s="19" t="n"/>
      <c r="H209" s="16" t="n"/>
      <c r="I209" s="16" t="n"/>
      <c r="J209" s="16" t="n"/>
      <c r="K209" s="26" t="n"/>
      <c r="L209" s="26" t="n"/>
      <c r="M209" s="16" t="n"/>
      <c r="N209" s="9" t="n"/>
      <c r="O209" s="16" t="n"/>
      <c r="P209" s="16" t="n"/>
      <c r="Q209" s="24" t="n"/>
      <c r="R209" s="17" t="n"/>
      <c r="S209" s="17" t="n"/>
      <c r="T209" s="27" t="n"/>
      <c r="U209" s="27" t="n"/>
      <c r="V209" s="10" t="n"/>
    </row>
    <row r="210">
      <c r="A210" s="16" t="n"/>
      <c r="B210" s="17" t="n"/>
      <c r="C210" s="17" t="n"/>
      <c r="D210" s="10" t="n"/>
      <c r="E210" s="10" t="n"/>
      <c r="F210" s="17" t="n"/>
      <c r="G210" s="19" t="n"/>
      <c r="H210" s="16" t="n"/>
      <c r="I210" s="16" t="n"/>
      <c r="J210" s="16" t="n"/>
      <c r="K210" s="26" t="n"/>
      <c r="L210" s="26" t="n"/>
      <c r="M210" s="16" t="n"/>
      <c r="N210" s="9" t="n"/>
      <c r="O210" s="16" t="n"/>
      <c r="P210" s="16" t="n"/>
      <c r="Q210" s="24" t="n"/>
      <c r="R210" s="17" t="n"/>
      <c r="S210" s="17" t="n"/>
      <c r="T210" s="27" t="n"/>
      <c r="U210" s="27" t="n"/>
      <c r="V210" s="10" t="n"/>
    </row>
    <row r="211">
      <c r="A211" s="16" t="n"/>
      <c r="B211" s="17" t="n"/>
      <c r="C211" s="17" t="n"/>
      <c r="D211" s="10" t="n"/>
      <c r="E211" s="10" t="n"/>
      <c r="F211" s="17" t="n"/>
      <c r="G211" s="19" t="n"/>
      <c r="H211" s="16" t="n"/>
      <c r="I211" s="16" t="n"/>
      <c r="J211" s="16" t="n"/>
      <c r="K211" s="26" t="n"/>
      <c r="L211" s="26" t="n"/>
      <c r="M211" s="16" t="n"/>
      <c r="N211" s="9" t="n"/>
      <c r="O211" s="16" t="n"/>
      <c r="P211" s="16" t="n"/>
      <c r="Q211" s="24" t="n"/>
      <c r="R211" s="17" t="n"/>
      <c r="S211" s="17" t="n"/>
      <c r="T211" s="27" t="n"/>
      <c r="U211" s="27" t="n"/>
      <c r="V211" s="10" t="n"/>
    </row>
    <row r="212">
      <c r="A212" s="16" t="n"/>
      <c r="B212" s="17" t="n"/>
      <c r="C212" s="17" t="n"/>
      <c r="D212" s="10" t="n"/>
      <c r="E212" s="10" t="n"/>
      <c r="F212" s="17" t="n"/>
      <c r="G212" s="19" t="n"/>
      <c r="H212" s="16" t="n"/>
      <c r="I212" s="16" t="n"/>
      <c r="J212" s="16" t="n"/>
      <c r="K212" s="26" t="n"/>
      <c r="L212" s="26" t="n"/>
      <c r="M212" s="16" t="n"/>
      <c r="N212" s="9" t="n"/>
      <c r="O212" s="16" t="n"/>
      <c r="P212" s="16" t="n"/>
      <c r="Q212" s="24" t="n"/>
      <c r="R212" s="17" t="n"/>
      <c r="S212" s="17" t="n"/>
      <c r="T212" s="27" t="n"/>
      <c r="U212" s="27" t="n"/>
      <c r="V212" s="10" t="n"/>
    </row>
    <row r="213">
      <c r="A213" s="16" t="n"/>
      <c r="B213" s="17" t="n"/>
      <c r="C213" s="17" t="n"/>
      <c r="D213" s="10" t="n"/>
      <c r="E213" s="10" t="n"/>
      <c r="F213" s="17" t="n"/>
      <c r="G213" s="19" t="n"/>
      <c r="H213" s="16" t="n"/>
      <c r="I213" s="16" t="n"/>
      <c r="J213" s="16" t="n"/>
      <c r="K213" s="26" t="n"/>
      <c r="L213" s="26" t="n"/>
      <c r="M213" s="16" t="n"/>
      <c r="N213" s="9" t="n"/>
      <c r="O213" s="16" t="n"/>
      <c r="P213" s="16" t="n"/>
      <c r="Q213" s="24" t="n"/>
      <c r="R213" s="17" t="n"/>
      <c r="S213" s="17" t="n"/>
      <c r="T213" s="27" t="n"/>
      <c r="U213" s="27" t="n"/>
      <c r="V213" s="10" t="n"/>
    </row>
    <row r="214">
      <c r="A214" s="16" t="n"/>
      <c r="B214" s="17" t="n"/>
      <c r="C214" s="17" t="n"/>
      <c r="D214" s="10" t="n"/>
      <c r="E214" s="10" t="n"/>
      <c r="F214" s="17" t="n"/>
      <c r="G214" s="19" t="n"/>
      <c r="H214" s="16" t="n"/>
      <c r="I214" s="16" t="n"/>
      <c r="J214" s="16" t="n"/>
      <c r="K214" s="26" t="n"/>
      <c r="L214" s="26" t="n"/>
      <c r="M214" s="16" t="n"/>
      <c r="N214" s="9" t="n"/>
      <c r="O214" s="16" t="n"/>
      <c r="P214" s="16" t="n"/>
      <c r="Q214" s="24" t="n"/>
      <c r="R214" s="17" t="n"/>
      <c r="S214" s="17" t="n"/>
      <c r="T214" s="27" t="n"/>
      <c r="U214" s="27" t="n"/>
      <c r="V214" s="10" t="n"/>
    </row>
    <row r="215">
      <c r="A215" s="16" t="n"/>
      <c r="B215" s="17" t="n"/>
      <c r="C215" s="17" t="n"/>
      <c r="D215" s="10" t="n"/>
      <c r="E215" s="10" t="n"/>
      <c r="F215" s="17" t="n"/>
      <c r="G215" s="19" t="n"/>
      <c r="H215" s="16" t="n"/>
      <c r="I215" s="16" t="n"/>
      <c r="J215" s="16" t="n"/>
      <c r="K215" s="26" t="n"/>
      <c r="L215" s="26" t="n"/>
      <c r="M215" s="16" t="n"/>
      <c r="N215" s="9" t="n"/>
      <c r="O215" s="16" t="n"/>
      <c r="P215" s="16" t="n"/>
      <c r="Q215" s="24" t="n"/>
      <c r="R215" s="17" t="n"/>
      <c r="S215" s="17" t="n"/>
      <c r="T215" s="27" t="n"/>
      <c r="U215" s="27" t="n"/>
      <c r="V215" s="10" t="n"/>
    </row>
    <row r="216">
      <c r="A216" s="16" t="n"/>
      <c r="B216" s="17" t="n"/>
      <c r="C216" s="17" t="n"/>
      <c r="D216" s="10" t="n"/>
      <c r="E216" s="10" t="n"/>
      <c r="F216" s="17" t="n"/>
      <c r="G216" s="19" t="n"/>
      <c r="H216" s="16" t="n"/>
      <c r="I216" s="16" t="n"/>
      <c r="J216" s="16" t="n"/>
      <c r="K216" s="26" t="n"/>
      <c r="L216" s="26" t="n"/>
      <c r="M216" s="16" t="n"/>
      <c r="N216" s="9" t="n"/>
      <c r="O216" s="16" t="n"/>
      <c r="P216" s="16" t="n"/>
      <c r="Q216" s="24" t="n"/>
      <c r="R216" s="17" t="n"/>
      <c r="S216" s="17" t="n"/>
      <c r="T216" s="27" t="n"/>
      <c r="U216" s="27" t="n"/>
      <c r="V216" s="10" t="n"/>
    </row>
    <row r="217">
      <c r="A217" s="16" t="n"/>
      <c r="B217" s="17" t="n"/>
      <c r="C217" s="17" t="n"/>
      <c r="D217" s="10" t="n"/>
      <c r="E217" s="10" t="n"/>
      <c r="F217" s="17" t="n"/>
      <c r="G217" s="19" t="n"/>
      <c r="H217" s="16" t="n"/>
      <c r="I217" s="16" t="n"/>
      <c r="J217" s="16" t="n"/>
      <c r="K217" s="26" t="n"/>
      <c r="L217" s="26" t="n"/>
      <c r="M217" s="16" t="n"/>
      <c r="N217" s="9" t="n"/>
      <c r="O217" s="16" t="n"/>
      <c r="P217" s="16" t="n"/>
      <c r="Q217" s="24" t="n"/>
      <c r="R217" s="17" t="n"/>
      <c r="S217" s="17" t="n"/>
      <c r="T217" s="27" t="n"/>
      <c r="U217" s="27" t="n"/>
      <c r="V217" s="10" t="n"/>
    </row>
    <row r="218">
      <c r="A218" s="16" t="n"/>
      <c r="B218" s="17" t="n"/>
      <c r="C218" s="17" t="n"/>
      <c r="D218" s="10" t="n"/>
      <c r="E218" s="10" t="n"/>
      <c r="F218" s="17" t="n"/>
      <c r="G218" s="19" t="n"/>
      <c r="H218" s="16" t="n"/>
      <c r="I218" s="16" t="n"/>
      <c r="J218" s="16" t="n"/>
      <c r="K218" s="26" t="n"/>
      <c r="L218" s="26" t="n"/>
      <c r="M218" s="16" t="n"/>
      <c r="N218" s="9" t="n"/>
      <c r="O218" s="16" t="n"/>
      <c r="P218" s="16" t="n"/>
      <c r="Q218" s="24" t="n"/>
      <c r="R218" s="17" t="n"/>
      <c r="S218" s="17" t="n"/>
      <c r="T218" s="27" t="n"/>
      <c r="U218" s="27" t="n"/>
      <c r="V218" s="10" t="n"/>
    </row>
    <row r="219">
      <c r="A219" s="16" t="n"/>
      <c r="B219" s="17" t="n"/>
      <c r="C219" s="17" t="n"/>
      <c r="D219" s="10" t="n"/>
      <c r="E219" s="10" t="n"/>
      <c r="F219" s="17" t="n"/>
      <c r="G219" s="19" t="n"/>
      <c r="H219" s="16" t="n"/>
      <c r="I219" s="16" t="n"/>
      <c r="J219" s="16" t="n"/>
      <c r="K219" s="26" t="n"/>
      <c r="L219" s="26" t="n"/>
      <c r="M219" s="16" t="n"/>
      <c r="N219" s="9" t="n"/>
      <c r="O219" s="16" t="n"/>
      <c r="P219" s="16" t="n"/>
      <c r="Q219" s="24" t="n"/>
      <c r="R219" s="17" t="n"/>
      <c r="S219" s="17" t="n"/>
      <c r="T219" s="27" t="n"/>
      <c r="U219" s="27" t="n"/>
      <c r="V219" s="10" t="n"/>
    </row>
    <row r="220">
      <c r="A220" s="16" t="n"/>
      <c r="B220" s="17" t="n"/>
      <c r="C220" s="17" t="n"/>
      <c r="D220" s="10" t="n"/>
      <c r="E220" s="10" t="n"/>
      <c r="F220" s="17" t="n"/>
      <c r="G220" s="19" t="n"/>
      <c r="H220" s="16" t="n"/>
      <c r="I220" s="16" t="n"/>
      <c r="J220" s="16" t="n"/>
      <c r="K220" s="26" t="n"/>
      <c r="L220" s="26" t="n"/>
      <c r="M220" s="16" t="n"/>
      <c r="N220" s="9" t="n"/>
      <c r="O220" s="16" t="n"/>
      <c r="P220" s="16" t="n"/>
      <c r="Q220" s="24" t="n"/>
      <c r="R220" s="17" t="n"/>
      <c r="S220" s="17" t="n"/>
      <c r="T220" s="27" t="n"/>
      <c r="U220" s="27" t="n"/>
      <c r="V220" s="10" t="n"/>
    </row>
    <row r="221">
      <c r="A221" s="16" t="n"/>
      <c r="B221" s="17" t="n"/>
      <c r="C221" s="17" t="n"/>
      <c r="D221" s="10" t="n"/>
      <c r="E221" s="10" t="n"/>
      <c r="F221" s="17" t="n"/>
      <c r="G221" s="19" t="n"/>
      <c r="H221" s="16" t="n"/>
      <c r="I221" s="16" t="n"/>
      <c r="J221" s="16" t="n"/>
      <c r="K221" s="26" t="n"/>
      <c r="L221" s="26" t="n"/>
      <c r="M221" s="16" t="n"/>
      <c r="N221" s="9" t="n"/>
      <c r="O221" s="16" t="n"/>
      <c r="P221" s="16" t="n"/>
      <c r="Q221" s="24" t="n"/>
      <c r="R221" s="17" t="n"/>
      <c r="S221" s="17" t="n"/>
      <c r="T221" s="27" t="n"/>
      <c r="U221" s="27" t="n"/>
      <c r="V221" s="10" t="n"/>
    </row>
    <row r="222">
      <c r="A222" s="16" t="n"/>
      <c r="B222" s="17" t="n"/>
      <c r="C222" s="17" t="n"/>
      <c r="D222" s="10" t="n"/>
      <c r="E222" s="10" t="n"/>
      <c r="F222" s="17" t="n"/>
      <c r="G222" s="19" t="n"/>
      <c r="H222" s="16" t="n"/>
      <c r="I222" s="16" t="n"/>
      <c r="J222" s="16" t="n"/>
      <c r="K222" s="26" t="n"/>
      <c r="L222" s="26" t="n"/>
      <c r="M222" s="16" t="n"/>
      <c r="N222" s="9" t="n"/>
      <c r="O222" s="16" t="n"/>
      <c r="P222" s="16" t="n"/>
      <c r="Q222" s="24" t="n"/>
      <c r="R222" s="17" t="n"/>
      <c r="S222" s="17" t="n"/>
      <c r="T222" s="27" t="n"/>
      <c r="U222" s="27" t="n"/>
      <c r="V222" s="10" t="n"/>
    </row>
    <row r="223">
      <c r="A223" s="16" t="n"/>
      <c r="B223" s="17" t="n"/>
      <c r="C223" s="17" t="n"/>
      <c r="D223" s="10" t="n"/>
      <c r="E223" s="10" t="n"/>
      <c r="F223" s="17" t="n"/>
      <c r="G223" s="19" t="n"/>
      <c r="H223" s="16" t="n"/>
      <c r="I223" s="16" t="n"/>
      <c r="J223" s="16" t="n"/>
      <c r="K223" s="26" t="n"/>
      <c r="L223" s="26" t="n"/>
      <c r="M223" s="16" t="n"/>
      <c r="N223" s="9" t="n"/>
      <c r="O223" s="16" t="n"/>
      <c r="P223" s="16" t="n"/>
      <c r="Q223" s="24" t="n"/>
      <c r="R223" s="17" t="n"/>
      <c r="S223" s="17" t="n"/>
      <c r="T223" s="27" t="n"/>
      <c r="U223" s="27" t="n"/>
      <c r="V223" s="10" t="n"/>
    </row>
    <row r="224">
      <c r="A224" s="16" t="n"/>
      <c r="B224" s="17" t="n"/>
      <c r="C224" s="17" t="n"/>
      <c r="D224" s="10" t="n"/>
      <c r="E224" s="10" t="n"/>
      <c r="F224" s="17" t="n"/>
      <c r="G224" s="19" t="n"/>
      <c r="H224" s="16" t="n"/>
      <c r="I224" s="16" t="n"/>
      <c r="J224" s="16" t="n"/>
      <c r="K224" s="26" t="n"/>
      <c r="L224" s="26" t="n"/>
      <c r="M224" s="16" t="n"/>
      <c r="N224" s="9" t="n"/>
      <c r="O224" s="16" t="n"/>
      <c r="P224" s="16" t="n"/>
      <c r="Q224" s="24" t="n"/>
      <c r="R224" s="17" t="n"/>
      <c r="S224" s="17" t="n"/>
      <c r="T224" s="27" t="n"/>
      <c r="U224" s="27" t="n"/>
      <c r="V224" s="10" t="n"/>
    </row>
    <row r="225">
      <c r="A225" s="16" t="n"/>
      <c r="B225" s="17" t="n"/>
      <c r="C225" s="17" t="n"/>
      <c r="D225" s="10" t="n"/>
      <c r="E225" s="10" t="n"/>
      <c r="F225" s="17" t="n"/>
      <c r="G225" s="19" t="n"/>
      <c r="H225" s="16" t="n"/>
      <c r="I225" s="16" t="n"/>
      <c r="J225" s="16" t="n"/>
      <c r="K225" s="26" t="n"/>
      <c r="L225" s="26" t="n"/>
      <c r="M225" s="16" t="n"/>
      <c r="N225" s="9" t="n"/>
      <c r="O225" s="16" t="n"/>
      <c r="P225" s="16" t="n"/>
      <c r="Q225" s="24" t="n"/>
      <c r="R225" s="17" t="n"/>
      <c r="S225" s="17" t="n"/>
      <c r="T225" s="27" t="n"/>
      <c r="U225" s="27" t="n"/>
      <c r="V225" s="10" t="n"/>
    </row>
    <row r="226">
      <c r="A226" s="16" t="n"/>
      <c r="B226" s="17" t="n"/>
      <c r="C226" s="17" t="n"/>
      <c r="D226" s="10" t="n"/>
      <c r="E226" s="10" t="n"/>
      <c r="F226" s="17" t="n"/>
      <c r="G226" s="19" t="n"/>
      <c r="H226" s="16" t="n"/>
      <c r="I226" s="16" t="n"/>
      <c r="J226" s="16" t="n"/>
      <c r="K226" s="26" t="n"/>
      <c r="L226" s="26" t="n"/>
      <c r="M226" s="16" t="n"/>
      <c r="N226" s="9" t="n"/>
      <c r="O226" s="16" t="n"/>
      <c r="P226" s="16" t="n"/>
      <c r="Q226" s="24" t="n"/>
      <c r="R226" s="17" t="n"/>
      <c r="S226" s="17" t="n"/>
      <c r="T226" s="27" t="n"/>
      <c r="U226" s="27" t="n"/>
      <c r="V226" s="10" t="n"/>
    </row>
    <row r="227">
      <c r="A227" s="16" t="n"/>
      <c r="B227" s="17" t="n"/>
      <c r="C227" s="17" t="n"/>
      <c r="D227" s="10" t="n"/>
      <c r="E227" s="10" t="n"/>
      <c r="F227" s="17" t="n"/>
      <c r="G227" s="19" t="n"/>
      <c r="H227" s="16" t="n"/>
      <c r="I227" s="16" t="n"/>
      <c r="J227" s="16" t="n"/>
      <c r="K227" s="26" t="n"/>
      <c r="L227" s="26" t="n"/>
      <c r="M227" s="16" t="n"/>
      <c r="N227" s="9" t="n"/>
      <c r="O227" s="16" t="n"/>
      <c r="P227" s="16" t="n"/>
      <c r="Q227" s="24" t="n"/>
      <c r="R227" s="17" t="n"/>
      <c r="S227" s="17" t="n"/>
      <c r="T227" s="27" t="n"/>
      <c r="U227" s="27" t="n"/>
      <c r="V227" s="10" t="n"/>
    </row>
    <row r="228">
      <c r="A228" s="16" t="n"/>
      <c r="B228" s="17" t="n"/>
      <c r="C228" s="17" t="n"/>
      <c r="D228" s="10" t="n"/>
      <c r="E228" s="10" t="n"/>
      <c r="F228" s="17" t="n"/>
      <c r="G228" s="19" t="n"/>
      <c r="H228" s="16" t="n"/>
      <c r="I228" s="16" t="n"/>
      <c r="J228" s="16" t="n"/>
      <c r="K228" s="26" t="n"/>
      <c r="L228" s="26" t="n"/>
      <c r="M228" s="16" t="n"/>
      <c r="N228" s="9" t="n"/>
      <c r="O228" s="16" t="n"/>
      <c r="P228" s="16" t="n"/>
      <c r="Q228" s="24" t="n"/>
      <c r="R228" s="17" t="n"/>
      <c r="S228" s="17" t="n"/>
      <c r="T228" s="27" t="n"/>
      <c r="U228" s="27" t="n"/>
      <c r="V228" s="10" t="n"/>
    </row>
    <row r="229">
      <c r="A229" s="16" t="n"/>
      <c r="B229" s="17" t="n"/>
      <c r="C229" s="17" t="n"/>
      <c r="D229" s="10" t="n"/>
      <c r="E229" s="10" t="n"/>
      <c r="F229" s="17" t="n"/>
      <c r="G229" s="19" t="n"/>
      <c r="H229" s="16" t="n"/>
      <c r="I229" s="16" t="n"/>
      <c r="J229" s="16" t="n"/>
      <c r="K229" s="26" t="n"/>
      <c r="L229" s="26" t="n"/>
      <c r="M229" s="16" t="n"/>
      <c r="N229" s="9" t="n"/>
      <c r="O229" s="16" t="n"/>
      <c r="P229" s="16" t="n"/>
      <c r="Q229" s="24" t="n"/>
      <c r="R229" s="17" t="n"/>
      <c r="S229" s="17" t="n"/>
      <c r="T229" s="27" t="n"/>
      <c r="U229" s="27" t="n"/>
      <c r="V229" s="10" t="n"/>
    </row>
    <row r="230">
      <c r="A230" s="16" t="n"/>
      <c r="B230" s="17" t="n"/>
      <c r="C230" s="17" t="n"/>
      <c r="D230" s="10" t="n"/>
      <c r="E230" s="10" t="n"/>
      <c r="F230" s="17" t="n"/>
      <c r="G230" s="19" t="n"/>
      <c r="H230" s="16" t="n"/>
      <c r="I230" s="16" t="n"/>
      <c r="J230" s="16" t="n"/>
      <c r="K230" s="26" t="n"/>
      <c r="L230" s="26" t="n"/>
      <c r="M230" s="16" t="n"/>
      <c r="N230" s="9" t="n"/>
      <c r="O230" s="16" t="n"/>
      <c r="P230" s="16" t="n"/>
      <c r="Q230" s="24" t="n"/>
      <c r="R230" s="17" t="n"/>
      <c r="S230" s="17" t="n"/>
      <c r="T230" s="27" t="n"/>
      <c r="U230" s="27" t="n"/>
      <c r="V230" s="10" t="n"/>
    </row>
    <row r="231">
      <c r="A231" s="16" t="n"/>
      <c r="B231" s="17" t="n"/>
      <c r="C231" s="17" t="n"/>
      <c r="D231" s="10" t="n"/>
      <c r="E231" s="10" t="n"/>
      <c r="F231" s="17" t="n"/>
      <c r="G231" s="19" t="n"/>
      <c r="H231" s="16" t="n"/>
      <c r="I231" s="16" t="n"/>
      <c r="J231" s="16" t="n"/>
      <c r="K231" s="26" t="n"/>
      <c r="L231" s="26" t="n"/>
      <c r="M231" s="16" t="n"/>
      <c r="N231" s="9" t="n"/>
      <c r="O231" s="16" t="n"/>
      <c r="P231" s="16" t="n"/>
      <c r="Q231" s="24" t="n"/>
      <c r="R231" s="17" t="n"/>
      <c r="S231" s="17" t="n"/>
      <c r="T231" s="27" t="n"/>
      <c r="U231" s="27" t="n"/>
      <c r="V231" s="10" t="n"/>
    </row>
    <row r="232">
      <c r="A232" s="16" t="n"/>
      <c r="B232" s="17" t="n"/>
      <c r="C232" s="17" t="n"/>
      <c r="D232" s="10" t="n"/>
      <c r="E232" s="10" t="n"/>
      <c r="F232" s="17" t="n"/>
      <c r="G232" s="19" t="n"/>
      <c r="H232" s="16" t="n"/>
      <c r="I232" s="16" t="n"/>
      <c r="J232" s="16" t="n"/>
      <c r="K232" s="26" t="n"/>
      <c r="L232" s="26" t="n"/>
      <c r="M232" s="16" t="n"/>
      <c r="N232" s="9" t="n"/>
      <c r="O232" s="16" t="n"/>
      <c r="P232" s="16" t="n"/>
      <c r="Q232" s="24" t="n"/>
      <c r="R232" s="17" t="n"/>
      <c r="S232" s="17" t="n"/>
      <c r="T232" s="27" t="n"/>
      <c r="U232" s="27" t="n"/>
      <c r="V232" s="10" t="n"/>
    </row>
    <row r="233">
      <c r="A233" s="16" t="n"/>
      <c r="B233" s="17" t="n"/>
      <c r="C233" s="17" t="n"/>
      <c r="D233" s="10" t="n"/>
      <c r="E233" s="10" t="n"/>
      <c r="F233" s="17" t="n"/>
      <c r="G233" s="19" t="n"/>
      <c r="H233" s="16" t="n"/>
      <c r="I233" s="16" t="n"/>
      <c r="J233" s="16" t="n"/>
      <c r="K233" s="26" t="n"/>
      <c r="L233" s="26" t="n"/>
      <c r="M233" s="16" t="n"/>
      <c r="N233" s="9" t="n"/>
      <c r="O233" s="16" t="n"/>
      <c r="P233" s="16" t="n"/>
      <c r="Q233" s="24" t="n"/>
      <c r="R233" s="17" t="n"/>
      <c r="S233" s="17" t="n"/>
      <c r="T233" s="27" t="n"/>
      <c r="U233" s="27" t="n"/>
      <c r="V233" s="10" t="n"/>
    </row>
    <row r="234">
      <c r="A234" s="16" t="n"/>
      <c r="B234" s="17" t="n"/>
      <c r="C234" s="17" t="n"/>
      <c r="D234" s="10" t="n"/>
      <c r="E234" s="10" t="n"/>
      <c r="F234" s="17" t="n"/>
      <c r="G234" s="19" t="n"/>
      <c r="H234" s="16" t="n"/>
      <c r="I234" s="16" t="n"/>
      <c r="J234" s="16" t="n"/>
      <c r="K234" s="26" t="n"/>
      <c r="L234" s="26" t="n"/>
      <c r="M234" s="16" t="n"/>
      <c r="N234" s="9" t="n"/>
      <c r="O234" s="16" t="n"/>
      <c r="P234" s="16" t="n"/>
      <c r="Q234" s="24" t="n"/>
      <c r="R234" s="17" t="n"/>
      <c r="S234" s="17" t="n"/>
      <c r="T234" s="27" t="n"/>
      <c r="U234" s="27" t="n"/>
      <c r="V234" s="10" t="n"/>
    </row>
    <row r="235">
      <c r="A235" s="16" t="n"/>
      <c r="B235" s="17" t="n"/>
      <c r="C235" s="17" t="n"/>
      <c r="D235" s="10" t="n"/>
      <c r="E235" s="10" t="n"/>
      <c r="F235" s="17" t="n"/>
      <c r="G235" s="19" t="n"/>
      <c r="H235" s="16" t="n"/>
      <c r="I235" s="16" t="n"/>
      <c r="J235" s="16" t="n"/>
      <c r="K235" s="26" t="n"/>
      <c r="L235" s="26" t="n"/>
      <c r="M235" s="16" t="n"/>
      <c r="N235" s="9" t="n"/>
      <c r="O235" s="16" t="n"/>
      <c r="P235" s="16" t="n"/>
      <c r="Q235" s="24" t="n"/>
      <c r="R235" s="17" t="n"/>
      <c r="S235" s="17" t="n"/>
      <c r="T235" s="27" t="n"/>
      <c r="U235" s="27" t="n"/>
      <c r="V235" s="10" t="n"/>
    </row>
    <row r="236">
      <c r="A236" s="16" t="n"/>
      <c r="B236" s="17" t="n"/>
      <c r="C236" s="17" t="n"/>
      <c r="D236" s="10" t="n"/>
      <c r="E236" s="10" t="n"/>
      <c r="F236" s="17" t="n"/>
      <c r="G236" s="19" t="n"/>
      <c r="H236" s="16" t="n"/>
      <c r="I236" s="16" t="n"/>
      <c r="J236" s="16" t="n"/>
      <c r="K236" s="26" t="n"/>
      <c r="L236" s="26" t="n"/>
      <c r="M236" s="16" t="n"/>
      <c r="N236" s="9" t="n"/>
      <c r="O236" s="16" t="n"/>
      <c r="P236" s="16" t="n"/>
      <c r="Q236" s="24" t="n"/>
      <c r="R236" s="17" t="n"/>
      <c r="S236" s="17" t="n"/>
      <c r="T236" s="27" t="n"/>
      <c r="U236" s="27" t="n"/>
      <c r="V236" s="10" t="n"/>
    </row>
    <row r="237">
      <c r="A237" s="16" t="n"/>
      <c r="B237" s="17" t="n"/>
      <c r="C237" s="17" t="n"/>
      <c r="D237" s="10" t="n"/>
      <c r="E237" s="10" t="n"/>
      <c r="F237" s="17" t="n"/>
      <c r="G237" s="19" t="n"/>
      <c r="H237" s="16" t="n"/>
      <c r="I237" s="16" t="n"/>
      <c r="J237" s="16" t="n"/>
      <c r="K237" s="26" t="n"/>
      <c r="L237" s="26" t="n"/>
      <c r="M237" s="16" t="n"/>
      <c r="N237" s="9" t="n"/>
      <c r="O237" s="16" t="n"/>
      <c r="P237" s="16" t="n"/>
      <c r="Q237" s="24" t="n"/>
      <c r="R237" s="17" t="n"/>
      <c r="S237" s="17" t="n"/>
      <c r="T237" s="27" t="n"/>
      <c r="U237" s="27" t="n"/>
      <c r="V237" s="10" t="n"/>
    </row>
    <row r="238">
      <c r="A238" s="16" t="n"/>
      <c r="B238" s="17" t="n"/>
      <c r="C238" s="17" t="n"/>
      <c r="D238" s="10" t="n"/>
      <c r="E238" s="10" t="n"/>
      <c r="F238" s="17" t="n"/>
      <c r="G238" s="19" t="n"/>
      <c r="H238" s="16" t="n"/>
      <c r="I238" s="16" t="n"/>
      <c r="J238" s="16" t="n"/>
      <c r="K238" s="26" t="n"/>
      <c r="L238" s="26" t="n"/>
      <c r="M238" s="16" t="n"/>
      <c r="N238" s="9" t="n"/>
      <c r="O238" s="16" t="n"/>
      <c r="P238" s="16" t="n"/>
      <c r="Q238" s="24" t="n"/>
      <c r="R238" s="17" t="n"/>
      <c r="S238" s="17" t="n"/>
      <c r="T238" s="27" t="n"/>
      <c r="U238" s="27" t="n"/>
      <c r="V238" s="10" t="n"/>
    </row>
    <row r="239">
      <c r="A239" s="16" t="n"/>
      <c r="B239" s="17" t="n"/>
      <c r="C239" s="17" t="n"/>
      <c r="D239" s="10" t="n"/>
      <c r="E239" s="10" t="n"/>
      <c r="F239" s="17" t="n"/>
      <c r="G239" s="19" t="n"/>
      <c r="H239" s="16" t="n"/>
      <c r="I239" s="16" t="n"/>
      <c r="J239" s="16" t="n"/>
      <c r="K239" s="26" t="n"/>
      <c r="L239" s="26" t="n"/>
      <c r="M239" s="16" t="n"/>
      <c r="N239" s="9" t="n"/>
      <c r="O239" s="16" t="n"/>
      <c r="P239" s="16" t="n"/>
      <c r="Q239" s="24" t="n"/>
      <c r="R239" s="17" t="n"/>
      <c r="S239" s="17" t="n"/>
      <c r="T239" s="27" t="n"/>
      <c r="U239" s="27" t="n"/>
      <c r="V239" s="10" t="n"/>
    </row>
    <row r="240">
      <c r="A240" s="16" t="n"/>
      <c r="B240" s="17" t="n"/>
      <c r="C240" s="17" t="n"/>
      <c r="D240" s="10" t="n"/>
      <c r="E240" s="10" t="n"/>
      <c r="F240" s="17" t="n"/>
      <c r="G240" s="19" t="n"/>
      <c r="H240" s="16" t="n"/>
      <c r="I240" s="16" t="n"/>
      <c r="J240" s="16" t="n"/>
      <c r="K240" s="26" t="n"/>
      <c r="L240" s="26" t="n"/>
      <c r="M240" s="16" t="n"/>
      <c r="N240" s="9" t="n"/>
      <c r="O240" s="16" t="n"/>
      <c r="P240" s="16" t="n"/>
      <c r="Q240" s="24" t="n"/>
      <c r="R240" s="17" t="n"/>
      <c r="S240" s="17" t="n"/>
      <c r="T240" s="27" t="n"/>
      <c r="U240" s="27" t="n"/>
      <c r="V240" s="10" t="n"/>
    </row>
    <row r="241">
      <c r="A241" s="16" t="n"/>
      <c r="B241" s="17" t="n"/>
      <c r="C241" s="17" t="n"/>
      <c r="D241" s="10" t="n"/>
      <c r="E241" s="10" t="n"/>
      <c r="F241" s="17" t="n"/>
      <c r="G241" s="19" t="n"/>
      <c r="H241" s="16" t="n"/>
      <c r="I241" s="16" t="n"/>
      <c r="J241" s="16" t="n"/>
      <c r="K241" s="26" t="n"/>
      <c r="L241" s="26" t="n"/>
      <c r="M241" s="16" t="n"/>
      <c r="N241" s="9" t="n"/>
      <c r="O241" s="16" t="n"/>
      <c r="P241" s="16" t="n"/>
      <c r="Q241" s="24" t="n"/>
      <c r="R241" s="17" t="n"/>
      <c r="S241" s="17" t="n"/>
      <c r="T241" s="27" t="n"/>
      <c r="U241" s="27" t="n"/>
      <c r="V241" s="10" t="n"/>
    </row>
    <row r="242">
      <c r="A242" s="16" t="n"/>
      <c r="B242" s="17" t="n"/>
      <c r="C242" s="17" t="n"/>
      <c r="D242" s="10" t="n"/>
      <c r="E242" s="10" t="n"/>
      <c r="F242" s="17" t="n"/>
      <c r="G242" s="19" t="n"/>
      <c r="H242" s="16" t="n"/>
      <c r="I242" s="16" t="n"/>
      <c r="J242" s="16" t="n"/>
      <c r="K242" s="26" t="n"/>
      <c r="L242" s="26" t="n"/>
      <c r="M242" s="16" t="n"/>
      <c r="N242" s="9" t="n"/>
      <c r="O242" s="16" t="n"/>
      <c r="P242" s="16" t="n"/>
      <c r="Q242" s="24" t="n"/>
      <c r="R242" s="17" t="n"/>
      <c r="S242" s="17" t="n"/>
      <c r="T242" s="27" t="n"/>
      <c r="U242" s="27" t="n"/>
      <c r="V242" s="10" t="n"/>
    </row>
    <row r="243">
      <c r="A243" s="16" t="n"/>
      <c r="B243" s="17" t="n"/>
      <c r="C243" s="17" t="n"/>
      <c r="D243" s="10" t="n"/>
      <c r="E243" s="10" t="n"/>
      <c r="F243" s="17" t="n"/>
      <c r="G243" s="19" t="n"/>
      <c r="H243" s="16" t="n"/>
      <c r="I243" s="16" t="n"/>
      <c r="J243" s="16" t="n"/>
      <c r="K243" s="26" t="n"/>
      <c r="L243" s="26" t="n"/>
      <c r="M243" s="16" t="n"/>
      <c r="N243" s="9" t="n"/>
      <c r="O243" s="16" t="n"/>
      <c r="P243" s="16" t="n"/>
      <c r="Q243" s="24" t="n"/>
      <c r="R243" s="17" t="n"/>
      <c r="S243" s="17" t="n"/>
      <c r="T243" s="27" t="n"/>
      <c r="U243" s="27" t="n"/>
      <c r="V243" s="10" t="n"/>
    </row>
    <row r="244">
      <c r="A244" s="16" t="n"/>
      <c r="B244" s="17" t="n"/>
      <c r="C244" s="17" t="n"/>
      <c r="D244" s="10" t="n"/>
      <c r="E244" s="10" t="n"/>
      <c r="F244" s="17" t="n"/>
      <c r="G244" s="19" t="n"/>
      <c r="H244" s="16" t="n"/>
      <c r="I244" s="16" t="n"/>
      <c r="J244" s="16" t="n"/>
      <c r="K244" s="26" t="n"/>
      <c r="L244" s="26" t="n"/>
      <c r="M244" s="16" t="n"/>
      <c r="N244" s="9" t="n"/>
      <c r="O244" s="16" t="n"/>
      <c r="P244" s="16" t="n"/>
      <c r="Q244" s="24" t="n"/>
      <c r="R244" s="17" t="n"/>
      <c r="S244" s="17" t="n"/>
      <c r="T244" s="27" t="n"/>
      <c r="U244" s="27" t="n"/>
      <c r="V244" s="10" t="n"/>
    </row>
    <row r="245">
      <c r="A245" s="16" t="n"/>
      <c r="B245" s="17" t="n"/>
      <c r="C245" s="17" t="n"/>
      <c r="D245" s="10" t="n"/>
      <c r="E245" s="10" t="n"/>
      <c r="F245" s="17" t="n"/>
      <c r="G245" s="19" t="n"/>
      <c r="H245" s="16" t="n"/>
      <c r="I245" s="16" t="n"/>
      <c r="J245" s="16" t="n"/>
      <c r="K245" s="26" t="n"/>
      <c r="L245" s="26" t="n"/>
      <c r="M245" s="16" t="n"/>
      <c r="N245" s="9" t="n"/>
      <c r="O245" s="16" t="n"/>
      <c r="P245" s="16" t="n"/>
      <c r="Q245" s="24" t="n"/>
      <c r="R245" s="17" t="n"/>
      <c r="S245" s="17" t="n"/>
      <c r="T245" s="27" t="n"/>
      <c r="U245" s="27" t="n"/>
      <c r="V245" s="10" t="n"/>
    </row>
    <row r="246">
      <c r="A246" s="16" t="n"/>
      <c r="B246" s="17" t="n"/>
      <c r="C246" s="17" t="n"/>
      <c r="D246" s="10" t="n"/>
      <c r="E246" s="10" t="n"/>
      <c r="F246" s="17" t="n"/>
      <c r="G246" s="19" t="n"/>
      <c r="H246" s="16" t="n"/>
      <c r="I246" s="16" t="n"/>
      <c r="J246" s="16" t="n"/>
      <c r="K246" s="26" t="n"/>
      <c r="L246" s="26" t="n"/>
      <c r="M246" s="16" t="n"/>
      <c r="N246" s="9" t="n"/>
      <c r="O246" s="16" t="n"/>
      <c r="P246" s="16" t="n"/>
      <c r="Q246" s="24" t="n"/>
      <c r="R246" s="17" t="n"/>
      <c r="S246" s="17" t="n"/>
      <c r="T246" s="27" t="n"/>
      <c r="U246" s="27" t="n"/>
      <c r="V246" s="10" t="n"/>
    </row>
    <row r="247">
      <c r="A247" s="16" t="n"/>
      <c r="B247" s="17" t="n"/>
      <c r="C247" s="17" t="n"/>
      <c r="D247" s="10" t="n"/>
      <c r="E247" s="10" t="n"/>
      <c r="F247" s="17" t="n"/>
      <c r="G247" s="19" t="n"/>
      <c r="H247" s="16" t="n"/>
      <c r="I247" s="16" t="n"/>
      <c r="J247" s="16" t="n"/>
      <c r="K247" s="26" t="n"/>
      <c r="L247" s="26" t="n"/>
      <c r="M247" s="16" t="n"/>
      <c r="N247" s="9" t="n"/>
      <c r="O247" s="16" t="n"/>
      <c r="P247" s="16" t="n"/>
      <c r="Q247" s="24" t="n"/>
      <c r="R247" s="17" t="n"/>
      <c r="S247" s="17" t="n"/>
      <c r="T247" s="27" t="n"/>
      <c r="U247" s="27" t="n"/>
      <c r="V247" s="10" t="n"/>
    </row>
    <row r="248">
      <c r="A248" s="16" t="n"/>
      <c r="B248" s="17" t="n"/>
      <c r="C248" s="17" t="n"/>
      <c r="D248" s="10" t="n"/>
      <c r="E248" s="10" t="n"/>
      <c r="F248" s="17" t="n"/>
      <c r="G248" s="19" t="n"/>
      <c r="H248" s="16" t="n"/>
      <c r="I248" s="16" t="n"/>
      <c r="J248" s="16" t="n"/>
      <c r="K248" s="26" t="n"/>
      <c r="L248" s="26" t="n"/>
      <c r="M248" s="16" t="n"/>
      <c r="N248" s="9" t="n"/>
      <c r="O248" s="16" t="n"/>
      <c r="P248" s="16" t="n"/>
      <c r="Q248" s="24" t="n"/>
      <c r="R248" s="17" t="n"/>
      <c r="S248" s="17" t="n"/>
      <c r="T248" s="27" t="n"/>
      <c r="U248" s="27" t="n"/>
      <c r="V248" s="10" t="n"/>
    </row>
    <row r="249">
      <c r="A249" s="16" t="n"/>
      <c r="B249" s="17" t="n"/>
      <c r="C249" s="17" t="n"/>
      <c r="D249" s="10" t="n"/>
      <c r="E249" s="10" t="n"/>
      <c r="F249" s="17" t="n"/>
      <c r="G249" s="19" t="n"/>
      <c r="H249" s="16" t="n"/>
      <c r="I249" s="16" t="n"/>
      <c r="J249" s="16" t="n"/>
      <c r="K249" s="26" t="n"/>
      <c r="L249" s="26" t="n"/>
      <c r="M249" s="16" t="n"/>
      <c r="N249" s="9" t="n"/>
      <c r="O249" s="16" t="n"/>
      <c r="P249" s="16" t="n"/>
      <c r="Q249" s="24" t="n"/>
      <c r="R249" s="17" t="n"/>
      <c r="S249" s="17" t="n"/>
      <c r="T249" s="27" t="n"/>
      <c r="U249" s="27" t="n"/>
      <c r="V249" s="10" t="n"/>
    </row>
    <row r="250">
      <c r="A250" s="16" t="n"/>
      <c r="B250" s="17" t="n"/>
      <c r="C250" s="17" t="n"/>
      <c r="D250" s="10" t="n"/>
      <c r="E250" s="10" t="n"/>
      <c r="F250" s="17" t="n"/>
      <c r="G250" s="19" t="n"/>
      <c r="H250" s="16" t="n"/>
      <c r="I250" s="16" t="n"/>
      <c r="J250" s="16" t="n"/>
      <c r="K250" s="26" t="n"/>
      <c r="L250" s="26" t="n"/>
      <c r="M250" s="16" t="n"/>
      <c r="N250" s="9" t="n"/>
      <c r="O250" s="16" t="n"/>
      <c r="P250" s="16" t="n"/>
      <c r="Q250" s="24" t="n"/>
      <c r="R250" s="17" t="n"/>
      <c r="S250" s="17" t="n"/>
      <c r="T250" s="27" t="n"/>
      <c r="U250" s="27" t="n"/>
      <c r="V250" s="10" t="n"/>
    </row>
    <row r="251">
      <c r="A251" s="16" t="n"/>
      <c r="B251" s="17" t="n"/>
      <c r="C251" s="17" t="n"/>
      <c r="D251" s="10" t="n"/>
      <c r="E251" s="10" t="n"/>
      <c r="F251" s="17" t="n"/>
      <c r="G251" s="19" t="n"/>
      <c r="H251" s="16" t="n"/>
      <c r="I251" s="16" t="n"/>
      <c r="J251" s="16" t="n"/>
      <c r="K251" s="26" t="n"/>
      <c r="L251" s="26" t="n"/>
      <c r="M251" s="16" t="n"/>
      <c r="N251" s="9" t="n"/>
      <c r="O251" s="16" t="n"/>
      <c r="P251" s="16" t="n"/>
      <c r="Q251" s="24" t="n"/>
      <c r="R251" s="17" t="n"/>
      <c r="S251" s="17" t="n"/>
      <c r="T251" s="27" t="n"/>
      <c r="U251" s="27" t="n"/>
      <c r="V251" s="10" t="n"/>
    </row>
    <row r="252">
      <c r="A252" s="16" t="n"/>
      <c r="B252" s="17" t="n"/>
      <c r="C252" s="17" t="n"/>
      <c r="D252" s="10" t="n"/>
      <c r="E252" s="10" t="n"/>
      <c r="F252" s="17" t="n"/>
      <c r="G252" s="19" t="n"/>
      <c r="H252" s="16" t="n"/>
      <c r="I252" s="16" t="n"/>
      <c r="J252" s="16" t="n"/>
      <c r="K252" s="26" t="n"/>
      <c r="L252" s="26" t="n"/>
      <c r="M252" s="16" t="n"/>
      <c r="N252" s="9" t="n"/>
      <c r="O252" s="16" t="n"/>
      <c r="P252" s="16" t="n"/>
      <c r="Q252" s="24" t="n"/>
      <c r="R252" s="17" t="n"/>
      <c r="S252" s="17" t="n"/>
      <c r="T252" s="27" t="n"/>
      <c r="U252" s="27" t="n"/>
      <c r="V252" s="10" t="n"/>
    </row>
    <row r="253">
      <c r="A253" s="16" t="n"/>
      <c r="B253" s="17" t="n"/>
      <c r="C253" s="17" t="n"/>
      <c r="D253" s="10" t="n"/>
      <c r="E253" s="10" t="n"/>
      <c r="F253" s="17" t="n"/>
      <c r="G253" s="19" t="n"/>
      <c r="H253" s="16" t="n"/>
      <c r="I253" s="16" t="n"/>
      <c r="J253" s="16" t="n"/>
      <c r="K253" s="26" t="n"/>
      <c r="L253" s="26" t="n"/>
      <c r="M253" s="16" t="n"/>
      <c r="N253" s="9" t="n"/>
      <c r="O253" s="16" t="n"/>
      <c r="P253" s="16" t="n"/>
      <c r="Q253" s="24" t="n"/>
      <c r="R253" s="17" t="n"/>
      <c r="S253" s="17" t="n"/>
      <c r="T253" s="27" t="n"/>
      <c r="U253" s="27" t="n"/>
      <c r="V253" s="10" t="n"/>
    </row>
    <row r="254">
      <c r="A254" s="16" t="n"/>
      <c r="B254" s="17" t="n"/>
      <c r="C254" s="17" t="n"/>
      <c r="D254" s="10" t="n"/>
      <c r="E254" s="10" t="n"/>
      <c r="F254" s="17" t="n"/>
      <c r="G254" s="19" t="n"/>
      <c r="H254" s="16" t="n"/>
      <c r="I254" s="16" t="n"/>
      <c r="J254" s="16" t="n"/>
      <c r="K254" s="26" t="n"/>
      <c r="L254" s="26" t="n"/>
      <c r="M254" s="16" t="n"/>
      <c r="N254" s="9" t="n"/>
      <c r="O254" s="16" t="n"/>
      <c r="P254" s="16" t="n"/>
      <c r="Q254" s="24" t="n"/>
      <c r="R254" s="17" t="n"/>
      <c r="S254" s="17" t="n"/>
      <c r="T254" s="27" t="n"/>
      <c r="U254" s="27" t="n"/>
      <c r="V254" s="10" t="n"/>
    </row>
    <row r="255">
      <c r="A255" s="16" t="n"/>
      <c r="B255" s="17" t="n"/>
      <c r="C255" s="17" t="n"/>
      <c r="D255" s="10" t="n"/>
      <c r="E255" s="10" t="n"/>
      <c r="F255" s="17" t="n"/>
      <c r="G255" s="19" t="n"/>
      <c r="H255" s="16" t="n"/>
      <c r="I255" s="16" t="n"/>
      <c r="J255" s="16" t="n"/>
      <c r="K255" s="26" t="n"/>
      <c r="L255" s="26" t="n"/>
      <c r="M255" s="16" t="n"/>
      <c r="N255" s="9" t="n"/>
      <c r="O255" s="16" t="n"/>
      <c r="P255" s="16" t="n"/>
      <c r="Q255" s="24" t="n"/>
      <c r="R255" s="17" t="n"/>
      <c r="S255" s="17" t="n"/>
      <c r="T255" s="27" t="n"/>
      <c r="U255" s="27" t="n"/>
      <c r="V255" s="10" t="n"/>
    </row>
    <row r="256">
      <c r="A256" s="16" t="n"/>
      <c r="B256" s="17" t="n"/>
      <c r="C256" s="17" t="n"/>
      <c r="D256" s="10" t="n"/>
      <c r="E256" s="10" t="n"/>
      <c r="F256" s="17" t="n"/>
      <c r="G256" s="19" t="n"/>
      <c r="H256" s="16" t="n"/>
      <c r="I256" s="16" t="n"/>
      <c r="J256" s="16" t="n"/>
      <c r="K256" s="26" t="n"/>
      <c r="L256" s="26" t="n"/>
      <c r="M256" s="16" t="n"/>
      <c r="N256" s="9" t="n"/>
      <c r="O256" s="16" t="n"/>
      <c r="P256" s="16" t="n"/>
      <c r="Q256" s="24" t="n"/>
      <c r="R256" s="17" t="n"/>
      <c r="S256" s="17" t="n"/>
      <c r="T256" s="27" t="n"/>
      <c r="U256" s="27" t="n"/>
      <c r="V256" s="10" t="n"/>
    </row>
    <row r="257">
      <c r="A257" s="16" t="n"/>
      <c r="B257" s="17" t="n"/>
      <c r="C257" s="17" t="n"/>
      <c r="D257" s="10" t="n"/>
      <c r="E257" s="10" t="n"/>
      <c r="F257" s="17" t="n"/>
      <c r="G257" s="19" t="n"/>
      <c r="H257" s="16" t="n"/>
      <c r="I257" s="16" t="n"/>
      <c r="J257" s="16" t="n"/>
      <c r="K257" s="26" t="n"/>
      <c r="L257" s="26" t="n"/>
      <c r="M257" s="16" t="n"/>
      <c r="N257" s="9" t="n"/>
      <c r="O257" s="16" t="n"/>
      <c r="P257" s="16" t="n"/>
      <c r="Q257" s="24" t="n"/>
      <c r="R257" s="17" t="n"/>
      <c r="S257" s="17" t="n"/>
      <c r="T257" s="27" t="n"/>
      <c r="U257" s="27" t="n"/>
      <c r="V257" s="10" t="n"/>
    </row>
    <row r="258">
      <c r="A258" s="16" t="n"/>
      <c r="B258" s="17" t="n"/>
      <c r="C258" s="17" t="n"/>
      <c r="D258" s="10" t="n"/>
      <c r="E258" s="10" t="n"/>
      <c r="F258" s="17" t="n"/>
      <c r="G258" s="19" t="n"/>
      <c r="H258" s="16" t="n"/>
      <c r="I258" s="16" t="n"/>
      <c r="J258" s="16" t="n"/>
      <c r="K258" s="26" t="n"/>
      <c r="L258" s="26" t="n"/>
      <c r="M258" s="16" t="n"/>
      <c r="N258" s="9" t="n"/>
      <c r="O258" s="16" t="n"/>
      <c r="P258" s="16" t="n"/>
      <c r="Q258" s="24" t="n"/>
      <c r="R258" s="17" t="n"/>
      <c r="S258" s="17" t="n"/>
      <c r="T258" s="27" t="n"/>
      <c r="U258" s="27" t="n"/>
      <c r="V258" s="10" t="n"/>
    </row>
    <row r="259">
      <c r="A259" s="16" t="n"/>
      <c r="B259" s="17" t="n"/>
      <c r="C259" s="17" t="n"/>
      <c r="D259" s="10" t="n"/>
      <c r="E259" s="10" t="n"/>
      <c r="F259" s="17" t="n"/>
      <c r="G259" s="19" t="n"/>
      <c r="H259" s="16" t="n"/>
      <c r="I259" s="16" t="n"/>
      <c r="J259" s="16" t="n"/>
      <c r="K259" s="26" t="n"/>
      <c r="L259" s="26" t="n"/>
      <c r="M259" s="16" t="n"/>
      <c r="N259" s="9" t="n"/>
      <c r="O259" s="16" t="n"/>
      <c r="P259" s="16" t="n"/>
      <c r="Q259" s="24" t="n"/>
      <c r="R259" s="17" t="n"/>
      <c r="S259" s="17" t="n"/>
      <c r="T259" s="27" t="n"/>
      <c r="U259" s="27" t="n"/>
      <c r="V259" s="10" t="n"/>
    </row>
    <row r="260">
      <c r="A260" s="16" t="n"/>
      <c r="B260" s="17" t="n"/>
      <c r="C260" s="17" t="n"/>
      <c r="D260" s="10" t="n"/>
      <c r="E260" s="10" t="n"/>
      <c r="F260" s="17" t="n"/>
      <c r="G260" s="19" t="n"/>
      <c r="H260" s="16" t="n"/>
      <c r="I260" s="16" t="n"/>
      <c r="J260" s="16" t="n"/>
      <c r="K260" s="26" t="n"/>
      <c r="L260" s="26" t="n"/>
      <c r="M260" s="16" t="n"/>
      <c r="N260" s="9" t="n"/>
      <c r="O260" s="16" t="n"/>
      <c r="P260" s="16" t="n"/>
      <c r="Q260" s="24" t="n"/>
      <c r="R260" s="17" t="n"/>
      <c r="S260" s="17" t="n"/>
      <c r="T260" s="27" t="n"/>
      <c r="U260" s="27" t="n"/>
      <c r="V260" s="10" t="n"/>
    </row>
    <row r="261">
      <c r="A261" s="16" t="n"/>
      <c r="B261" s="17" t="n"/>
      <c r="C261" s="17" t="n"/>
      <c r="D261" s="10" t="n"/>
      <c r="E261" s="10" t="n"/>
      <c r="F261" s="17" t="n"/>
      <c r="G261" s="19" t="n"/>
      <c r="H261" s="16" t="n"/>
      <c r="I261" s="16" t="n"/>
      <c r="J261" s="16" t="n"/>
      <c r="K261" s="26" t="n"/>
      <c r="L261" s="26" t="n"/>
      <c r="M261" s="16" t="n"/>
      <c r="N261" s="9" t="n"/>
      <c r="O261" s="16" t="n"/>
      <c r="P261" s="16" t="n"/>
      <c r="Q261" s="24" t="n"/>
      <c r="R261" s="17" t="n"/>
      <c r="S261" s="17" t="n"/>
      <c r="T261" s="27" t="n"/>
      <c r="U261" s="27" t="n"/>
      <c r="V261" s="10" t="n"/>
    </row>
    <row r="262">
      <c r="A262" s="16" t="n"/>
      <c r="B262" s="17" t="n"/>
      <c r="C262" s="17" t="n"/>
      <c r="D262" s="10" t="n"/>
      <c r="E262" s="10" t="n"/>
      <c r="F262" s="17" t="n"/>
      <c r="G262" s="19" t="n"/>
      <c r="H262" s="16" t="n"/>
      <c r="I262" s="16" t="n"/>
      <c r="J262" s="16" t="n"/>
      <c r="K262" s="26" t="n"/>
      <c r="L262" s="26" t="n"/>
      <c r="M262" s="16" t="n"/>
      <c r="N262" s="9" t="n"/>
      <c r="O262" s="16" t="n"/>
      <c r="P262" s="16" t="n"/>
      <c r="Q262" s="24" t="n"/>
      <c r="R262" s="17" t="n"/>
      <c r="S262" s="17" t="n"/>
      <c r="T262" s="27" t="n"/>
      <c r="U262" s="27" t="n"/>
      <c r="V262" s="10" t="n"/>
    </row>
    <row r="263">
      <c r="A263" s="16" t="n"/>
      <c r="B263" s="17" t="n"/>
      <c r="C263" s="17" t="n"/>
      <c r="D263" s="10" t="n"/>
      <c r="E263" s="10" t="n"/>
      <c r="F263" s="17" t="n"/>
      <c r="G263" s="19" t="n"/>
      <c r="H263" s="16" t="n"/>
      <c r="I263" s="16" t="n"/>
      <c r="J263" s="16" t="n"/>
      <c r="K263" s="26" t="n"/>
      <c r="L263" s="26" t="n"/>
      <c r="M263" s="16" t="n"/>
      <c r="N263" s="9" t="n"/>
      <c r="O263" s="16" t="n"/>
      <c r="P263" s="16" t="n"/>
      <c r="Q263" s="24" t="n"/>
      <c r="R263" s="17" t="n"/>
      <c r="S263" s="17" t="n"/>
      <c r="T263" s="27" t="n"/>
      <c r="U263" s="27" t="n"/>
      <c r="V263" s="10" t="n"/>
    </row>
    <row r="264">
      <c r="A264" s="16" t="n"/>
      <c r="B264" s="17" t="n"/>
      <c r="C264" s="17" t="n"/>
      <c r="D264" s="10" t="n"/>
      <c r="E264" s="10" t="n"/>
      <c r="F264" s="17" t="n"/>
      <c r="G264" s="19" t="n"/>
      <c r="H264" s="16" t="n"/>
      <c r="I264" s="16" t="n"/>
      <c r="J264" s="16" t="n"/>
      <c r="K264" s="26" t="n"/>
      <c r="L264" s="26" t="n"/>
      <c r="M264" s="16" t="n"/>
      <c r="N264" s="9" t="n"/>
      <c r="O264" s="16" t="n"/>
      <c r="P264" s="16" t="n"/>
      <c r="Q264" s="24" t="n"/>
      <c r="R264" s="17" t="n"/>
      <c r="S264" s="17" t="n"/>
      <c r="T264" s="27" t="n"/>
      <c r="U264" s="27" t="n"/>
      <c r="V264" s="10" t="n"/>
    </row>
    <row r="265">
      <c r="A265" s="16" t="n"/>
      <c r="B265" s="17" t="n"/>
      <c r="C265" s="17" t="n"/>
      <c r="D265" s="10" t="n"/>
      <c r="E265" s="10" t="n"/>
      <c r="F265" s="17" t="n"/>
      <c r="G265" s="19" t="n"/>
      <c r="H265" s="16" t="n"/>
      <c r="I265" s="16" t="n"/>
      <c r="J265" s="16" t="n"/>
      <c r="K265" s="26" t="n"/>
      <c r="L265" s="26" t="n"/>
      <c r="M265" s="16" t="n"/>
      <c r="N265" s="9" t="n"/>
      <c r="O265" s="16" t="n"/>
      <c r="P265" s="16" t="n"/>
      <c r="Q265" s="24" t="n"/>
      <c r="R265" s="17" t="n"/>
      <c r="S265" s="17" t="n"/>
      <c r="T265" s="27" t="n"/>
      <c r="U265" s="27" t="n"/>
      <c r="V265" s="10" t="n"/>
    </row>
    <row r="266">
      <c r="A266" s="16" t="n"/>
      <c r="B266" s="17" t="n"/>
      <c r="C266" s="17" t="n"/>
      <c r="D266" s="10" t="n"/>
      <c r="E266" s="10" t="n"/>
      <c r="F266" s="17" t="n"/>
      <c r="G266" s="19" t="n"/>
      <c r="H266" s="16" t="n"/>
      <c r="I266" s="16" t="n"/>
      <c r="J266" s="16" t="n"/>
      <c r="K266" s="26" t="n"/>
      <c r="L266" s="26" t="n"/>
      <c r="M266" s="16" t="n"/>
      <c r="N266" s="9" t="n"/>
      <c r="O266" s="16" t="n"/>
      <c r="P266" s="16" t="n"/>
      <c r="Q266" s="24" t="n"/>
      <c r="R266" s="17" t="n"/>
      <c r="S266" s="17" t="n"/>
      <c r="T266" s="27" t="n"/>
      <c r="U266" s="27" t="n"/>
      <c r="V266" s="10" t="n"/>
    </row>
    <row r="267">
      <c r="A267" s="16" t="n"/>
      <c r="B267" s="17" t="n"/>
      <c r="C267" s="17" t="n"/>
      <c r="D267" s="10" t="n"/>
      <c r="E267" s="10" t="n"/>
      <c r="F267" s="17" t="n"/>
      <c r="G267" s="19" t="n"/>
      <c r="H267" s="16" t="n"/>
      <c r="I267" s="16" t="n"/>
      <c r="J267" s="16" t="n"/>
      <c r="K267" s="26" t="n"/>
      <c r="L267" s="26" t="n"/>
      <c r="M267" s="16" t="n"/>
      <c r="N267" s="9" t="n"/>
      <c r="O267" s="16" t="n"/>
      <c r="P267" s="16" t="n"/>
      <c r="Q267" s="24" t="n"/>
      <c r="R267" s="17" t="n"/>
      <c r="S267" s="17" t="n"/>
      <c r="T267" s="27" t="n"/>
      <c r="U267" s="27" t="n"/>
      <c r="V267" s="10" t="n"/>
    </row>
    <row r="268">
      <c r="A268" s="16" t="n"/>
      <c r="B268" s="17" t="n"/>
      <c r="C268" s="17" t="n"/>
      <c r="D268" s="10" t="n"/>
      <c r="E268" s="10" t="n"/>
      <c r="F268" s="17" t="n"/>
      <c r="G268" s="19" t="n"/>
      <c r="H268" s="16" t="n"/>
      <c r="I268" s="16" t="n"/>
      <c r="J268" s="16" t="n"/>
      <c r="K268" s="26" t="n"/>
      <c r="L268" s="26" t="n"/>
      <c r="M268" s="16" t="n"/>
      <c r="N268" s="9" t="n"/>
      <c r="O268" s="16" t="n"/>
      <c r="P268" s="16" t="n"/>
      <c r="Q268" s="24" t="n"/>
      <c r="R268" s="17" t="n"/>
      <c r="S268" s="17" t="n"/>
      <c r="T268" s="27" t="n"/>
      <c r="U268" s="27" t="n"/>
      <c r="V268" s="10" t="n"/>
    </row>
    <row r="269">
      <c r="A269" s="16" t="n"/>
      <c r="B269" s="17" t="n"/>
      <c r="C269" s="17" t="n"/>
      <c r="D269" s="10" t="n"/>
      <c r="E269" s="10" t="n"/>
      <c r="F269" s="17" t="n"/>
      <c r="G269" s="19" t="n"/>
      <c r="H269" s="16" t="n"/>
      <c r="I269" s="16" t="n"/>
      <c r="J269" s="16" t="n"/>
      <c r="K269" s="26" t="n"/>
      <c r="L269" s="26" t="n"/>
      <c r="M269" s="16" t="n"/>
      <c r="N269" s="9" t="n"/>
      <c r="O269" s="16" t="n"/>
      <c r="P269" s="16" t="n"/>
      <c r="Q269" s="24" t="n"/>
      <c r="R269" s="17" t="n"/>
      <c r="S269" s="17" t="n"/>
      <c r="T269" s="27" t="n"/>
      <c r="U269" s="27" t="n"/>
      <c r="V269" s="10" t="n"/>
    </row>
    <row r="270">
      <c r="A270" s="16" t="n"/>
      <c r="B270" s="17" t="n"/>
      <c r="C270" s="17" t="n"/>
      <c r="D270" s="10" t="n"/>
      <c r="E270" s="10" t="n"/>
      <c r="F270" s="17" t="n"/>
      <c r="G270" s="19" t="n"/>
      <c r="H270" s="16" t="n"/>
      <c r="I270" s="16" t="n"/>
      <c r="J270" s="16" t="n"/>
      <c r="K270" s="26" t="n"/>
      <c r="L270" s="26" t="n"/>
      <c r="M270" s="16" t="n"/>
      <c r="N270" s="9" t="n"/>
      <c r="O270" s="16" t="n"/>
      <c r="P270" s="16" t="n"/>
      <c r="Q270" s="24" t="n"/>
      <c r="R270" s="17" t="n"/>
      <c r="S270" s="17" t="n"/>
      <c r="T270" s="27" t="n"/>
      <c r="U270" s="27" t="n"/>
      <c r="V270" s="10" t="n"/>
    </row>
    <row r="271">
      <c r="A271" s="16" t="n"/>
      <c r="B271" s="17" t="n"/>
      <c r="C271" s="17" t="n"/>
      <c r="D271" s="10" t="n"/>
      <c r="E271" s="10" t="n"/>
      <c r="F271" s="17" t="n"/>
      <c r="G271" s="19" t="n"/>
      <c r="H271" s="16" t="n"/>
      <c r="I271" s="16" t="n"/>
      <c r="J271" s="16" t="n"/>
      <c r="K271" s="26" t="n"/>
      <c r="L271" s="26" t="n"/>
      <c r="M271" s="16" t="n"/>
      <c r="N271" s="9" t="n"/>
      <c r="O271" s="16" t="n"/>
      <c r="P271" s="16" t="n"/>
      <c r="Q271" s="24" t="n"/>
      <c r="R271" s="17" t="n"/>
      <c r="S271" s="17" t="n"/>
      <c r="T271" s="27" t="n"/>
      <c r="U271" s="27" t="n"/>
      <c r="V271" s="10" t="n"/>
    </row>
    <row r="272">
      <c r="A272" s="16" t="n"/>
      <c r="B272" s="17" t="n"/>
      <c r="C272" s="17" t="n"/>
      <c r="D272" s="10" t="n"/>
      <c r="E272" s="10" t="n"/>
      <c r="F272" s="17" t="n"/>
      <c r="G272" s="19" t="n"/>
      <c r="H272" s="16" t="n"/>
      <c r="I272" s="16" t="n"/>
      <c r="J272" s="16" t="n"/>
      <c r="K272" s="26" t="n"/>
      <c r="L272" s="26" t="n"/>
      <c r="M272" s="16" t="n"/>
      <c r="N272" s="9" t="n"/>
      <c r="O272" s="16" t="n"/>
      <c r="P272" s="16" t="n"/>
      <c r="Q272" s="24" t="n"/>
      <c r="R272" s="17" t="n"/>
      <c r="S272" s="17" t="n"/>
      <c r="T272" s="27" t="n"/>
      <c r="U272" s="27" t="n"/>
      <c r="V272" s="10" t="n"/>
    </row>
    <row r="273">
      <c r="A273" s="16" t="n"/>
      <c r="B273" s="17" t="n"/>
      <c r="C273" s="17" t="n"/>
      <c r="D273" s="10" t="n"/>
      <c r="E273" s="10" t="n"/>
      <c r="F273" s="17" t="n"/>
      <c r="G273" s="19" t="n"/>
      <c r="H273" s="16" t="n"/>
      <c r="I273" s="16" t="n"/>
      <c r="J273" s="16" t="n"/>
      <c r="K273" s="26" t="n"/>
      <c r="L273" s="26" t="n"/>
      <c r="M273" s="16" t="n"/>
      <c r="N273" s="9" t="n"/>
      <c r="O273" s="16" t="n"/>
      <c r="P273" s="16" t="n"/>
      <c r="Q273" s="24" t="n"/>
      <c r="R273" s="17" t="n"/>
      <c r="S273" s="17" t="n"/>
      <c r="T273" s="27" t="n"/>
      <c r="U273" s="27" t="n"/>
      <c r="V273" s="10" t="n"/>
    </row>
    <row r="274">
      <c r="A274" s="16" t="n"/>
      <c r="B274" s="17" t="n"/>
      <c r="C274" s="17" t="n"/>
      <c r="D274" s="10" t="n"/>
      <c r="E274" s="10" t="n"/>
      <c r="F274" s="17" t="n"/>
      <c r="G274" s="19" t="n"/>
      <c r="H274" s="16" t="n"/>
      <c r="I274" s="16" t="n"/>
      <c r="J274" s="16" t="n"/>
      <c r="K274" s="26" t="n"/>
      <c r="L274" s="26" t="n"/>
      <c r="M274" s="16" t="n"/>
      <c r="N274" s="9" t="n"/>
      <c r="O274" s="16" t="n"/>
      <c r="P274" s="16" t="n"/>
      <c r="Q274" s="24" t="n"/>
      <c r="R274" s="17" t="n"/>
      <c r="S274" s="17" t="n"/>
      <c r="T274" s="27" t="n"/>
      <c r="U274" s="27" t="n"/>
      <c r="V274" s="10" t="n"/>
    </row>
    <row r="275">
      <c r="A275" s="16" t="n"/>
      <c r="B275" s="17" t="n"/>
      <c r="C275" s="17" t="n"/>
      <c r="D275" s="10" t="n"/>
      <c r="E275" s="10" t="n"/>
      <c r="F275" s="17" t="n"/>
      <c r="G275" s="19" t="n"/>
      <c r="H275" s="16" t="n"/>
      <c r="I275" s="16" t="n"/>
      <c r="J275" s="16" t="n"/>
      <c r="K275" s="26" t="n"/>
      <c r="L275" s="26" t="n"/>
      <c r="M275" s="16" t="n"/>
      <c r="N275" s="9" t="n"/>
      <c r="O275" s="16" t="n"/>
      <c r="P275" s="16" t="n"/>
      <c r="Q275" s="24" t="n"/>
      <c r="R275" s="17" t="n"/>
      <c r="S275" s="17" t="n"/>
      <c r="T275" s="27" t="n"/>
      <c r="U275" s="27" t="n"/>
      <c r="V275" s="10" t="n"/>
    </row>
    <row r="276">
      <c r="A276" s="16" t="n"/>
      <c r="B276" s="17" t="n"/>
      <c r="C276" s="17" t="n"/>
      <c r="D276" s="10" t="n"/>
      <c r="E276" s="10" t="n"/>
      <c r="F276" s="17" t="n"/>
      <c r="G276" s="19" t="n"/>
      <c r="H276" s="16" t="n"/>
      <c r="I276" s="16" t="n"/>
      <c r="J276" s="16" t="n"/>
      <c r="K276" s="26" t="n"/>
      <c r="L276" s="26" t="n"/>
      <c r="M276" s="16" t="n"/>
      <c r="N276" s="9" t="n"/>
      <c r="O276" s="16" t="n"/>
      <c r="P276" s="16" t="n"/>
      <c r="Q276" s="24" t="n"/>
      <c r="R276" s="17" t="n"/>
      <c r="S276" s="17" t="n"/>
      <c r="T276" s="27" t="n"/>
      <c r="U276" s="27" t="n"/>
      <c r="V276" s="10" t="n"/>
    </row>
    <row r="277">
      <c r="A277" s="16" t="n"/>
      <c r="B277" s="17" t="n"/>
      <c r="C277" s="17" t="n"/>
      <c r="D277" s="10" t="n"/>
      <c r="E277" s="10" t="n"/>
      <c r="F277" s="17" t="n"/>
      <c r="G277" s="19" t="n"/>
      <c r="H277" s="16" t="n"/>
      <c r="I277" s="16" t="n"/>
      <c r="J277" s="16" t="n"/>
      <c r="K277" s="26" t="n"/>
      <c r="L277" s="26" t="n"/>
      <c r="M277" s="16" t="n"/>
      <c r="N277" s="9" t="n"/>
      <c r="O277" s="16" t="n"/>
      <c r="P277" s="16" t="n"/>
      <c r="Q277" s="24" t="n"/>
      <c r="R277" s="17" t="n"/>
      <c r="S277" s="17" t="n"/>
      <c r="T277" s="27" t="n"/>
      <c r="U277" s="27" t="n"/>
      <c r="V277" s="10" t="n"/>
    </row>
    <row r="278">
      <c r="A278" s="16" t="n"/>
      <c r="B278" s="17" t="n"/>
      <c r="C278" s="17" t="n"/>
      <c r="D278" s="10" t="n"/>
      <c r="E278" s="10" t="n"/>
      <c r="F278" s="17" t="n"/>
      <c r="G278" s="19" t="n"/>
      <c r="H278" s="16" t="n"/>
      <c r="I278" s="16" t="n"/>
      <c r="J278" s="16" t="n"/>
      <c r="K278" s="26" t="n"/>
      <c r="L278" s="26" t="n"/>
      <c r="M278" s="16" t="n"/>
      <c r="N278" s="9" t="n"/>
      <c r="O278" s="16" t="n"/>
      <c r="P278" s="16" t="n"/>
      <c r="Q278" s="24" t="n"/>
      <c r="R278" s="17" t="n"/>
      <c r="S278" s="17" t="n"/>
      <c r="T278" s="27" t="n"/>
      <c r="U278" s="27" t="n"/>
      <c r="V278" s="10" t="n"/>
    </row>
    <row r="279">
      <c r="A279" s="16" t="n"/>
      <c r="B279" s="17" t="n"/>
      <c r="C279" s="17" t="n"/>
      <c r="D279" s="10" t="n"/>
      <c r="E279" s="10" t="n"/>
      <c r="F279" s="17" t="n"/>
      <c r="G279" s="19" t="n"/>
      <c r="H279" s="16" t="n"/>
      <c r="I279" s="16" t="n"/>
      <c r="J279" s="16" t="n"/>
      <c r="K279" s="26" t="n"/>
      <c r="L279" s="26" t="n"/>
      <c r="M279" s="16" t="n"/>
      <c r="N279" s="9" t="n"/>
      <c r="O279" s="16" t="n"/>
      <c r="P279" s="16" t="n"/>
      <c r="Q279" s="24" t="n"/>
      <c r="R279" s="17" t="n"/>
      <c r="S279" s="17" t="n"/>
      <c r="T279" s="27" t="n"/>
      <c r="U279" s="27" t="n"/>
      <c r="V279" s="10" t="n"/>
    </row>
    <row r="280">
      <c r="A280" s="16" t="n"/>
      <c r="B280" s="17" t="n"/>
      <c r="C280" s="17" t="n"/>
      <c r="D280" s="10" t="n"/>
      <c r="E280" s="10" t="n"/>
      <c r="F280" s="17" t="n"/>
      <c r="G280" s="19" t="n"/>
      <c r="H280" s="16" t="n"/>
      <c r="I280" s="16" t="n"/>
      <c r="J280" s="16" t="n"/>
      <c r="K280" s="26" t="n"/>
      <c r="L280" s="26" t="n"/>
      <c r="M280" s="16" t="n"/>
      <c r="N280" s="9" t="n"/>
      <c r="O280" s="16" t="n"/>
      <c r="P280" s="16" t="n"/>
      <c r="Q280" s="24" t="n"/>
      <c r="R280" s="17" t="n"/>
      <c r="S280" s="17" t="n"/>
      <c r="T280" s="27" t="n"/>
      <c r="U280" s="27" t="n"/>
      <c r="V280" s="10" t="n"/>
    </row>
    <row r="281">
      <c r="A281" s="16" t="n"/>
      <c r="B281" s="17" t="n"/>
      <c r="C281" s="17" t="n"/>
      <c r="D281" s="10" t="n"/>
      <c r="E281" s="10" t="n"/>
      <c r="F281" s="17" t="n"/>
      <c r="G281" s="19" t="n"/>
      <c r="H281" s="16" t="n"/>
      <c r="I281" s="16" t="n"/>
      <c r="J281" s="16" t="n"/>
      <c r="K281" s="26" t="n"/>
      <c r="L281" s="26" t="n"/>
      <c r="M281" s="16" t="n"/>
      <c r="N281" s="9" t="n"/>
      <c r="O281" s="16" t="n"/>
      <c r="P281" s="16" t="n"/>
      <c r="Q281" s="24" t="n"/>
      <c r="R281" s="17" t="n"/>
      <c r="S281" s="17" t="n"/>
      <c r="T281" s="27" t="n"/>
      <c r="U281" s="27" t="n"/>
      <c r="V281" s="10" t="n"/>
    </row>
    <row r="282">
      <c r="A282" s="16" t="n"/>
      <c r="B282" s="17" t="n"/>
      <c r="C282" s="17" t="n"/>
      <c r="D282" s="10" t="n"/>
      <c r="E282" s="10" t="n"/>
      <c r="F282" s="17" t="n"/>
      <c r="G282" s="19" t="n"/>
      <c r="H282" s="16" t="n"/>
      <c r="I282" s="16" t="n"/>
      <c r="J282" s="16" t="n"/>
      <c r="K282" s="26" t="n"/>
      <c r="L282" s="26" t="n"/>
      <c r="M282" s="16" t="n"/>
      <c r="N282" s="9" t="n"/>
      <c r="O282" s="16" t="n"/>
      <c r="P282" s="16" t="n"/>
      <c r="Q282" s="24" t="n"/>
      <c r="R282" s="17" t="n"/>
      <c r="S282" s="17" t="n"/>
      <c r="T282" s="27" t="n"/>
      <c r="U282" s="27" t="n"/>
      <c r="V282" s="10" t="n"/>
    </row>
    <row r="283">
      <c r="A283" s="16" t="n"/>
      <c r="B283" s="17" t="n"/>
      <c r="C283" s="17" t="n"/>
      <c r="D283" s="10" t="n"/>
      <c r="E283" s="10" t="n"/>
      <c r="F283" s="17" t="n"/>
      <c r="G283" s="19" t="n"/>
      <c r="H283" s="16" t="n"/>
      <c r="I283" s="16" t="n"/>
      <c r="J283" s="16" t="n"/>
      <c r="K283" s="26" t="n"/>
      <c r="L283" s="26" t="n"/>
      <c r="M283" s="16" t="n"/>
      <c r="N283" s="9" t="n"/>
      <c r="O283" s="16" t="n"/>
      <c r="P283" s="16" t="n"/>
      <c r="Q283" s="24" t="n"/>
      <c r="R283" s="17" t="n"/>
      <c r="S283" s="17" t="n"/>
      <c r="T283" s="27" t="n"/>
      <c r="U283" s="27" t="n"/>
      <c r="V283" s="10" t="n"/>
    </row>
    <row r="284">
      <c r="A284" s="16" t="n"/>
      <c r="B284" s="17" t="n"/>
      <c r="C284" s="17" t="n"/>
      <c r="D284" s="10" t="n"/>
      <c r="E284" s="10" t="n"/>
      <c r="F284" s="17" t="n"/>
      <c r="G284" s="19" t="n"/>
      <c r="H284" s="16" t="n"/>
      <c r="I284" s="16" t="n"/>
      <c r="J284" s="16" t="n"/>
      <c r="K284" s="26" t="n"/>
      <c r="L284" s="26" t="n"/>
      <c r="M284" s="16" t="n"/>
      <c r="N284" s="9" t="n"/>
      <c r="O284" s="16" t="n"/>
      <c r="P284" s="16" t="n"/>
      <c r="Q284" s="24" t="n"/>
      <c r="R284" s="17" t="n"/>
      <c r="S284" s="17" t="n"/>
      <c r="T284" s="27" t="n"/>
      <c r="U284" s="27" t="n"/>
      <c r="V284" s="10" t="n"/>
    </row>
    <row r="285">
      <c r="A285" s="16" t="n"/>
      <c r="B285" s="17" t="n"/>
      <c r="C285" s="17" t="n"/>
      <c r="D285" s="10" t="n"/>
      <c r="E285" s="10" t="n"/>
      <c r="F285" s="17" t="n"/>
      <c r="G285" s="19" t="n"/>
      <c r="H285" s="16" t="n"/>
      <c r="I285" s="16" t="n"/>
      <c r="J285" s="16" t="n"/>
      <c r="K285" s="26" t="n"/>
      <c r="L285" s="26" t="n"/>
      <c r="M285" s="16" t="n"/>
      <c r="N285" s="9" t="n"/>
      <c r="O285" s="16" t="n"/>
      <c r="P285" s="16" t="n"/>
      <c r="Q285" s="24" t="n"/>
      <c r="R285" s="17" t="n"/>
      <c r="S285" s="17" t="n"/>
      <c r="T285" s="27" t="n"/>
      <c r="U285" s="27" t="n"/>
      <c r="V285" s="10" t="n"/>
    </row>
    <row r="286">
      <c r="A286" s="16" t="n"/>
      <c r="B286" s="17" t="n"/>
      <c r="C286" s="17" t="n"/>
      <c r="D286" s="10" t="n"/>
      <c r="E286" s="10" t="n"/>
      <c r="F286" s="17" t="n"/>
      <c r="G286" s="19" t="n"/>
      <c r="H286" s="16" t="n"/>
      <c r="I286" s="16" t="n"/>
      <c r="J286" s="16" t="n"/>
      <c r="K286" s="26" t="n"/>
      <c r="L286" s="26" t="n"/>
      <c r="M286" s="16" t="n"/>
      <c r="N286" s="9" t="n"/>
      <c r="O286" s="16" t="n"/>
      <c r="P286" s="16" t="n"/>
      <c r="Q286" s="24" t="n"/>
      <c r="R286" s="17" t="n"/>
      <c r="S286" s="17" t="n"/>
      <c r="T286" s="27" t="n"/>
      <c r="U286" s="27" t="n"/>
      <c r="V286" s="10" t="n"/>
    </row>
    <row r="287">
      <c r="A287" s="16" t="n"/>
      <c r="B287" s="17" t="n"/>
      <c r="C287" s="17" t="n"/>
      <c r="D287" s="10" t="n"/>
      <c r="E287" s="10" t="n"/>
      <c r="F287" s="17" t="n"/>
      <c r="G287" s="19" t="n"/>
      <c r="H287" s="16" t="n"/>
      <c r="I287" s="16" t="n"/>
      <c r="J287" s="16" t="n"/>
      <c r="K287" s="26" t="n"/>
      <c r="L287" s="26" t="n"/>
      <c r="M287" s="16" t="n"/>
      <c r="N287" s="9" t="n"/>
      <c r="O287" s="16" t="n"/>
      <c r="P287" s="16" t="n"/>
      <c r="Q287" s="24" t="n"/>
      <c r="R287" s="17" t="n"/>
      <c r="S287" s="17" t="n"/>
      <c r="T287" s="27" t="n"/>
      <c r="U287" s="27" t="n"/>
      <c r="V287" s="10" t="n"/>
    </row>
    <row r="288">
      <c r="A288" s="16" t="n"/>
      <c r="B288" s="17" t="n"/>
      <c r="C288" s="17" t="n"/>
      <c r="D288" s="10" t="n"/>
      <c r="E288" s="10" t="n"/>
      <c r="F288" s="17" t="n"/>
      <c r="G288" s="19" t="n"/>
      <c r="H288" s="16" t="n"/>
      <c r="I288" s="16" t="n"/>
      <c r="J288" s="16" t="n"/>
      <c r="K288" s="26" t="n"/>
      <c r="L288" s="26" t="n"/>
      <c r="M288" s="16" t="n"/>
      <c r="N288" s="9" t="n"/>
      <c r="O288" s="16" t="n"/>
      <c r="P288" s="16" t="n"/>
      <c r="Q288" s="24" t="n"/>
      <c r="R288" s="17" t="n"/>
      <c r="S288" s="17" t="n"/>
      <c r="T288" s="27" t="n"/>
      <c r="U288" s="27" t="n"/>
      <c r="V288" s="10" t="n"/>
    </row>
    <row r="289">
      <c r="A289" s="16" t="n"/>
      <c r="B289" s="17" t="n"/>
      <c r="C289" s="17" t="n"/>
      <c r="D289" s="10" t="n"/>
      <c r="E289" s="10" t="n"/>
      <c r="F289" s="17" t="n"/>
      <c r="G289" s="19" t="n"/>
      <c r="H289" s="16" t="n"/>
      <c r="I289" s="16" t="n"/>
      <c r="J289" s="16" t="n"/>
      <c r="K289" s="26" t="n"/>
      <c r="L289" s="26" t="n"/>
      <c r="M289" s="16" t="n"/>
      <c r="N289" s="9" t="n"/>
      <c r="O289" s="16" t="n"/>
      <c r="P289" s="16" t="n"/>
      <c r="Q289" s="24" t="n"/>
      <c r="R289" s="17" t="n"/>
      <c r="S289" s="17" t="n"/>
      <c r="T289" s="27" t="n"/>
      <c r="U289" s="27" t="n"/>
      <c r="V289" s="10" t="n"/>
    </row>
    <row r="290">
      <c r="A290" s="16" t="n"/>
      <c r="B290" s="17" t="n"/>
      <c r="C290" s="17" t="n"/>
      <c r="D290" s="10" t="n"/>
      <c r="E290" s="10" t="n"/>
      <c r="F290" s="17" t="n"/>
      <c r="G290" s="19" t="n"/>
      <c r="H290" s="16" t="n"/>
      <c r="I290" s="16" t="n"/>
      <c r="J290" s="16" t="n"/>
      <c r="K290" s="26" t="n"/>
      <c r="L290" s="26" t="n"/>
      <c r="M290" s="16" t="n"/>
      <c r="N290" s="9" t="n"/>
      <c r="O290" s="16" t="n"/>
      <c r="P290" s="16" t="n"/>
      <c r="Q290" s="24" t="n"/>
      <c r="R290" s="17" t="n"/>
      <c r="S290" s="17" t="n"/>
      <c r="T290" s="27" t="n"/>
      <c r="U290" s="27" t="n"/>
      <c r="V290" s="10" t="n"/>
    </row>
    <row r="291">
      <c r="A291" s="16" t="n"/>
      <c r="B291" s="17" t="n"/>
      <c r="C291" s="17" t="n"/>
      <c r="D291" s="10" t="n"/>
      <c r="E291" s="10" t="n"/>
      <c r="F291" s="17" t="n"/>
      <c r="G291" s="19" t="n"/>
      <c r="H291" s="16" t="n"/>
      <c r="I291" s="16" t="n"/>
      <c r="J291" s="16" t="n"/>
      <c r="K291" s="26" t="n"/>
      <c r="L291" s="26" t="n"/>
      <c r="M291" s="16" t="n"/>
      <c r="N291" s="9" t="n"/>
      <c r="O291" s="16" t="n"/>
      <c r="P291" s="16" t="n"/>
      <c r="Q291" s="24" t="n"/>
      <c r="R291" s="17" t="n"/>
      <c r="S291" s="17" t="n"/>
      <c r="T291" s="27" t="n"/>
      <c r="U291" s="27" t="n"/>
      <c r="V291" s="10" t="n"/>
    </row>
    <row r="292">
      <c r="A292" s="16" t="n"/>
      <c r="B292" s="17" t="n"/>
      <c r="C292" s="17" t="n"/>
      <c r="D292" s="10" t="n"/>
      <c r="E292" s="10" t="n"/>
      <c r="F292" s="17" t="n"/>
      <c r="G292" s="19" t="n"/>
      <c r="H292" s="16" t="n"/>
      <c r="I292" s="16" t="n"/>
      <c r="J292" s="16" t="n"/>
      <c r="K292" s="26" t="n"/>
      <c r="L292" s="26" t="n"/>
      <c r="M292" s="16" t="n"/>
      <c r="N292" s="9" t="n"/>
      <c r="O292" s="16" t="n"/>
      <c r="P292" s="16" t="n"/>
      <c r="Q292" s="24" t="n"/>
      <c r="R292" s="17" t="n"/>
      <c r="S292" s="17" t="n"/>
      <c r="T292" s="27" t="n"/>
      <c r="U292" s="27" t="n"/>
      <c r="V292" s="10" t="n"/>
    </row>
    <row r="293">
      <c r="A293" s="16" t="n"/>
      <c r="B293" s="17" t="n"/>
      <c r="C293" s="17" t="n"/>
      <c r="D293" s="10" t="n"/>
      <c r="E293" s="10" t="n"/>
      <c r="F293" s="17" t="n"/>
      <c r="G293" s="19" t="n"/>
      <c r="H293" s="16" t="n"/>
      <c r="I293" s="16" t="n"/>
      <c r="J293" s="16" t="n"/>
      <c r="K293" s="26" t="n"/>
      <c r="L293" s="26" t="n"/>
      <c r="M293" s="16" t="n"/>
      <c r="N293" s="9" t="n"/>
      <c r="O293" s="16" t="n"/>
      <c r="P293" s="16" t="n"/>
      <c r="Q293" s="24" t="n"/>
      <c r="R293" s="17" t="n"/>
      <c r="S293" s="17" t="n"/>
      <c r="T293" s="27" t="n"/>
      <c r="U293" s="27" t="n"/>
      <c r="V293" s="10" t="n"/>
    </row>
    <row r="294">
      <c r="A294" s="16" t="n"/>
      <c r="B294" s="17" t="n"/>
      <c r="C294" s="17" t="n"/>
      <c r="D294" s="10" t="n"/>
      <c r="E294" s="10" t="n"/>
      <c r="F294" s="17" t="n"/>
      <c r="G294" s="19" t="n"/>
      <c r="H294" s="16" t="n"/>
      <c r="I294" s="16" t="n"/>
      <c r="J294" s="16" t="n"/>
      <c r="K294" s="26" t="n"/>
      <c r="L294" s="26" t="n"/>
      <c r="M294" s="16" t="n"/>
      <c r="N294" s="9" t="n"/>
      <c r="O294" s="16" t="n"/>
      <c r="P294" s="16" t="n"/>
      <c r="Q294" s="24" t="n"/>
      <c r="R294" s="17" t="n"/>
      <c r="S294" s="17" t="n"/>
      <c r="T294" s="27" t="n"/>
      <c r="U294" s="27" t="n"/>
      <c r="V294" s="10" t="n"/>
    </row>
    <row r="295">
      <c r="A295" s="16" t="n"/>
      <c r="B295" s="17" t="n"/>
      <c r="C295" s="17" t="n"/>
      <c r="D295" s="10" t="n"/>
      <c r="E295" s="10" t="n"/>
      <c r="F295" s="17" t="n"/>
      <c r="G295" s="19" t="n"/>
      <c r="H295" s="16" t="n"/>
      <c r="I295" s="16" t="n"/>
      <c r="J295" s="16" t="n"/>
      <c r="K295" s="26" t="n"/>
      <c r="L295" s="26" t="n"/>
      <c r="M295" s="16" t="n"/>
      <c r="N295" s="9" t="n"/>
      <c r="O295" s="16" t="n"/>
      <c r="P295" s="16" t="n"/>
      <c r="Q295" s="24" t="n"/>
      <c r="R295" s="17" t="n"/>
      <c r="S295" s="17" t="n"/>
      <c r="T295" s="27" t="n"/>
      <c r="U295" s="27" t="n"/>
      <c r="V295" s="10" t="n"/>
    </row>
    <row r="296">
      <c r="A296" s="16" t="n"/>
      <c r="B296" s="17" t="n"/>
      <c r="C296" s="17" t="n"/>
      <c r="D296" s="10" t="n"/>
      <c r="E296" s="10" t="n"/>
      <c r="F296" s="17" t="n"/>
      <c r="G296" s="19" t="n"/>
      <c r="H296" s="16" t="n"/>
      <c r="I296" s="16" t="n"/>
      <c r="J296" s="16" t="n"/>
      <c r="K296" s="26" t="n"/>
      <c r="L296" s="26" t="n"/>
      <c r="M296" s="16" t="n"/>
      <c r="N296" s="9" t="n"/>
      <c r="O296" s="16" t="n"/>
      <c r="P296" s="16" t="n"/>
      <c r="Q296" s="24" t="n"/>
      <c r="R296" s="17" t="n"/>
      <c r="S296" s="17" t="n"/>
      <c r="T296" s="27" t="n"/>
      <c r="U296" s="27" t="n"/>
      <c r="V296" s="10" t="n"/>
    </row>
    <row r="297">
      <c r="A297" s="16" t="n"/>
      <c r="B297" s="17" t="n"/>
      <c r="C297" s="17" t="n"/>
      <c r="D297" s="10" t="n"/>
      <c r="E297" s="10" t="n"/>
      <c r="F297" s="17" t="n"/>
      <c r="G297" s="19" t="n"/>
      <c r="H297" s="16" t="n"/>
      <c r="I297" s="16" t="n"/>
      <c r="J297" s="16" t="n"/>
      <c r="K297" s="26" t="n"/>
      <c r="L297" s="26" t="n"/>
      <c r="M297" s="16" t="n"/>
      <c r="N297" s="9" t="n"/>
      <c r="O297" s="16" t="n"/>
      <c r="P297" s="16" t="n"/>
      <c r="Q297" s="24" t="n"/>
      <c r="R297" s="17" t="n"/>
      <c r="S297" s="17" t="n"/>
      <c r="T297" s="27" t="n"/>
      <c r="U297" s="27" t="n"/>
      <c r="V297" s="10" t="n"/>
    </row>
    <row r="298">
      <c r="A298" s="16" t="n"/>
      <c r="B298" s="17" t="n"/>
      <c r="C298" s="17" t="n"/>
      <c r="D298" s="10" t="n"/>
      <c r="E298" s="10" t="n"/>
      <c r="F298" s="17" t="n"/>
      <c r="G298" s="19" t="n"/>
      <c r="H298" s="16" t="n"/>
      <c r="I298" s="16" t="n"/>
      <c r="J298" s="16" t="n"/>
      <c r="K298" s="26" t="n"/>
      <c r="L298" s="26" t="n"/>
      <c r="M298" s="16" t="n"/>
      <c r="N298" s="9" t="n"/>
      <c r="O298" s="16" t="n"/>
      <c r="P298" s="16" t="n"/>
      <c r="Q298" s="24" t="n"/>
      <c r="R298" s="17" t="n"/>
      <c r="S298" s="17" t="n"/>
      <c r="T298" s="27" t="n"/>
      <c r="U298" s="27" t="n"/>
      <c r="V298" s="10" t="n"/>
    </row>
    <row r="299">
      <c r="A299" s="16" t="n"/>
      <c r="B299" s="17" t="n"/>
      <c r="C299" s="17" t="n"/>
      <c r="D299" s="10" t="n"/>
      <c r="E299" s="10" t="n"/>
      <c r="F299" s="17" t="n"/>
      <c r="G299" s="19" t="n"/>
      <c r="H299" s="16" t="n"/>
      <c r="I299" s="16" t="n"/>
      <c r="J299" s="16" t="n"/>
      <c r="K299" s="26" t="n"/>
      <c r="L299" s="26" t="n"/>
      <c r="M299" s="16" t="n"/>
      <c r="N299" s="9" t="n"/>
      <c r="O299" s="16" t="n"/>
      <c r="P299" s="16" t="n"/>
      <c r="Q299" s="24" t="n"/>
      <c r="R299" s="17" t="n"/>
      <c r="S299" s="17" t="n"/>
      <c r="T299" s="27" t="n"/>
      <c r="U299" s="27" t="n"/>
      <c r="V299" s="10" t="n"/>
    </row>
    <row r="300">
      <c r="A300" s="16" t="n"/>
      <c r="B300" s="17" t="n"/>
      <c r="C300" s="17" t="n"/>
      <c r="D300" s="10" t="n"/>
      <c r="E300" s="10" t="n"/>
      <c r="F300" s="17" t="n"/>
      <c r="G300" s="19" t="n"/>
      <c r="H300" s="16" t="n"/>
      <c r="I300" s="16" t="n"/>
      <c r="J300" s="16" t="n"/>
      <c r="K300" s="26" t="n"/>
      <c r="L300" s="26" t="n"/>
      <c r="M300" s="16" t="n"/>
      <c r="N300" s="9" t="n"/>
      <c r="O300" s="16" t="n"/>
      <c r="P300" s="16" t="n"/>
      <c r="Q300" s="24" t="n"/>
      <c r="R300" s="17" t="n"/>
      <c r="S300" s="17" t="n"/>
      <c r="T300" s="27" t="n"/>
      <c r="U300" s="27" t="n"/>
      <c r="V300" s="10" t="n"/>
    </row>
    <row r="301">
      <c r="A301" s="16" t="n"/>
      <c r="B301" s="17" t="n"/>
      <c r="C301" s="17" t="n"/>
      <c r="D301" s="10" t="n"/>
      <c r="E301" s="10" t="n"/>
      <c r="F301" s="17" t="n"/>
      <c r="G301" s="19" t="n"/>
      <c r="H301" s="16" t="n"/>
      <c r="I301" s="16" t="n"/>
      <c r="J301" s="16" t="n"/>
      <c r="K301" s="26" t="n"/>
      <c r="L301" s="26" t="n"/>
      <c r="M301" s="16" t="n"/>
      <c r="N301" s="9" t="n"/>
      <c r="O301" s="16" t="n"/>
      <c r="P301" s="16" t="n"/>
      <c r="Q301" s="24" t="n"/>
      <c r="R301" s="17" t="n"/>
      <c r="S301" s="17" t="n"/>
      <c r="T301" s="27" t="n"/>
      <c r="U301" s="27" t="n"/>
      <c r="V301" s="10" t="n"/>
    </row>
    <row r="302">
      <c r="A302" s="16" t="n"/>
      <c r="B302" s="17" t="n"/>
      <c r="C302" s="17" t="n"/>
      <c r="D302" s="10" t="n"/>
      <c r="E302" s="10" t="n"/>
      <c r="F302" s="17" t="n"/>
      <c r="G302" s="19" t="n"/>
      <c r="H302" s="16" t="n"/>
      <c r="I302" s="16" t="n"/>
      <c r="J302" s="16" t="n"/>
      <c r="K302" s="26" t="n"/>
      <c r="L302" s="26" t="n"/>
      <c r="M302" s="16" t="n"/>
      <c r="N302" s="9" t="n"/>
      <c r="O302" s="16" t="n"/>
      <c r="P302" s="16" t="n"/>
      <c r="Q302" s="24" t="n"/>
      <c r="R302" s="17" t="n"/>
      <c r="S302" s="17" t="n"/>
      <c r="T302" s="27" t="n"/>
      <c r="U302" s="27" t="n"/>
      <c r="V302" s="10" t="n"/>
    </row>
    <row r="303">
      <c r="A303" s="16" t="n"/>
      <c r="B303" s="17" t="n"/>
      <c r="C303" s="17" t="n"/>
      <c r="D303" s="10" t="n"/>
      <c r="E303" s="10" t="n"/>
      <c r="F303" s="17" t="n"/>
      <c r="G303" s="19" t="n"/>
      <c r="H303" s="16" t="n"/>
      <c r="I303" s="16" t="n"/>
      <c r="J303" s="16" t="n"/>
      <c r="K303" s="26" t="n"/>
      <c r="L303" s="26" t="n"/>
      <c r="M303" s="16" t="n"/>
      <c r="N303" s="9" t="n"/>
      <c r="O303" s="16" t="n"/>
      <c r="P303" s="16" t="n"/>
      <c r="Q303" s="24" t="n"/>
      <c r="R303" s="17" t="n"/>
      <c r="S303" s="17" t="n"/>
      <c r="T303" s="27" t="n"/>
      <c r="U303" s="27" t="n"/>
      <c r="V303" s="10" t="n"/>
    </row>
    <row r="304">
      <c r="A304" s="16" t="n"/>
      <c r="B304" s="17" t="n"/>
      <c r="C304" s="17" t="n"/>
      <c r="D304" s="10" t="n"/>
      <c r="E304" s="10" t="n"/>
      <c r="F304" s="17" t="n"/>
      <c r="G304" s="19" t="n"/>
      <c r="H304" s="16" t="n"/>
      <c r="I304" s="16" t="n"/>
      <c r="J304" s="16" t="n"/>
      <c r="K304" s="26" t="n"/>
      <c r="L304" s="26" t="n"/>
      <c r="M304" s="16" t="n"/>
      <c r="N304" s="9" t="n"/>
      <c r="O304" s="16" t="n"/>
      <c r="P304" s="16" t="n"/>
      <c r="Q304" s="24" t="n"/>
      <c r="R304" s="17" t="n"/>
      <c r="S304" s="17" t="n"/>
      <c r="T304" s="27" t="n"/>
      <c r="U304" s="27" t="n"/>
      <c r="V304" s="10" t="n"/>
    </row>
    <row r="305">
      <c r="A305" s="16" t="n"/>
      <c r="B305" s="17" t="n"/>
      <c r="C305" s="17" t="n"/>
      <c r="D305" s="10" t="n"/>
      <c r="E305" s="10" t="n"/>
      <c r="F305" s="17" t="n"/>
      <c r="G305" s="19" t="n"/>
      <c r="H305" s="16" t="n"/>
      <c r="I305" s="16" t="n"/>
      <c r="J305" s="16" t="n"/>
      <c r="K305" s="26" t="n"/>
      <c r="L305" s="26" t="n"/>
      <c r="M305" s="16" t="n"/>
      <c r="N305" s="9" t="n"/>
      <c r="O305" s="16" t="n"/>
      <c r="P305" s="16" t="n"/>
      <c r="Q305" s="24" t="n"/>
      <c r="R305" s="17" t="n"/>
      <c r="S305" s="17" t="n"/>
      <c r="T305" s="27" t="n"/>
      <c r="U305" s="27" t="n"/>
      <c r="V305" s="1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V305"/>
  <mergeCells count="1">
    <mergeCell ref="A2:V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3">
    <dataValidation sqref="B6:B306" showDropDown="0" showInputMessage="0" showErrorMessage="0" allowBlank="1" errorTitle="Invalid value" error="Pick a value from the list." type="list">
      <formula1>=Lists!$U$2:$U$1000</formula1>
    </dataValidation>
    <dataValidation sqref="F6:F306" showDropDown="0" showInputMessage="0" showErrorMessage="1" allowBlank="1" errorTitle="Invalid value" error="Pick a value from the list." type="list">
      <formula1>=Lists!$S$2:$S$1000</formula1>
    </dataValidation>
    <dataValidation sqref="R6:R306" showDropDown="0" showInputMessage="0" showErrorMessage="1" allowBlank="1" errorTitle="Invalid value" error="Pick a value from the list." type="list">
      <formula1>=Lists!$B$2:$B$60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V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46" customWidth="1" min="4" max="4"/>
    <col width="40" customWidth="1" min="5" max="5"/>
    <col width="8" customWidth="1" min="6" max="6"/>
    <col width="16" customWidth="1" min="7" max="7"/>
    <col width="9" customWidth="1" min="8" max="8"/>
    <col width="24" customWidth="1" min="9" max="9"/>
    <col width="18" customWidth="1" min="10" max="10"/>
    <col width="12" customWidth="1" min="11" max="11"/>
    <col width="12" customWidth="1" min="12" max="12"/>
    <col width="18" customWidth="1" min="13" max="13"/>
    <col width="30" customWidth="1" min="14" max="14"/>
    <col width="11" customWidth="1" min="15" max="15"/>
    <col width="12" customWidth="1" min="16" max="16"/>
    <col width="16" customWidth="1" min="17" max="17"/>
    <col width="24" customWidth="1" min="18" max="18"/>
    <col width="10" customWidth="1" min="19" max="19"/>
    <col width="13" customWidth="1" min="20" max="20"/>
    <col width="13" customWidth="1" min="21" max="21"/>
    <col width="34" customWidth="1" min="22" max="22"/>
  </cols>
  <sheetData>
    <row r="1">
      <c r="A1" s="4" t="inlineStr">
        <is>
          <t>Subcontract Library</t>
        </is>
      </c>
    </row>
    <row r="2" ht="48" customHeight="1">
      <c r="A2" s="3" t="inlineStr">
        <is>
          <t>Resource definitions with their current APPROVED rate (blue, read-only). Enter a proposed rate in the yellow columns: it is imported as a Draft proposal and needs review/approval in the application. A blank rate means the rate is MISSING - it is never treated as zero.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cost_code</t>
        </is>
      </c>
      <c r="C4" t="inlineStr">
        <is>
          <t>category</t>
        </is>
      </c>
      <c r="D4" t="inlineStr">
        <is>
          <t>description</t>
        </is>
      </c>
      <c r="E4" t="inlineStr">
        <is>
          <t>specification</t>
        </is>
      </c>
      <c r="F4" t="inlineStr">
        <is>
          <t>unit</t>
        </is>
      </c>
      <c r="G4" t="inlineStr">
        <is>
          <t>rate</t>
        </is>
      </c>
      <c r="H4" t="inlineStr">
        <is>
          <t>currency</t>
        </is>
      </c>
      <c r="I4" t="inlineStr">
        <is>
          <t>rate_type</t>
        </is>
      </c>
      <c r="J4" t="inlineStr">
        <is>
          <t>rate_status</t>
        </is>
      </c>
      <c r="K4" t="inlineStr">
        <is>
          <t>price_date</t>
        </is>
      </c>
      <c r="L4" t="inlineStr">
        <is>
          <t>valid_until</t>
        </is>
      </c>
      <c r="M4" t="inlineStr">
        <is>
          <t>supplier</t>
        </is>
      </c>
      <c r="N4" t="inlineStr">
        <is>
          <t>evidence</t>
        </is>
      </c>
      <c r="O4" t="inlineStr">
        <is>
          <t>confidence</t>
        </is>
      </c>
      <c r="P4" t="inlineStr">
        <is>
          <t>region</t>
        </is>
      </c>
      <c r="Q4" t="inlineStr">
        <is>
          <t>new_rate</t>
        </is>
      </c>
      <c r="R4" t="inlineStr">
        <is>
          <t>new_rate_type</t>
        </is>
      </c>
      <c r="S4" t="inlineStr">
        <is>
          <t>new_currency</t>
        </is>
      </c>
      <c r="T4" t="inlineStr">
        <is>
          <t>new_price_date</t>
        </is>
      </c>
      <c r="U4" t="inlineStr">
        <is>
          <t>new_valid_until</t>
        </is>
      </c>
      <c r="V4" t="inlineStr">
        <is>
          <t>new_evidence</t>
        </is>
      </c>
    </row>
    <row r="5" ht="34" customHeight="1">
      <c r="A5" s="15" t="inlineStr">
        <is>
          <t>Resource ID</t>
        </is>
      </c>
      <c r="B5" s="15" t="inlineStr">
        <is>
          <t>Cost code</t>
        </is>
      </c>
      <c r="C5" s="15" t="inlineStr">
        <is>
          <t>Category</t>
        </is>
      </c>
      <c r="D5" s="15" t="inlineStr">
        <is>
          <t>Description</t>
        </is>
      </c>
      <c r="E5" s="15" t="inlineStr">
        <is>
          <t>Specification</t>
        </is>
      </c>
      <c r="F5" s="15" t="inlineStr">
        <is>
          <t>Unit</t>
        </is>
      </c>
      <c r="G5" s="15" t="inlineStr">
        <is>
          <t>Current approved rate</t>
        </is>
      </c>
      <c r="H5" s="15" t="inlineStr">
        <is>
          <t>Currency</t>
        </is>
      </c>
      <c r="I5" s="15" t="inlineStr">
        <is>
          <t>Rate type</t>
        </is>
      </c>
      <c r="J5" s="15" t="inlineStr">
        <is>
          <t>Rate status</t>
        </is>
      </c>
      <c r="K5" s="15" t="inlineStr">
        <is>
          <t>Price date</t>
        </is>
      </c>
      <c r="L5" s="15" t="inlineStr">
        <is>
          <t>Valid until</t>
        </is>
      </c>
      <c r="M5" s="15" t="inlineStr">
        <is>
          <t>Supplier</t>
        </is>
      </c>
      <c r="N5" s="15" t="inlineStr">
        <is>
          <t>Source / evidence</t>
        </is>
      </c>
      <c r="O5" s="15" t="inlineStr">
        <is>
          <t>Confidence</t>
        </is>
      </c>
      <c r="P5" s="15" t="inlineStr">
        <is>
          <t>Region</t>
        </is>
      </c>
      <c r="Q5" s="15" t="inlineStr">
        <is>
          <t>PROPOSED new rate</t>
        </is>
      </c>
      <c r="R5" s="15" t="inlineStr">
        <is>
          <t>Proposed rate type</t>
        </is>
      </c>
      <c r="S5" s="15" t="inlineStr">
        <is>
          <t>Proposed currency</t>
        </is>
      </c>
      <c r="T5" s="15" t="inlineStr">
        <is>
          <t>Proposed price date</t>
        </is>
      </c>
      <c r="U5" s="15" t="inlineStr">
        <is>
          <t>Proposed valid until</t>
        </is>
      </c>
      <c r="V5" s="15" t="inlineStr">
        <is>
          <t>Proposed source / evidence</t>
        </is>
      </c>
    </row>
    <row r="6">
      <c r="A6" s="16" t="n"/>
      <c r="B6" s="17" t="n"/>
      <c r="C6" s="17" t="n"/>
      <c r="D6" s="10" t="n"/>
      <c r="E6" s="10" t="n"/>
      <c r="F6" s="17" t="n"/>
      <c r="G6" s="19" t="n"/>
      <c r="H6" s="16" t="n"/>
      <c r="I6" s="16" t="n"/>
      <c r="J6" s="16" t="n"/>
      <c r="K6" s="26" t="n"/>
      <c r="L6" s="26" t="n"/>
      <c r="M6" s="16" t="n"/>
      <c r="N6" s="9" t="n"/>
      <c r="O6" s="16" t="n"/>
      <c r="P6" s="16" t="n"/>
      <c r="Q6" s="24" t="n"/>
      <c r="R6" s="17" t="n"/>
      <c r="S6" s="17" t="n"/>
      <c r="T6" s="27" t="n"/>
      <c r="U6" s="27" t="n"/>
      <c r="V6" s="10" t="n"/>
    </row>
    <row r="7">
      <c r="A7" s="16" t="n"/>
      <c r="B7" s="17" t="n"/>
      <c r="C7" s="17" t="n"/>
      <c r="D7" s="10" t="n"/>
      <c r="E7" s="10" t="n"/>
      <c r="F7" s="17" t="n"/>
      <c r="G7" s="19" t="n"/>
      <c r="H7" s="16" t="n"/>
      <c r="I7" s="16" t="n"/>
      <c r="J7" s="16" t="n"/>
      <c r="K7" s="26" t="n"/>
      <c r="L7" s="26" t="n"/>
      <c r="M7" s="16" t="n"/>
      <c r="N7" s="9" t="n"/>
      <c r="O7" s="16" t="n"/>
      <c r="P7" s="16" t="n"/>
      <c r="Q7" s="24" t="n"/>
      <c r="R7" s="17" t="n"/>
      <c r="S7" s="17" t="n"/>
      <c r="T7" s="27" t="n"/>
      <c r="U7" s="27" t="n"/>
      <c r="V7" s="10" t="n"/>
    </row>
    <row r="8">
      <c r="A8" s="16" t="n"/>
      <c r="B8" s="17" t="n"/>
      <c r="C8" s="17" t="n"/>
      <c r="D8" s="10" t="n"/>
      <c r="E8" s="10" t="n"/>
      <c r="F8" s="17" t="n"/>
      <c r="G8" s="19" t="n"/>
      <c r="H8" s="16" t="n"/>
      <c r="I8" s="16" t="n"/>
      <c r="J8" s="16" t="n"/>
      <c r="K8" s="26" t="n"/>
      <c r="L8" s="26" t="n"/>
      <c r="M8" s="16" t="n"/>
      <c r="N8" s="9" t="n"/>
      <c r="O8" s="16" t="n"/>
      <c r="P8" s="16" t="n"/>
      <c r="Q8" s="24" t="n"/>
      <c r="R8" s="17" t="n"/>
      <c r="S8" s="17" t="n"/>
      <c r="T8" s="27" t="n"/>
      <c r="U8" s="27" t="n"/>
      <c r="V8" s="10" t="n"/>
    </row>
    <row r="9">
      <c r="A9" s="16" t="n"/>
      <c r="B9" s="17" t="n"/>
      <c r="C9" s="17" t="n"/>
      <c r="D9" s="10" t="n"/>
      <c r="E9" s="10" t="n"/>
      <c r="F9" s="17" t="n"/>
      <c r="G9" s="19" t="n"/>
      <c r="H9" s="16" t="n"/>
      <c r="I9" s="16" t="n"/>
      <c r="J9" s="16" t="n"/>
      <c r="K9" s="26" t="n"/>
      <c r="L9" s="26" t="n"/>
      <c r="M9" s="16" t="n"/>
      <c r="N9" s="9" t="n"/>
      <c r="O9" s="16" t="n"/>
      <c r="P9" s="16" t="n"/>
      <c r="Q9" s="24" t="n"/>
      <c r="R9" s="17" t="n"/>
      <c r="S9" s="17" t="n"/>
      <c r="T9" s="27" t="n"/>
      <c r="U9" s="27" t="n"/>
      <c r="V9" s="10" t="n"/>
    </row>
    <row r="10">
      <c r="A10" s="16" t="n"/>
      <c r="B10" s="17" t="n"/>
      <c r="C10" s="17" t="n"/>
      <c r="D10" s="10" t="n"/>
      <c r="E10" s="10" t="n"/>
      <c r="F10" s="17" t="n"/>
      <c r="G10" s="19" t="n"/>
      <c r="H10" s="16" t="n"/>
      <c r="I10" s="16" t="n"/>
      <c r="J10" s="16" t="n"/>
      <c r="K10" s="26" t="n"/>
      <c r="L10" s="26" t="n"/>
      <c r="M10" s="16" t="n"/>
      <c r="N10" s="9" t="n"/>
      <c r="O10" s="16" t="n"/>
      <c r="P10" s="16" t="n"/>
      <c r="Q10" s="24" t="n"/>
      <c r="R10" s="17" t="n"/>
      <c r="S10" s="17" t="n"/>
      <c r="T10" s="27" t="n"/>
      <c r="U10" s="27" t="n"/>
      <c r="V10" s="10" t="n"/>
    </row>
    <row r="11">
      <c r="A11" s="16" t="n"/>
      <c r="B11" s="17" t="n"/>
      <c r="C11" s="17" t="n"/>
      <c r="D11" s="10" t="n"/>
      <c r="E11" s="10" t="n"/>
      <c r="F11" s="17" t="n"/>
      <c r="G11" s="19" t="n"/>
      <c r="H11" s="16" t="n"/>
      <c r="I11" s="16" t="n"/>
      <c r="J11" s="16" t="n"/>
      <c r="K11" s="26" t="n"/>
      <c r="L11" s="26" t="n"/>
      <c r="M11" s="16" t="n"/>
      <c r="N11" s="9" t="n"/>
      <c r="O11" s="16" t="n"/>
      <c r="P11" s="16" t="n"/>
      <c r="Q11" s="24" t="n"/>
      <c r="R11" s="17" t="n"/>
      <c r="S11" s="17" t="n"/>
      <c r="T11" s="27" t="n"/>
      <c r="U11" s="27" t="n"/>
      <c r="V11" s="10" t="n"/>
    </row>
    <row r="12">
      <c r="A12" s="16" t="n"/>
      <c r="B12" s="17" t="n"/>
      <c r="C12" s="17" t="n"/>
      <c r="D12" s="10" t="n"/>
      <c r="E12" s="10" t="n"/>
      <c r="F12" s="17" t="n"/>
      <c r="G12" s="19" t="n"/>
      <c r="H12" s="16" t="n"/>
      <c r="I12" s="16" t="n"/>
      <c r="J12" s="16" t="n"/>
      <c r="K12" s="26" t="n"/>
      <c r="L12" s="26" t="n"/>
      <c r="M12" s="16" t="n"/>
      <c r="N12" s="9" t="n"/>
      <c r="O12" s="16" t="n"/>
      <c r="P12" s="16" t="n"/>
      <c r="Q12" s="24" t="n"/>
      <c r="R12" s="17" t="n"/>
      <c r="S12" s="17" t="n"/>
      <c r="T12" s="27" t="n"/>
      <c r="U12" s="27" t="n"/>
      <c r="V12" s="10" t="n"/>
    </row>
    <row r="13">
      <c r="A13" s="16" t="n"/>
      <c r="B13" s="17" t="n"/>
      <c r="C13" s="17" t="n"/>
      <c r="D13" s="10" t="n"/>
      <c r="E13" s="10" t="n"/>
      <c r="F13" s="17" t="n"/>
      <c r="G13" s="19" t="n"/>
      <c r="H13" s="16" t="n"/>
      <c r="I13" s="16" t="n"/>
      <c r="J13" s="16" t="n"/>
      <c r="K13" s="26" t="n"/>
      <c r="L13" s="26" t="n"/>
      <c r="M13" s="16" t="n"/>
      <c r="N13" s="9" t="n"/>
      <c r="O13" s="16" t="n"/>
      <c r="P13" s="16" t="n"/>
      <c r="Q13" s="24" t="n"/>
      <c r="R13" s="17" t="n"/>
      <c r="S13" s="17" t="n"/>
      <c r="T13" s="27" t="n"/>
      <c r="U13" s="27" t="n"/>
      <c r="V13" s="10" t="n"/>
    </row>
    <row r="14">
      <c r="A14" s="16" t="n"/>
      <c r="B14" s="17" t="n"/>
      <c r="C14" s="17" t="n"/>
      <c r="D14" s="10" t="n"/>
      <c r="E14" s="10" t="n"/>
      <c r="F14" s="17" t="n"/>
      <c r="G14" s="19" t="n"/>
      <c r="H14" s="16" t="n"/>
      <c r="I14" s="16" t="n"/>
      <c r="J14" s="16" t="n"/>
      <c r="K14" s="26" t="n"/>
      <c r="L14" s="26" t="n"/>
      <c r="M14" s="16" t="n"/>
      <c r="N14" s="9" t="n"/>
      <c r="O14" s="16" t="n"/>
      <c r="P14" s="16" t="n"/>
      <c r="Q14" s="24" t="n"/>
      <c r="R14" s="17" t="n"/>
      <c r="S14" s="17" t="n"/>
      <c r="T14" s="27" t="n"/>
      <c r="U14" s="27" t="n"/>
      <c r="V14" s="10" t="n"/>
    </row>
    <row r="15">
      <c r="A15" s="16" t="n"/>
      <c r="B15" s="17" t="n"/>
      <c r="C15" s="17" t="n"/>
      <c r="D15" s="10" t="n"/>
      <c r="E15" s="10" t="n"/>
      <c r="F15" s="17" t="n"/>
      <c r="G15" s="19" t="n"/>
      <c r="H15" s="16" t="n"/>
      <c r="I15" s="16" t="n"/>
      <c r="J15" s="16" t="n"/>
      <c r="K15" s="26" t="n"/>
      <c r="L15" s="26" t="n"/>
      <c r="M15" s="16" t="n"/>
      <c r="N15" s="9" t="n"/>
      <c r="O15" s="16" t="n"/>
      <c r="P15" s="16" t="n"/>
      <c r="Q15" s="24" t="n"/>
      <c r="R15" s="17" t="n"/>
      <c r="S15" s="17" t="n"/>
      <c r="T15" s="27" t="n"/>
      <c r="U15" s="27" t="n"/>
      <c r="V15" s="10" t="n"/>
    </row>
    <row r="16">
      <c r="A16" s="16" t="n"/>
      <c r="B16" s="17" t="n"/>
      <c r="C16" s="17" t="n"/>
      <c r="D16" s="10" t="n"/>
      <c r="E16" s="10" t="n"/>
      <c r="F16" s="17" t="n"/>
      <c r="G16" s="19" t="n"/>
      <c r="H16" s="16" t="n"/>
      <c r="I16" s="16" t="n"/>
      <c r="J16" s="16" t="n"/>
      <c r="K16" s="26" t="n"/>
      <c r="L16" s="26" t="n"/>
      <c r="M16" s="16" t="n"/>
      <c r="N16" s="9" t="n"/>
      <c r="O16" s="16" t="n"/>
      <c r="P16" s="16" t="n"/>
      <c r="Q16" s="24" t="n"/>
      <c r="R16" s="17" t="n"/>
      <c r="S16" s="17" t="n"/>
      <c r="T16" s="27" t="n"/>
      <c r="U16" s="27" t="n"/>
      <c r="V16" s="10" t="n"/>
    </row>
    <row r="17">
      <c r="A17" s="16" t="n"/>
      <c r="B17" s="17" t="n"/>
      <c r="C17" s="17" t="n"/>
      <c r="D17" s="10" t="n"/>
      <c r="E17" s="10" t="n"/>
      <c r="F17" s="17" t="n"/>
      <c r="G17" s="19" t="n"/>
      <c r="H17" s="16" t="n"/>
      <c r="I17" s="16" t="n"/>
      <c r="J17" s="16" t="n"/>
      <c r="K17" s="26" t="n"/>
      <c r="L17" s="26" t="n"/>
      <c r="M17" s="16" t="n"/>
      <c r="N17" s="9" t="n"/>
      <c r="O17" s="16" t="n"/>
      <c r="P17" s="16" t="n"/>
      <c r="Q17" s="24" t="n"/>
      <c r="R17" s="17" t="n"/>
      <c r="S17" s="17" t="n"/>
      <c r="T17" s="27" t="n"/>
      <c r="U17" s="27" t="n"/>
      <c r="V17" s="10" t="n"/>
    </row>
    <row r="18">
      <c r="A18" s="16" t="n"/>
      <c r="B18" s="17" t="n"/>
      <c r="C18" s="17" t="n"/>
      <c r="D18" s="10" t="n"/>
      <c r="E18" s="10" t="n"/>
      <c r="F18" s="17" t="n"/>
      <c r="G18" s="19" t="n"/>
      <c r="H18" s="16" t="n"/>
      <c r="I18" s="16" t="n"/>
      <c r="J18" s="16" t="n"/>
      <c r="K18" s="26" t="n"/>
      <c r="L18" s="26" t="n"/>
      <c r="M18" s="16" t="n"/>
      <c r="N18" s="9" t="n"/>
      <c r="O18" s="16" t="n"/>
      <c r="P18" s="16" t="n"/>
      <c r="Q18" s="24" t="n"/>
      <c r="R18" s="17" t="n"/>
      <c r="S18" s="17" t="n"/>
      <c r="T18" s="27" t="n"/>
      <c r="U18" s="27" t="n"/>
      <c r="V18" s="10" t="n"/>
    </row>
    <row r="19">
      <c r="A19" s="16" t="n"/>
      <c r="B19" s="17" t="n"/>
      <c r="C19" s="17" t="n"/>
      <c r="D19" s="10" t="n"/>
      <c r="E19" s="10" t="n"/>
      <c r="F19" s="17" t="n"/>
      <c r="G19" s="19" t="n"/>
      <c r="H19" s="16" t="n"/>
      <c r="I19" s="16" t="n"/>
      <c r="J19" s="16" t="n"/>
      <c r="K19" s="26" t="n"/>
      <c r="L19" s="26" t="n"/>
      <c r="M19" s="16" t="n"/>
      <c r="N19" s="9" t="n"/>
      <c r="O19" s="16" t="n"/>
      <c r="P19" s="16" t="n"/>
      <c r="Q19" s="24" t="n"/>
      <c r="R19" s="17" t="n"/>
      <c r="S19" s="17" t="n"/>
      <c r="T19" s="27" t="n"/>
      <c r="U19" s="27" t="n"/>
      <c r="V19" s="10" t="n"/>
    </row>
    <row r="20">
      <c r="A20" s="16" t="n"/>
      <c r="B20" s="17" t="n"/>
      <c r="C20" s="17" t="n"/>
      <c r="D20" s="10" t="n"/>
      <c r="E20" s="10" t="n"/>
      <c r="F20" s="17" t="n"/>
      <c r="G20" s="19" t="n"/>
      <c r="H20" s="16" t="n"/>
      <c r="I20" s="16" t="n"/>
      <c r="J20" s="16" t="n"/>
      <c r="K20" s="26" t="n"/>
      <c r="L20" s="26" t="n"/>
      <c r="M20" s="16" t="n"/>
      <c r="N20" s="9" t="n"/>
      <c r="O20" s="16" t="n"/>
      <c r="P20" s="16" t="n"/>
      <c r="Q20" s="24" t="n"/>
      <c r="R20" s="17" t="n"/>
      <c r="S20" s="17" t="n"/>
      <c r="T20" s="27" t="n"/>
      <c r="U20" s="27" t="n"/>
      <c r="V20" s="10" t="n"/>
    </row>
    <row r="21">
      <c r="A21" s="16" t="n"/>
      <c r="B21" s="17" t="n"/>
      <c r="C21" s="17" t="n"/>
      <c r="D21" s="10" t="n"/>
      <c r="E21" s="10" t="n"/>
      <c r="F21" s="17" t="n"/>
      <c r="G21" s="19" t="n"/>
      <c r="H21" s="16" t="n"/>
      <c r="I21" s="16" t="n"/>
      <c r="J21" s="16" t="n"/>
      <c r="K21" s="26" t="n"/>
      <c r="L21" s="26" t="n"/>
      <c r="M21" s="16" t="n"/>
      <c r="N21" s="9" t="n"/>
      <c r="O21" s="16" t="n"/>
      <c r="P21" s="16" t="n"/>
      <c r="Q21" s="24" t="n"/>
      <c r="R21" s="17" t="n"/>
      <c r="S21" s="17" t="n"/>
      <c r="T21" s="27" t="n"/>
      <c r="U21" s="27" t="n"/>
      <c r="V21" s="10" t="n"/>
    </row>
    <row r="22">
      <c r="A22" s="16" t="n"/>
      <c r="B22" s="17" t="n"/>
      <c r="C22" s="17" t="n"/>
      <c r="D22" s="10" t="n"/>
      <c r="E22" s="10" t="n"/>
      <c r="F22" s="17" t="n"/>
      <c r="G22" s="19" t="n"/>
      <c r="H22" s="16" t="n"/>
      <c r="I22" s="16" t="n"/>
      <c r="J22" s="16" t="n"/>
      <c r="K22" s="26" t="n"/>
      <c r="L22" s="26" t="n"/>
      <c r="M22" s="16" t="n"/>
      <c r="N22" s="9" t="n"/>
      <c r="O22" s="16" t="n"/>
      <c r="P22" s="16" t="n"/>
      <c r="Q22" s="24" t="n"/>
      <c r="R22" s="17" t="n"/>
      <c r="S22" s="17" t="n"/>
      <c r="T22" s="27" t="n"/>
      <c r="U22" s="27" t="n"/>
      <c r="V22" s="10" t="n"/>
    </row>
    <row r="23">
      <c r="A23" s="16" t="n"/>
      <c r="B23" s="17" t="n"/>
      <c r="C23" s="17" t="n"/>
      <c r="D23" s="10" t="n"/>
      <c r="E23" s="10" t="n"/>
      <c r="F23" s="17" t="n"/>
      <c r="G23" s="19" t="n"/>
      <c r="H23" s="16" t="n"/>
      <c r="I23" s="16" t="n"/>
      <c r="J23" s="16" t="n"/>
      <c r="K23" s="26" t="n"/>
      <c r="L23" s="26" t="n"/>
      <c r="M23" s="16" t="n"/>
      <c r="N23" s="9" t="n"/>
      <c r="O23" s="16" t="n"/>
      <c r="P23" s="16" t="n"/>
      <c r="Q23" s="24" t="n"/>
      <c r="R23" s="17" t="n"/>
      <c r="S23" s="17" t="n"/>
      <c r="T23" s="27" t="n"/>
      <c r="U23" s="27" t="n"/>
      <c r="V23" s="10" t="n"/>
    </row>
    <row r="24">
      <c r="A24" s="16" t="n"/>
      <c r="B24" s="17" t="n"/>
      <c r="C24" s="17" t="n"/>
      <c r="D24" s="10" t="n"/>
      <c r="E24" s="10" t="n"/>
      <c r="F24" s="17" t="n"/>
      <c r="G24" s="19" t="n"/>
      <c r="H24" s="16" t="n"/>
      <c r="I24" s="16" t="n"/>
      <c r="J24" s="16" t="n"/>
      <c r="K24" s="26" t="n"/>
      <c r="L24" s="26" t="n"/>
      <c r="M24" s="16" t="n"/>
      <c r="N24" s="9" t="n"/>
      <c r="O24" s="16" t="n"/>
      <c r="P24" s="16" t="n"/>
      <c r="Q24" s="24" t="n"/>
      <c r="R24" s="17" t="n"/>
      <c r="S24" s="17" t="n"/>
      <c r="T24" s="27" t="n"/>
      <c r="U24" s="27" t="n"/>
      <c r="V24" s="10" t="n"/>
    </row>
    <row r="25">
      <c r="A25" s="16" t="n"/>
      <c r="B25" s="17" t="n"/>
      <c r="C25" s="17" t="n"/>
      <c r="D25" s="10" t="n"/>
      <c r="E25" s="10" t="n"/>
      <c r="F25" s="17" t="n"/>
      <c r="G25" s="19" t="n"/>
      <c r="H25" s="16" t="n"/>
      <c r="I25" s="16" t="n"/>
      <c r="J25" s="16" t="n"/>
      <c r="K25" s="26" t="n"/>
      <c r="L25" s="26" t="n"/>
      <c r="M25" s="16" t="n"/>
      <c r="N25" s="9" t="n"/>
      <c r="O25" s="16" t="n"/>
      <c r="P25" s="16" t="n"/>
      <c r="Q25" s="24" t="n"/>
      <c r="R25" s="17" t="n"/>
      <c r="S25" s="17" t="n"/>
      <c r="T25" s="27" t="n"/>
      <c r="U25" s="27" t="n"/>
      <c r="V25" s="10" t="n"/>
    </row>
    <row r="26">
      <c r="A26" s="16" t="n"/>
      <c r="B26" s="17" t="n"/>
      <c r="C26" s="17" t="n"/>
      <c r="D26" s="10" t="n"/>
      <c r="E26" s="10" t="n"/>
      <c r="F26" s="17" t="n"/>
      <c r="G26" s="19" t="n"/>
      <c r="H26" s="16" t="n"/>
      <c r="I26" s="16" t="n"/>
      <c r="J26" s="16" t="n"/>
      <c r="K26" s="26" t="n"/>
      <c r="L26" s="26" t="n"/>
      <c r="M26" s="16" t="n"/>
      <c r="N26" s="9" t="n"/>
      <c r="O26" s="16" t="n"/>
      <c r="P26" s="16" t="n"/>
      <c r="Q26" s="24" t="n"/>
      <c r="R26" s="17" t="n"/>
      <c r="S26" s="17" t="n"/>
      <c r="T26" s="27" t="n"/>
      <c r="U26" s="27" t="n"/>
      <c r="V26" s="10" t="n"/>
    </row>
    <row r="27">
      <c r="A27" s="16" t="n"/>
      <c r="B27" s="17" t="n"/>
      <c r="C27" s="17" t="n"/>
      <c r="D27" s="10" t="n"/>
      <c r="E27" s="10" t="n"/>
      <c r="F27" s="17" t="n"/>
      <c r="G27" s="19" t="n"/>
      <c r="H27" s="16" t="n"/>
      <c r="I27" s="16" t="n"/>
      <c r="J27" s="16" t="n"/>
      <c r="K27" s="26" t="n"/>
      <c r="L27" s="26" t="n"/>
      <c r="M27" s="16" t="n"/>
      <c r="N27" s="9" t="n"/>
      <c r="O27" s="16" t="n"/>
      <c r="P27" s="16" t="n"/>
      <c r="Q27" s="24" t="n"/>
      <c r="R27" s="17" t="n"/>
      <c r="S27" s="17" t="n"/>
      <c r="T27" s="27" t="n"/>
      <c r="U27" s="27" t="n"/>
      <c r="V27" s="10" t="n"/>
    </row>
    <row r="28">
      <c r="A28" s="16" t="n"/>
      <c r="B28" s="17" t="n"/>
      <c r="C28" s="17" t="n"/>
      <c r="D28" s="10" t="n"/>
      <c r="E28" s="10" t="n"/>
      <c r="F28" s="17" t="n"/>
      <c r="G28" s="19" t="n"/>
      <c r="H28" s="16" t="n"/>
      <c r="I28" s="16" t="n"/>
      <c r="J28" s="16" t="n"/>
      <c r="K28" s="26" t="n"/>
      <c r="L28" s="26" t="n"/>
      <c r="M28" s="16" t="n"/>
      <c r="N28" s="9" t="n"/>
      <c r="O28" s="16" t="n"/>
      <c r="P28" s="16" t="n"/>
      <c r="Q28" s="24" t="n"/>
      <c r="R28" s="17" t="n"/>
      <c r="S28" s="17" t="n"/>
      <c r="T28" s="27" t="n"/>
      <c r="U28" s="27" t="n"/>
      <c r="V28" s="10" t="n"/>
    </row>
    <row r="29">
      <c r="A29" s="16" t="n"/>
      <c r="B29" s="17" t="n"/>
      <c r="C29" s="17" t="n"/>
      <c r="D29" s="10" t="n"/>
      <c r="E29" s="10" t="n"/>
      <c r="F29" s="17" t="n"/>
      <c r="G29" s="19" t="n"/>
      <c r="H29" s="16" t="n"/>
      <c r="I29" s="16" t="n"/>
      <c r="J29" s="16" t="n"/>
      <c r="K29" s="26" t="n"/>
      <c r="L29" s="26" t="n"/>
      <c r="M29" s="16" t="n"/>
      <c r="N29" s="9" t="n"/>
      <c r="O29" s="16" t="n"/>
      <c r="P29" s="16" t="n"/>
      <c r="Q29" s="24" t="n"/>
      <c r="R29" s="17" t="n"/>
      <c r="S29" s="17" t="n"/>
      <c r="T29" s="27" t="n"/>
      <c r="U29" s="27" t="n"/>
      <c r="V29" s="10" t="n"/>
    </row>
    <row r="30">
      <c r="A30" s="16" t="n"/>
      <c r="B30" s="17" t="n"/>
      <c r="C30" s="17" t="n"/>
      <c r="D30" s="10" t="n"/>
      <c r="E30" s="10" t="n"/>
      <c r="F30" s="17" t="n"/>
      <c r="G30" s="19" t="n"/>
      <c r="H30" s="16" t="n"/>
      <c r="I30" s="16" t="n"/>
      <c r="J30" s="16" t="n"/>
      <c r="K30" s="26" t="n"/>
      <c r="L30" s="26" t="n"/>
      <c r="M30" s="16" t="n"/>
      <c r="N30" s="9" t="n"/>
      <c r="O30" s="16" t="n"/>
      <c r="P30" s="16" t="n"/>
      <c r="Q30" s="24" t="n"/>
      <c r="R30" s="17" t="n"/>
      <c r="S30" s="17" t="n"/>
      <c r="T30" s="27" t="n"/>
      <c r="U30" s="27" t="n"/>
      <c r="V30" s="10" t="n"/>
    </row>
    <row r="31">
      <c r="A31" s="16" t="n"/>
      <c r="B31" s="17" t="n"/>
      <c r="C31" s="17" t="n"/>
      <c r="D31" s="10" t="n"/>
      <c r="E31" s="10" t="n"/>
      <c r="F31" s="17" t="n"/>
      <c r="G31" s="19" t="n"/>
      <c r="H31" s="16" t="n"/>
      <c r="I31" s="16" t="n"/>
      <c r="J31" s="16" t="n"/>
      <c r="K31" s="26" t="n"/>
      <c r="L31" s="26" t="n"/>
      <c r="M31" s="16" t="n"/>
      <c r="N31" s="9" t="n"/>
      <c r="O31" s="16" t="n"/>
      <c r="P31" s="16" t="n"/>
      <c r="Q31" s="24" t="n"/>
      <c r="R31" s="17" t="n"/>
      <c r="S31" s="17" t="n"/>
      <c r="T31" s="27" t="n"/>
      <c r="U31" s="27" t="n"/>
      <c r="V31" s="10" t="n"/>
    </row>
    <row r="32">
      <c r="A32" s="16" t="n"/>
      <c r="B32" s="17" t="n"/>
      <c r="C32" s="17" t="n"/>
      <c r="D32" s="10" t="n"/>
      <c r="E32" s="10" t="n"/>
      <c r="F32" s="17" t="n"/>
      <c r="G32" s="19" t="n"/>
      <c r="H32" s="16" t="n"/>
      <c r="I32" s="16" t="n"/>
      <c r="J32" s="16" t="n"/>
      <c r="K32" s="26" t="n"/>
      <c r="L32" s="26" t="n"/>
      <c r="M32" s="16" t="n"/>
      <c r="N32" s="9" t="n"/>
      <c r="O32" s="16" t="n"/>
      <c r="P32" s="16" t="n"/>
      <c r="Q32" s="24" t="n"/>
      <c r="R32" s="17" t="n"/>
      <c r="S32" s="17" t="n"/>
      <c r="T32" s="27" t="n"/>
      <c r="U32" s="27" t="n"/>
      <c r="V32" s="10" t="n"/>
    </row>
    <row r="33">
      <c r="A33" s="16" t="n"/>
      <c r="B33" s="17" t="n"/>
      <c r="C33" s="17" t="n"/>
      <c r="D33" s="10" t="n"/>
      <c r="E33" s="10" t="n"/>
      <c r="F33" s="17" t="n"/>
      <c r="G33" s="19" t="n"/>
      <c r="H33" s="16" t="n"/>
      <c r="I33" s="16" t="n"/>
      <c r="J33" s="16" t="n"/>
      <c r="K33" s="26" t="n"/>
      <c r="L33" s="26" t="n"/>
      <c r="M33" s="16" t="n"/>
      <c r="N33" s="9" t="n"/>
      <c r="O33" s="16" t="n"/>
      <c r="P33" s="16" t="n"/>
      <c r="Q33" s="24" t="n"/>
      <c r="R33" s="17" t="n"/>
      <c r="S33" s="17" t="n"/>
      <c r="T33" s="27" t="n"/>
      <c r="U33" s="27" t="n"/>
      <c r="V33" s="10" t="n"/>
    </row>
    <row r="34">
      <c r="A34" s="16" t="n"/>
      <c r="B34" s="17" t="n"/>
      <c r="C34" s="17" t="n"/>
      <c r="D34" s="10" t="n"/>
      <c r="E34" s="10" t="n"/>
      <c r="F34" s="17" t="n"/>
      <c r="G34" s="19" t="n"/>
      <c r="H34" s="16" t="n"/>
      <c r="I34" s="16" t="n"/>
      <c r="J34" s="16" t="n"/>
      <c r="K34" s="26" t="n"/>
      <c r="L34" s="26" t="n"/>
      <c r="M34" s="16" t="n"/>
      <c r="N34" s="9" t="n"/>
      <c r="O34" s="16" t="n"/>
      <c r="P34" s="16" t="n"/>
      <c r="Q34" s="24" t="n"/>
      <c r="R34" s="17" t="n"/>
      <c r="S34" s="17" t="n"/>
      <c r="T34" s="27" t="n"/>
      <c r="U34" s="27" t="n"/>
      <c r="V34" s="10" t="n"/>
    </row>
    <row r="35">
      <c r="A35" s="16" t="n"/>
      <c r="B35" s="17" t="n"/>
      <c r="C35" s="17" t="n"/>
      <c r="D35" s="10" t="n"/>
      <c r="E35" s="10" t="n"/>
      <c r="F35" s="17" t="n"/>
      <c r="G35" s="19" t="n"/>
      <c r="H35" s="16" t="n"/>
      <c r="I35" s="16" t="n"/>
      <c r="J35" s="16" t="n"/>
      <c r="K35" s="26" t="n"/>
      <c r="L35" s="26" t="n"/>
      <c r="M35" s="16" t="n"/>
      <c r="N35" s="9" t="n"/>
      <c r="O35" s="16" t="n"/>
      <c r="P35" s="16" t="n"/>
      <c r="Q35" s="24" t="n"/>
      <c r="R35" s="17" t="n"/>
      <c r="S35" s="17" t="n"/>
      <c r="T35" s="27" t="n"/>
      <c r="U35" s="27" t="n"/>
      <c r="V35" s="10" t="n"/>
    </row>
    <row r="36">
      <c r="A36" s="16" t="n"/>
      <c r="B36" s="17" t="n"/>
      <c r="C36" s="17" t="n"/>
      <c r="D36" s="10" t="n"/>
      <c r="E36" s="10" t="n"/>
      <c r="F36" s="17" t="n"/>
      <c r="G36" s="19" t="n"/>
      <c r="H36" s="16" t="n"/>
      <c r="I36" s="16" t="n"/>
      <c r="J36" s="16" t="n"/>
      <c r="K36" s="26" t="n"/>
      <c r="L36" s="26" t="n"/>
      <c r="M36" s="16" t="n"/>
      <c r="N36" s="9" t="n"/>
      <c r="O36" s="16" t="n"/>
      <c r="P36" s="16" t="n"/>
      <c r="Q36" s="24" t="n"/>
      <c r="R36" s="17" t="n"/>
      <c r="S36" s="17" t="n"/>
      <c r="T36" s="27" t="n"/>
      <c r="U36" s="27" t="n"/>
      <c r="V36" s="10" t="n"/>
    </row>
    <row r="37">
      <c r="A37" s="16" t="n"/>
      <c r="B37" s="17" t="n"/>
      <c r="C37" s="17" t="n"/>
      <c r="D37" s="10" t="n"/>
      <c r="E37" s="10" t="n"/>
      <c r="F37" s="17" t="n"/>
      <c r="G37" s="19" t="n"/>
      <c r="H37" s="16" t="n"/>
      <c r="I37" s="16" t="n"/>
      <c r="J37" s="16" t="n"/>
      <c r="K37" s="26" t="n"/>
      <c r="L37" s="26" t="n"/>
      <c r="M37" s="16" t="n"/>
      <c r="N37" s="9" t="n"/>
      <c r="O37" s="16" t="n"/>
      <c r="P37" s="16" t="n"/>
      <c r="Q37" s="24" t="n"/>
      <c r="R37" s="17" t="n"/>
      <c r="S37" s="17" t="n"/>
      <c r="T37" s="27" t="n"/>
      <c r="U37" s="27" t="n"/>
      <c r="V37" s="10" t="n"/>
    </row>
    <row r="38">
      <c r="A38" s="16" t="n"/>
      <c r="B38" s="17" t="n"/>
      <c r="C38" s="17" t="n"/>
      <c r="D38" s="10" t="n"/>
      <c r="E38" s="10" t="n"/>
      <c r="F38" s="17" t="n"/>
      <c r="G38" s="19" t="n"/>
      <c r="H38" s="16" t="n"/>
      <c r="I38" s="16" t="n"/>
      <c r="J38" s="16" t="n"/>
      <c r="K38" s="26" t="n"/>
      <c r="L38" s="26" t="n"/>
      <c r="M38" s="16" t="n"/>
      <c r="N38" s="9" t="n"/>
      <c r="O38" s="16" t="n"/>
      <c r="P38" s="16" t="n"/>
      <c r="Q38" s="24" t="n"/>
      <c r="R38" s="17" t="n"/>
      <c r="S38" s="17" t="n"/>
      <c r="T38" s="27" t="n"/>
      <c r="U38" s="27" t="n"/>
      <c r="V38" s="10" t="n"/>
    </row>
    <row r="39">
      <c r="A39" s="16" t="n"/>
      <c r="B39" s="17" t="n"/>
      <c r="C39" s="17" t="n"/>
      <c r="D39" s="10" t="n"/>
      <c r="E39" s="10" t="n"/>
      <c r="F39" s="17" t="n"/>
      <c r="G39" s="19" t="n"/>
      <c r="H39" s="16" t="n"/>
      <c r="I39" s="16" t="n"/>
      <c r="J39" s="16" t="n"/>
      <c r="K39" s="26" t="n"/>
      <c r="L39" s="26" t="n"/>
      <c r="M39" s="16" t="n"/>
      <c r="N39" s="9" t="n"/>
      <c r="O39" s="16" t="n"/>
      <c r="P39" s="16" t="n"/>
      <c r="Q39" s="24" t="n"/>
      <c r="R39" s="17" t="n"/>
      <c r="S39" s="17" t="n"/>
      <c r="T39" s="27" t="n"/>
      <c r="U39" s="27" t="n"/>
      <c r="V39" s="10" t="n"/>
    </row>
    <row r="40">
      <c r="A40" s="16" t="n"/>
      <c r="B40" s="17" t="n"/>
      <c r="C40" s="17" t="n"/>
      <c r="D40" s="10" t="n"/>
      <c r="E40" s="10" t="n"/>
      <c r="F40" s="17" t="n"/>
      <c r="G40" s="19" t="n"/>
      <c r="H40" s="16" t="n"/>
      <c r="I40" s="16" t="n"/>
      <c r="J40" s="16" t="n"/>
      <c r="K40" s="26" t="n"/>
      <c r="L40" s="26" t="n"/>
      <c r="M40" s="16" t="n"/>
      <c r="N40" s="9" t="n"/>
      <c r="O40" s="16" t="n"/>
      <c r="P40" s="16" t="n"/>
      <c r="Q40" s="24" t="n"/>
      <c r="R40" s="17" t="n"/>
      <c r="S40" s="17" t="n"/>
      <c r="T40" s="27" t="n"/>
      <c r="U40" s="27" t="n"/>
      <c r="V40" s="10" t="n"/>
    </row>
    <row r="41">
      <c r="A41" s="16" t="n"/>
      <c r="B41" s="17" t="n"/>
      <c r="C41" s="17" t="n"/>
      <c r="D41" s="10" t="n"/>
      <c r="E41" s="10" t="n"/>
      <c r="F41" s="17" t="n"/>
      <c r="G41" s="19" t="n"/>
      <c r="H41" s="16" t="n"/>
      <c r="I41" s="16" t="n"/>
      <c r="J41" s="16" t="n"/>
      <c r="K41" s="26" t="n"/>
      <c r="L41" s="26" t="n"/>
      <c r="M41" s="16" t="n"/>
      <c r="N41" s="9" t="n"/>
      <c r="O41" s="16" t="n"/>
      <c r="P41" s="16" t="n"/>
      <c r="Q41" s="24" t="n"/>
      <c r="R41" s="17" t="n"/>
      <c r="S41" s="17" t="n"/>
      <c r="T41" s="27" t="n"/>
      <c r="U41" s="27" t="n"/>
      <c r="V41" s="10" t="n"/>
    </row>
    <row r="42">
      <c r="A42" s="16" t="n"/>
      <c r="B42" s="17" t="n"/>
      <c r="C42" s="17" t="n"/>
      <c r="D42" s="10" t="n"/>
      <c r="E42" s="10" t="n"/>
      <c r="F42" s="17" t="n"/>
      <c r="G42" s="19" t="n"/>
      <c r="H42" s="16" t="n"/>
      <c r="I42" s="16" t="n"/>
      <c r="J42" s="16" t="n"/>
      <c r="K42" s="26" t="n"/>
      <c r="L42" s="26" t="n"/>
      <c r="M42" s="16" t="n"/>
      <c r="N42" s="9" t="n"/>
      <c r="O42" s="16" t="n"/>
      <c r="P42" s="16" t="n"/>
      <c r="Q42" s="24" t="n"/>
      <c r="R42" s="17" t="n"/>
      <c r="S42" s="17" t="n"/>
      <c r="T42" s="27" t="n"/>
      <c r="U42" s="27" t="n"/>
      <c r="V42" s="10" t="n"/>
    </row>
    <row r="43">
      <c r="A43" s="16" t="n"/>
      <c r="B43" s="17" t="n"/>
      <c r="C43" s="17" t="n"/>
      <c r="D43" s="10" t="n"/>
      <c r="E43" s="10" t="n"/>
      <c r="F43" s="17" t="n"/>
      <c r="G43" s="19" t="n"/>
      <c r="H43" s="16" t="n"/>
      <c r="I43" s="16" t="n"/>
      <c r="J43" s="16" t="n"/>
      <c r="K43" s="26" t="n"/>
      <c r="L43" s="26" t="n"/>
      <c r="M43" s="16" t="n"/>
      <c r="N43" s="9" t="n"/>
      <c r="O43" s="16" t="n"/>
      <c r="P43" s="16" t="n"/>
      <c r="Q43" s="24" t="n"/>
      <c r="R43" s="17" t="n"/>
      <c r="S43" s="17" t="n"/>
      <c r="T43" s="27" t="n"/>
      <c r="U43" s="27" t="n"/>
      <c r="V43" s="10" t="n"/>
    </row>
    <row r="44">
      <c r="A44" s="16" t="n"/>
      <c r="B44" s="17" t="n"/>
      <c r="C44" s="17" t="n"/>
      <c r="D44" s="10" t="n"/>
      <c r="E44" s="10" t="n"/>
      <c r="F44" s="17" t="n"/>
      <c r="G44" s="19" t="n"/>
      <c r="H44" s="16" t="n"/>
      <c r="I44" s="16" t="n"/>
      <c r="J44" s="16" t="n"/>
      <c r="K44" s="26" t="n"/>
      <c r="L44" s="26" t="n"/>
      <c r="M44" s="16" t="n"/>
      <c r="N44" s="9" t="n"/>
      <c r="O44" s="16" t="n"/>
      <c r="P44" s="16" t="n"/>
      <c r="Q44" s="24" t="n"/>
      <c r="R44" s="17" t="n"/>
      <c r="S44" s="17" t="n"/>
      <c r="T44" s="27" t="n"/>
      <c r="U44" s="27" t="n"/>
      <c r="V44" s="10" t="n"/>
    </row>
    <row r="45">
      <c r="A45" s="16" t="n"/>
      <c r="B45" s="17" t="n"/>
      <c r="C45" s="17" t="n"/>
      <c r="D45" s="10" t="n"/>
      <c r="E45" s="10" t="n"/>
      <c r="F45" s="17" t="n"/>
      <c r="G45" s="19" t="n"/>
      <c r="H45" s="16" t="n"/>
      <c r="I45" s="16" t="n"/>
      <c r="J45" s="16" t="n"/>
      <c r="K45" s="26" t="n"/>
      <c r="L45" s="26" t="n"/>
      <c r="M45" s="16" t="n"/>
      <c r="N45" s="9" t="n"/>
      <c r="O45" s="16" t="n"/>
      <c r="P45" s="16" t="n"/>
      <c r="Q45" s="24" t="n"/>
      <c r="R45" s="17" t="n"/>
      <c r="S45" s="17" t="n"/>
      <c r="T45" s="27" t="n"/>
      <c r="U45" s="27" t="n"/>
      <c r="V45" s="10" t="n"/>
    </row>
    <row r="46">
      <c r="A46" s="16" t="n"/>
      <c r="B46" s="17" t="n"/>
      <c r="C46" s="17" t="n"/>
      <c r="D46" s="10" t="n"/>
      <c r="E46" s="10" t="n"/>
      <c r="F46" s="17" t="n"/>
      <c r="G46" s="19" t="n"/>
      <c r="H46" s="16" t="n"/>
      <c r="I46" s="16" t="n"/>
      <c r="J46" s="16" t="n"/>
      <c r="K46" s="26" t="n"/>
      <c r="L46" s="26" t="n"/>
      <c r="M46" s="16" t="n"/>
      <c r="N46" s="9" t="n"/>
      <c r="O46" s="16" t="n"/>
      <c r="P46" s="16" t="n"/>
      <c r="Q46" s="24" t="n"/>
      <c r="R46" s="17" t="n"/>
      <c r="S46" s="17" t="n"/>
      <c r="T46" s="27" t="n"/>
      <c r="U46" s="27" t="n"/>
      <c r="V46" s="10" t="n"/>
    </row>
    <row r="47">
      <c r="A47" s="16" t="n"/>
      <c r="B47" s="17" t="n"/>
      <c r="C47" s="17" t="n"/>
      <c r="D47" s="10" t="n"/>
      <c r="E47" s="10" t="n"/>
      <c r="F47" s="17" t="n"/>
      <c r="G47" s="19" t="n"/>
      <c r="H47" s="16" t="n"/>
      <c r="I47" s="16" t="n"/>
      <c r="J47" s="16" t="n"/>
      <c r="K47" s="26" t="n"/>
      <c r="L47" s="26" t="n"/>
      <c r="M47" s="16" t="n"/>
      <c r="N47" s="9" t="n"/>
      <c r="O47" s="16" t="n"/>
      <c r="P47" s="16" t="n"/>
      <c r="Q47" s="24" t="n"/>
      <c r="R47" s="17" t="n"/>
      <c r="S47" s="17" t="n"/>
      <c r="T47" s="27" t="n"/>
      <c r="U47" s="27" t="n"/>
      <c r="V47" s="10" t="n"/>
    </row>
    <row r="48">
      <c r="A48" s="16" t="n"/>
      <c r="B48" s="17" t="n"/>
      <c r="C48" s="17" t="n"/>
      <c r="D48" s="10" t="n"/>
      <c r="E48" s="10" t="n"/>
      <c r="F48" s="17" t="n"/>
      <c r="G48" s="19" t="n"/>
      <c r="H48" s="16" t="n"/>
      <c r="I48" s="16" t="n"/>
      <c r="J48" s="16" t="n"/>
      <c r="K48" s="26" t="n"/>
      <c r="L48" s="26" t="n"/>
      <c r="M48" s="16" t="n"/>
      <c r="N48" s="9" t="n"/>
      <c r="O48" s="16" t="n"/>
      <c r="P48" s="16" t="n"/>
      <c r="Q48" s="24" t="n"/>
      <c r="R48" s="17" t="n"/>
      <c r="S48" s="17" t="n"/>
      <c r="T48" s="27" t="n"/>
      <c r="U48" s="27" t="n"/>
      <c r="V48" s="10" t="n"/>
    </row>
    <row r="49">
      <c r="A49" s="16" t="n"/>
      <c r="B49" s="17" t="n"/>
      <c r="C49" s="17" t="n"/>
      <c r="D49" s="10" t="n"/>
      <c r="E49" s="10" t="n"/>
      <c r="F49" s="17" t="n"/>
      <c r="G49" s="19" t="n"/>
      <c r="H49" s="16" t="n"/>
      <c r="I49" s="16" t="n"/>
      <c r="J49" s="16" t="n"/>
      <c r="K49" s="26" t="n"/>
      <c r="L49" s="26" t="n"/>
      <c r="M49" s="16" t="n"/>
      <c r="N49" s="9" t="n"/>
      <c r="O49" s="16" t="n"/>
      <c r="P49" s="16" t="n"/>
      <c r="Q49" s="24" t="n"/>
      <c r="R49" s="17" t="n"/>
      <c r="S49" s="17" t="n"/>
      <c r="T49" s="27" t="n"/>
      <c r="U49" s="27" t="n"/>
      <c r="V49" s="10" t="n"/>
    </row>
    <row r="50">
      <c r="A50" s="16" t="n"/>
      <c r="B50" s="17" t="n"/>
      <c r="C50" s="17" t="n"/>
      <c r="D50" s="10" t="n"/>
      <c r="E50" s="10" t="n"/>
      <c r="F50" s="17" t="n"/>
      <c r="G50" s="19" t="n"/>
      <c r="H50" s="16" t="n"/>
      <c r="I50" s="16" t="n"/>
      <c r="J50" s="16" t="n"/>
      <c r="K50" s="26" t="n"/>
      <c r="L50" s="26" t="n"/>
      <c r="M50" s="16" t="n"/>
      <c r="N50" s="9" t="n"/>
      <c r="O50" s="16" t="n"/>
      <c r="P50" s="16" t="n"/>
      <c r="Q50" s="24" t="n"/>
      <c r="R50" s="17" t="n"/>
      <c r="S50" s="17" t="n"/>
      <c r="T50" s="27" t="n"/>
      <c r="U50" s="27" t="n"/>
      <c r="V50" s="10" t="n"/>
    </row>
    <row r="51">
      <c r="A51" s="16" t="n"/>
      <c r="B51" s="17" t="n"/>
      <c r="C51" s="17" t="n"/>
      <c r="D51" s="10" t="n"/>
      <c r="E51" s="10" t="n"/>
      <c r="F51" s="17" t="n"/>
      <c r="G51" s="19" t="n"/>
      <c r="H51" s="16" t="n"/>
      <c r="I51" s="16" t="n"/>
      <c r="J51" s="16" t="n"/>
      <c r="K51" s="26" t="n"/>
      <c r="L51" s="26" t="n"/>
      <c r="M51" s="16" t="n"/>
      <c r="N51" s="9" t="n"/>
      <c r="O51" s="16" t="n"/>
      <c r="P51" s="16" t="n"/>
      <c r="Q51" s="24" t="n"/>
      <c r="R51" s="17" t="n"/>
      <c r="S51" s="17" t="n"/>
      <c r="T51" s="27" t="n"/>
      <c r="U51" s="27" t="n"/>
      <c r="V51" s="10" t="n"/>
    </row>
    <row r="52">
      <c r="A52" s="16" t="n"/>
      <c r="B52" s="17" t="n"/>
      <c r="C52" s="17" t="n"/>
      <c r="D52" s="10" t="n"/>
      <c r="E52" s="10" t="n"/>
      <c r="F52" s="17" t="n"/>
      <c r="G52" s="19" t="n"/>
      <c r="H52" s="16" t="n"/>
      <c r="I52" s="16" t="n"/>
      <c r="J52" s="16" t="n"/>
      <c r="K52" s="26" t="n"/>
      <c r="L52" s="26" t="n"/>
      <c r="M52" s="16" t="n"/>
      <c r="N52" s="9" t="n"/>
      <c r="O52" s="16" t="n"/>
      <c r="P52" s="16" t="n"/>
      <c r="Q52" s="24" t="n"/>
      <c r="R52" s="17" t="n"/>
      <c r="S52" s="17" t="n"/>
      <c r="T52" s="27" t="n"/>
      <c r="U52" s="27" t="n"/>
      <c r="V52" s="10" t="n"/>
    </row>
    <row r="53">
      <c r="A53" s="16" t="n"/>
      <c r="B53" s="17" t="n"/>
      <c r="C53" s="17" t="n"/>
      <c r="D53" s="10" t="n"/>
      <c r="E53" s="10" t="n"/>
      <c r="F53" s="17" t="n"/>
      <c r="G53" s="19" t="n"/>
      <c r="H53" s="16" t="n"/>
      <c r="I53" s="16" t="n"/>
      <c r="J53" s="16" t="n"/>
      <c r="K53" s="26" t="n"/>
      <c r="L53" s="26" t="n"/>
      <c r="M53" s="16" t="n"/>
      <c r="N53" s="9" t="n"/>
      <c r="O53" s="16" t="n"/>
      <c r="P53" s="16" t="n"/>
      <c r="Q53" s="24" t="n"/>
      <c r="R53" s="17" t="n"/>
      <c r="S53" s="17" t="n"/>
      <c r="T53" s="27" t="n"/>
      <c r="U53" s="27" t="n"/>
      <c r="V53" s="10" t="n"/>
    </row>
    <row r="54">
      <c r="A54" s="16" t="n"/>
      <c r="B54" s="17" t="n"/>
      <c r="C54" s="17" t="n"/>
      <c r="D54" s="10" t="n"/>
      <c r="E54" s="10" t="n"/>
      <c r="F54" s="17" t="n"/>
      <c r="G54" s="19" t="n"/>
      <c r="H54" s="16" t="n"/>
      <c r="I54" s="16" t="n"/>
      <c r="J54" s="16" t="n"/>
      <c r="K54" s="26" t="n"/>
      <c r="L54" s="26" t="n"/>
      <c r="M54" s="16" t="n"/>
      <c r="N54" s="9" t="n"/>
      <c r="O54" s="16" t="n"/>
      <c r="P54" s="16" t="n"/>
      <c r="Q54" s="24" t="n"/>
      <c r="R54" s="17" t="n"/>
      <c r="S54" s="17" t="n"/>
      <c r="T54" s="27" t="n"/>
      <c r="U54" s="27" t="n"/>
      <c r="V54" s="10" t="n"/>
    </row>
    <row r="55">
      <c r="A55" s="16" t="n"/>
      <c r="B55" s="17" t="n"/>
      <c r="C55" s="17" t="n"/>
      <c r="D55" s="10" t="n"/>
      <c r="E55" s="10" t="n"/>
      <c r="F55" s="17" t="n"/>
      <c r="G55" s="19" t="n"/>
      <c r="H55" s="16" t="n"/>
      <c r="I55" s="16" t="n"/>
      <c r="J55" s="16" t="n"/>
      <c r="K55" s="26" t="n"/>
      <c r="L55" s="26" t="n"/>
      <c r="M55" s="16" t="n"/>
      <c r="N55" s="9" t="n"/>
      <c r="O55" s="16" t="n"/>
      <c r="P55" s="16" t="n"/>
      <c r="Q55" s="24" t="n"/>
      <c r="R55" s="17" t="n"/>
      <c r="S55" s="17" t="n"/>
      <c r="T55" s="27" t="n"/>
      <c r="U55" s="27" t="n"/>
      <c r="V55" s="10" t="n"/>
    </row>
    <row r="56">
      <c r="A56" s="16" t="n"/>
      <c r="B56" s="17" t="n"/>
      <c r="C56" s="17" t="n"/>
      <c r="D56" s="10" t="n"/>
      <c r="E56" s="10" t="n"/>
      <c r="F56" s="17" t="n"/>
      <c r="G56" s="19" t="n"/>
      <c r="H56" s="16" t="n"/>
      <c r="I56" s="16" t="n"/>
      <c r="J56" s="16" t="n"/>
      <c r="K56" s="26" t="n"/>
      <c r="L56" s="26" t="n"/>
      <c r="M56" s="16" t="n"/>
      <c r="N56" s="9" t="n"/>
      <c r="O56" s="16" t="n"/>
      <c r="P56" s="16" t="n"/>
      <c r="Q56" s="24" t="n"/>
      <c r="R56" s="17" t="n"/>
      <c r="S56" s="17" t="n"/>
      <c r="T56" s="27" t="n"/>
      <c r="U56" s="27" t="n"/>
      <c r="V56" s="10" t="n"/>
    </row>
    <row r="57">
      <c r="A57" s="16" t="n"/>
      <c r="B57" s="17" t="n"/>
      <c r="C57" s="17" t="n"/>
      <c r="D57" s="10" t="n"/>
      <c r="E57" s="10" t="n"/>
      <c r="F57" s="17" t="n"/>
      <c r="G57" s="19" t="n"/>
      <c r="H57" s="16" t="n"/>
      <c r="I57" s="16" t="n"/>
      <c r="J57" s="16" t="n"/>
      <c r="K57" s="26" t="n"/>
      <c r="L57" s="26" t="n"/>
      <c r="M57" s="16" t="n"/>
      <c r="N57" s="9" t="n"/>
      <c r="O57" s="16" t="n"/>
      <c r="P57" s="16" t="n"/>
      <c r="Q57" s="24" t="n"/>
      <c r="R57" s="17" t="n"/>
      <c r="S57" s="17" t="n"/>
      <c r="T57" s="27" t="n"/>
      <c r="U57" s="27" t="n"/>
      <c r="V57" s="10" t="n"/>
    </row>
    <row r="58">
      <c r="A58" s="16" t="n"/>
      <c r="B58" s="17" t="n"/>
      <c r="C58" s="17" t="n"/>
      <c r="D58" s="10" t="n"/>
      <c r="E58" s="10" t="n"/>
      <c r="F58" s="17" t="n"/>
      <c r="G58" s="19" t="n"/>
      <c r="H58" s="16" t="n"/>
      <c r="I58" s="16" t="n"/>
      <c r="J58" s="16" t="n"/>
      <c r="K58" s="26" t="n"/>
      <c r="L58" s="26" t="n"/>
      <c r="M58" s="16" t="n"/>
      <c r="N58" s="9" t="n"/>
      <c r="O58" s="16" t="n"/>
      <c r="P58" s="16" t="n"/>
      <c r="Q58" s="24" t="n"/>
      <c r="R58" s="17" t="n"/>
      <c r="S58" s="17" t="n"/>
      <c r="T58" s="27" t="n"/>
      <c r="U58" s="27" t="n"/>
      <c r="V58" s="10" t="n"/>
    </row>
    <row r="59">
      <c r="A59" s="16" t="n"/>
      <c r="B59" s="17" t="n"/>
      <c r="C59" s="17" t="n"/>
      <c r="D59" s="10" t="n"/>
      <c r="E59" s="10" t="n"/>
      <c r="F59" s="17" t="n"/>
      <c r="G59" s="19" t="n"/>
      <c r="H59" s="16" t="n"/>
      <c r="I59" s="16" t="n"/>
      <c r="J59" s="16" t="n"/>
      <c r="K59" s="26" t="n"/>
      <c r="L59" s="26" t="n"/>
      <c r="M59" s="16" t="n"/>
      <c r="N59" s="9" t="n"/>
      <c r="O59" s="16" t="n"/>
      <c r="P59" s="16" t="n"/>
      <c r="Q59" s="24" t="n"/>
      <c r="R59" s="17" t="n"/>
      <c r="S59" s="17" t="n"/>
      <c r="T59" s="27" t="n"/>
      <c r="U59" s="27" t="n"/>
      <c r="V59" s="10" t="n"/>
    </row>
    <row r="60">
      <c r="A60" s="16" t="n"/>
      <c r="B60" s="17" t="n"/>
      <c r="C60" s="17" t="n"/>
      <c r="D60" s="10" t="n"/>
      <c r="E60" s="10" t="n"/>
      <c r="F60" s="17" t="n"/>
      <c r="G60" s="19" t="n"/>
      <c r="H60" s="16" t="n"/>
      <c r="I60" s="16" t="n"/>
      <c r="J60" s="16" t="n"/>
      <c r="K60" s="26" t="n"/>
      <c r="L60" s="26" t="n"/>
      <c r="M60" s="16" t="n"/>
      <c r="N60" s="9" t="n"/>
      <c r="O60" s="16" t="n"/>
      <c r="P60" s="16" t="n"/>
      <c r="Q60" s="24" t="n"/>
      <c r="R60" s="17" t="n"/>
      <c r="S60" s="17" t="n"/>
      <c r="T60" s="27" t="n"/>
      <c r="U60" s="27" t="n"/>
      <c r="V60" s="10" t="n"/>
    </row>
    <row r="61">
      <c r="A61" s="16" t="n"/>
      <c r="B61" s="17" t="n"/>
      <c r="C61" s="17" t="n"/>
      <c r="D61" s="10" t="n"/>
      <c r="E61" s="10" t="n"/>
      <c r="F61" s="17" t="n"/>
      <c r="G61" s="19" t="n"/>
      <c r="H61" s="16" t="n"/>
      <c r="I61" s="16" t="n"/>
      <c r="J61" s="16" t="n"/>
      <c r="K61" s="26" t="n"/>
      <c r="L61" s="26" t="n"/>
      <c r="M61" s="16" t="n"/>
      <c r="N61" s="9" t="n"/>
      <c r="O61" s="16" t="n"/>
      <c r="P61" s="16" t="n"/>
      <c r="Q61" s="24" t="n"/>
      <c r="R61" s="17" t="n"/>
      <c r="S61" s="17" t="n"/>
      <c r="T61" s="27" t="n"/>
      <c r="U61" s="27" t="n"/>
      <c r="V61" s="10" t="n"/>
    </row>
    <row r="62">
      <c r="A62" s="16" t="n"/>
      <c r="B62" s="17" t="n"/>
      <c r="C62" s="17" t="n"/>
      <c r="D62" s="10" t="n"/>
      <c r="E62" s="10" t="n"/>
      <c r="F62" s="17" t="n"/>
      <c r="G62" s="19" t="n"/>
      <c r="H62" s="16" t="n"/>
      <c r="I62" s="16" t="n"/>
      <c r="J62" s="16" t="n"/>
      <c r="K62" s="26" t="n"/>
      <c r="L62" s="26" t="n"/>
      <c r="M62" s="16" t="n"/>
      <c r="N62" s="9" t="n"/>
      <c r="O62" s="16" t="n"/>
      <c r="P62" s="16" t="n"/>
      <c r="Q62" s="24" t="n"/>
      <c r="R62" s="17" t="n"/>
      <c r="S62" s="17" t="n"/>
      <c r="T62" s="27" t="n"/>
      <c r="U62" s="27" t="n"/>
      <c r="V62" s="10" t="n"/>
    </row>
    <row r="63">
      <c r="A63" s="16" t="n"/>
      <c r="B63" s="17" t="n"/>
      <c r="C63" s="17" t="n"/>
      <c r="D63" s="10" t="n"/>
      <c r="E63" s="10" t="n"/>
      <c r="F63" s="17" t="n"/>
      <c r="G63" s="19" t="n"/>
      <c r="H63" s="16" t="n"/>
      <c r="I63" s="16" t="n"/>
      <c r="J63" s="16" t="n"/>
      <c r="K63" s="26" t="n"/>
      <c r="L63" s="26" t="n"/>
      <c r="M63" s="16" t="n"/>
      <c r="N63" s="9" t="n"/>
      <c r="O63" s="16" t="n"/>
      <c r="P63" s="16" t="n"/>
      <c r="Q63" s="24" t="n"/>
      <c r="R63" s="17" t="n"/>
      <c r="S63" s="17" t="n"/>
      <c r="T63" s="27" t="n"/>
      <c r="U63" s="27" t="n"/>
      <c r="V63" s="10" t="n"/>
    </row>
    <row r="64">
      <c r="A64" s="16" t="n"/>
      <c r="B64" s="17" t="n"/>
      <c r="C64" s="17" t="n"/>
      <c r="D64" s="10" t="n"/>
      <c r="E64" s="10" t="n"/>
      <c r="F64" s="17" t="n"/>
      <c r="G64" s="19" t="n"/>
      <c r="H64" s="16" t="n"/>
      <c r="I64" s="16" t="n"/>
      <c r="J64" s="16" t="n"/>
      <c r="K64" s="26" t="n"/>
      <c r="L64" s="26" t="n"/>
      <c r="M64" s="16" t="n"/>
      <c r="N64" s="9" t="n"/>
      <c r="O64" s="16" t="n"/>
      <c r="P64" s="16" t="n"/>
      <c r="Q64" s="24" t="n"/>
      <c r="R64" s="17" t="n"/>
      <c r="S64" s="17" t="n"/>
      <c r="T64" s="27" t="n"/>
      <c r="U64" s="27" t="n"/>
      <c r="V64" s="10" t="n"/>
    </row>
    <row r="65">
      <c r="A65" s="16" t="n"/>
      <c r="B65" s="17" t="n"/>
      <c r="C65" s="17" t="n"/>
      <c r="D65" s="10" t="n"/>
      <c r="E65" s="10" t="n"/>
      <c r="F65" s="17" t="n"/>
      <c r="G65" s="19" t="n"/>
      <c r="H65" s="16" t="n"/>
      <c r="I65" s="16" t="n"/>
      <c r="J65" s="16" t="n"/>
      <c r="K65" s="26" t="n"/>
      <c r="L65" s="26" t="n"/>
      <c r="M65" s="16" t="n"/>
      <c r="N65" s="9" t="n"/>
      <c r="O65" s="16" t="n"/>
      <c r="P65" s="16" t="n"/>
      <c r="Q65" s="24" t="n"/>
      <c r="R65" s="17" t="n"/>
      <c r="S65" s="17" t="n"/>
      <c r="T65" s="27" t="n"/>
      <c r="U65" s="27" t="n"/>
      <c r="V65" s="10" t="n"/>
    </row>
    <row r="66">
      <c r="A66" s="16" t="n"/>
      <c r="B66" s="17" t="n"/>
      <c r="C66" s="17" t="n"/>
      <c r="D66" s="10" t="n"/>
      <c r="E66" s="10" t="n"/>
      <c r="F66" s="17" t="n"/>
      <c r="G66" s="19" t="n"/>
      <c r="H66" s="16" t="n"/>
      <c r="I66" s="16" t="n"/>
      <c r="J66" s="16" t="n"/>
      <c r="K66" s="26" t="n"/>
      <c r="L66" s="26" t="n"/>
      <c r="M66" s="16" t="n"/>
      <c r="N66" s="9" t="n"/>
      <c r="O66" s="16" t="n"/>
      <c r="P66" s="16" t="n"/>
      <c r="Q66" s="24" t="n"/>
      <c r="R66" s="17" t="n"/>
      <c r="S66" s="17" t="n"/>
      <c r="T66" s="27" t="n"/>
      <c r="U66" s="27" t="n"/>
      <c r="V66" s="10" t="n"/>
    </row>
    <row r="67">
      <c r="A67" s="16" t="n"/>
      <c r="B67" s="17" t="n"/>
      <c r="C67" s="17" t="n"/>
      <c r="D67" s="10" t="n"/>
      <c r="E67" s="10" t="n"/>
      <c r="F67" s="17" t="n"/>
      <c r="G67" s="19" t="n"/>
      <c r="H67" s="16" t="n"/>
      <c r="I67" s="16" t="n"/>
      <c r="J67" s="16" t="n"/>
      <c r="K67" s="26" t="n"/>
      <c r="L67" s="26" t="n"/>
      <c r="M67" s="16" t="n"/>
      <c r="N67" s="9" t="n"/>
      <c r="O67" s="16" t="n"/>
      <c r="P67" s="16" t="n"/>
      <c r="Q67" s="24" t="n"/>
      <c r="R67" s="17" t="n"/>
      <c r="S67" s="17" t="n"/>
      <c r="T67" s="27" t="n"/>
      <c r="U67" s="27" t="n"/>
      <c r="V67" s="10" t="n"/>
    </row>
    <row r="68">
      <c r="A68" s="16" t="n"/>
      <c r="B68" s="17" t="n"/>
      <c r="C68" s="17" t="n"/>
      <c r="D68" s="10" t="n"/>
      <c r="E68" s="10" t="n"/>
      <c r="F68" s="17" t="n"/>
      <c r="G68" s="19" t="n"/>
      <c r="H68" s="16" t="n"/>
      <c r="I68" s="16" t="n"/>
      <c r="J68" s="16" t="n"/>
      <c r="K68" s="26" t="n"/>
      <c r="L68" s="26" t="n"/>
      <c r="M68" s="16" t="n"/>
      <c r="N68" s="9" t="n"/>
      <c r="O68" s="16" t="n"/>
      <c r="P68" s="16" t="n"/>
      <c r="Q68" s="24" t="n"/>
      <c r="R68" s="17" t="n"/>
      <c r="S68" s="17" t="n"/>
      <c r="T68" s="27" t="n"/>
      <c r="U68" s="27" t="n"/>
      <c r="V68" s="10" t="n"/>
    </row>
    <row r="69">
      <c r="A69" s="16" t="n"/>
      <c r="B69" s="17" t="n"/>
      <c r="C69" s="17" t="n"/>
      <c r="D69" s="10" t="n"/>
      <c r="E69" s="10" t="n"/>
      <c r="F69" s="17" t="n"/>
      <c r="G69" s="19" t="n"/>
      <c r="H69" s="16" t="n"/>
      <c r="I69" s="16" t="n"/>
      <c r="J69" s="16" t="n"/>
      <c r="K69" s="26" t="n"/>
      <c r="L69" s="26" t="n"/>
      <c r="M69" s="16" t="n"/>
      <c r="N69" s="9" t="n"/>
      <c r="O69" s="16" t="n"/>
      <c r="P69" s="16" t="n"/>
      <c r="Q69" s="24" t="n"/>
      <c r="R69" s="17" t="n"/>
      <c r="S69" s="17" t="n"/>
      <c r="T69" s="27" t="n"/>
      <c r="U69" s="27" t="n"/>
      <c r="V69" s="10" t="n"/>
    </row>
    <row r="70">
      <c r="A70" s="16" t="n"/>
      <c r="B70" s="17" t="n"/>
      <c r="C70" s="17" t="n"/>
      <c r="D70" s="10" t="n"/>
      <c r="E70" s="10" t="n"/>
      <c r="F70" s="17" t="n"/>
      <c r="G70" s="19" t="n"/>
      <c r="H70" s="16" t="n"/>
      <c r="I70" s="16" t="n"/>
      <c r="J70" s="16" t="n"/>
      <c r="K70" s="26" t="n"/>
      <c r="L70" s="26" t="n"/>
      <c r="M70" s="16" t="n"/>
      <c r="N70" s="9" t="n"/>
      <c r="O70" s="16" t="n"/>
      <c r="P70" s="16" t="n"/>
      <c r="Q70" s="24" t="n"/>
      <c r="R70" s="17" t="n"/>
      <c r="S70" s="17" t="n"/>
      <c r="T70" s="27" t="n"/>
      <c r="U70" s="27" t="n"/>
      <c r="V70" s="10" t="n"/>
    </row>
    <row r="71">
      <c r="A71" s="16" t="n"/>
      <c r="B71" s="17" t="n"/>
      <c r="C71" s="17" t="n"/>
      <c r="D71" s="10" t="n"/>
      <c r="E71" s="10" t="n"/>
      <c r="F71" s="17" t="n"/>
      <c r="G71" s="19" t="n"/>
      <c r="H71" s="16" t="n"/>
      <c r="I71" s="16" t="n"/>
      <c r="J71" s="16" t="n"/>
      <c r="K71" s="26" t="n"/>
      <c r="L71" s="26" t="n"/>
      <c r="M71" s="16" t="n"/>
      <c r="N71" s="9" t="n"/>
      <c r="O71" s="16" t="n"/>
      <c r="P71" s="16" t="n"/>
      <c r="Q71" s="24" t="n"/>
      <c r="R71" s="17" t="n"/>
      <c r="S71" s="17" t="n"/>
      <c r="T71" s="27" t="n"/>
      <c r="U71" s="27" t="n"/>
      <c r="V71" s="10" t="n"/>
    </row>
    <row r="72">
      <c r="A72" s="16" t="n"/>
      <c r="B72" s="17" t="n"/>
      <c r="C72" s="17" t="n"/>
      <c r="D72" s="10" t="n"/>
      <c r="E72" s="10" t="n"/>
      <c r="F72" s="17" t="n"/>
      <c r="G72" s="19" t="n"/>
      <c r="H72" s="16" t="n"/>
      <c r="I72" s="16" t="n"/>
      <c r="J72" s="16" t="n"/>
      <c r="K72" s="26" t="n"/>
      <c r="L72" s="26" t="n"/>
      <c r="M72" s="16" t="n"/>
      <c r="N72" s="9" t="n"/>
      <c r="O72" s="16" t="n"/>
      <c r="P72" s="16" t="n"/>
      <c r="Q72" s="24" t="n"/>
      <c r="R72" s="17" t="n"/>
      <c r="S72" s="17" t="n"/>
      <c r="T72" s="27" t="n"/>
      <c r="U72" s="27" t="n"/>
      <c r="V72" s="10" t="n"/>
    </row>
    <row r="73">
      <c r="A73" s="16" t="n"/>
      <c r="B73" s="17" t="n"/>
      <c r="C73" s="17" t="n"/>
      <c r="D73" s="10" t="n"/>
      <c r="E73" s="10" t="n"/>
      <c r="F73" s="17" t="n"/>
      <c r="G73" s="19" t="n"/>
      <c r="H73" s="16" t="n"/>
      <c r="I73" s="16" t="n"/>
      <c r="J73" s="16" t="n"/>
      <c r="K73" s="26" t="n"/>
      <c r="L73" s="26" t="n"/>
      <c r="M73" s="16" t="n"/>
      <c r="N73" s="9" t="n"/>
      <c r="O73" s="16" t="n"/>
      <c r="P73" s="16" t="n"/>
      <c r="Q73" s="24" t="n"/>
      <c r="R73" s="17" t="n"/>
      <c r="S73" s="17" t="n"/>
      <c r="T73" s="27" t="n"/>
      <c r="U73" s="27" t="n"/>
      <c r="V73" s="10" t="n"/>
    </row>
    <row r="74">
      <c r="A74" s="16" t="n"/>
      <c r="B74" s="17" t="n"/>
      <c r="C74" s="17" t="n"/>
      <c r="D74" s="10" t="n"/>
      <c r="E74" s="10" t="n"/>
      <c r="F74" s="17" t="n"/>
      <c r="G74" s="19" t="n"/>
      <c r="H74" s="16" t="n"/>
      <c r="I74" s="16" t="n"/>
      <c r="J74" s="16" t="n"/>
      <c r="K74" s="26" t="n"/>
      <c r="L74" s="26" t="n"/>
      <c r="M74" s="16" t="n"/>
      <c r="N74" s="9" t="n"/>
      <c r="O74" s="16" t="n"/>
      <c r="P74" s="16" t="n"/>
      <c r="Q74" s="24" t="n"/>
      <c r="R74" s="17" t="n"/>
      <c r="S74" s="17" t="n"/>
      <c r="T74" s="27" t="n"/>
      <c r="U74" s="27" t="n"/>
      <c r="V74" s="10" t="n"/>
    </row>
    <row r="75">
      <c r="A75" s="16" t="n"/>
      <c r="B75" s="17" t="n"/>
      <c r="C75" s="17" t="n"/>
      <c r="D75" s="10" t="n"/>
      <c r="E75" s="10" t="n"/>
      <c r="F75" s="17" t="n"/>
      <c r="G75" s="19" t="n"/>
      <c r="H75" s="16" t="n"/>
      <c r="I75" s="16" t="n"/>
      <c r="J75" s="16" t="n"/>
      <c r="K75" s="26" t="n"/>
      <c r="L75" s="26" t="n"/>
      <c r="M75" s="16" t="n"/>
      <c r="N75" s="9" t="n"/>
      <c r="O75" s="16" t="n"/>
      <c r="P75" s="16" t="n"/>
      <c r="Q75" s="24" t="n"/>
      <c r="R75" s="17" t="n"/>
      <c r="S75" s="17" t="n"/>
      <c r="T75" s="27" t="n"/>
      <c r="U75" s="27" t="n"/>
      <c r="V75" s="10" t="n"/>
    </row>
    <row r="76">
      <c r="A76" s="16" t="n"/>
      <c r="B76" s="17" t="n"/>
      <c r="C76" s="17" t="n"/>
      <c r="D76" s="10" t="n"/>
      <c r="E76" s="10" t="n"/>
      <c r="F76" s="17" t="n"/>
      <c r="G76" s="19" t="n"/>
      <c r="H76" s="16" t="n"/>
      <c r="I76" s="16" t="n"/>
      <c r="J76" s="16" t="n"/>
      <c r="K76" s="26" t="n"/>
      <c r="L76" s="26" t="n"/>
      <c r="M76" s="16" t="n"/>
      <c r="N76" s="9" t="n"/>
      <c r="O76" s="16" t="n"/>
      <c r="P76" s="16" t="n"/>
      <c r="Q76" s="24" t="n"/>
      <c r="R76" s="17" t="n"/>
      <c r="S76" s="17" t="n"/>
      <c r="T76" s="27" t="n"/>
      <c r="U76" s="27" t="n"/>
      <c r="V76" s="10" t="n"/>
    </row>
    <row r="77">
      <c r="A77" s="16" t="n"/>
      <c r="B77" s="17" t="n"/>
      <c r="C77" s="17" t="n"/>
      <c r="D77" s="10" t="n"/>
      <c r="E77" s="10" t="n"/>
      <c r="F77" s="17" t="n"/>
      <c r="G77" s="19" t="n"/>
      <c r="H77" s="16" t="n"/>
      <c r="I77" s="16" t="n"/>
      <c r="J77" s="16" t="n"/>
      <c r="K77" s="26" t="n"/>
      <c r="L77" s="26" t="n"/>
      <c r="M77" s="16" t="n"/>
      <c r="N77" s="9" t="n"/>
      <c r="O77" s="16" t="n"/>
      <c r="P77" s="16" t="n"/>
      <c r="Q77" s="24" t="n"/>
      <c r="R77" s="17" t="n"/>
      <c r="S77" s="17" t="n"/>
      <c r="T77" s="27" t="n"/>
      <c r="U77" s="27" t="n"/>
      <c r="V77" s="10" t="n"/>
    </row>
    <row r="78">
      <c r="A78" s="16" t="n"/>
      <c r="B78" s="17" t="n"/>
      <c r="C78" s="17" t="n"/>
      <c r="D78" s="10" t="n"/>
      <c r="E78" s="10" t="n"/>
      <c r="F78" s="17" t="n"/>
      <c r="G78" s="19" t="n"/>
      <c r="H78" s="16" t="n"/>
      <c r="I78" s="16" t="n"/>
      <c r="J78" s="16" t="n"/>
      <c r="K78" s="26" t="n"/>
      <c r="L78" s="26" t="n"/>
      <c r="M78" s="16" t="n"/>
      <c r="N78" s="9" t="n"/>
      <c r="O78" s="16" t="n"/>
      <c r="P78" s="16" t="n"/>
      <c r="Q78" s="24" t="n"/>
      <c r="R78" s="17" t="n"/>
      <c r="S78" s="17" t="n"/>
      <c r="T78" s="27" t="n"/>
      <c r="U78" s="27" t="n"/>
      <c r="V78" s="10" t="n"/>
    </row>
    <row r="79">
      <c r="A79" s="16" t="n"/>
      <c r="B79" s="17" t="n"/>
      <c r="C79" s="17" t="n"/>
      <c r="D79" s="10" t="n"/>
      <c r="E79" s="10" t="n"/>
      <c r="F79" s="17" t="n"/>
      <c r="G79" s="19" t="n"/>
      <c r="H79" s="16" t="n"/>
      <c r="I79" s="16" t="n"/>
      <c r="J79" s="16" t="n"/>
      <c r="K79" s="26" t="n"/>
      <c r="L79" s="26" t="n"/>
      <c r="M79" s="16" t="n"/>
      <c r="N79" s="9" t="n"/>
      <c r="O79" s="16" t="n"/>
      <c r="P79" s="16" t="n"/>
      <c r="Q79" s="24" t="n"/>
      <c r="R79" s="17" t="n"/>
      <c r="S79" s="17" t="n"/>
      <c r="T79" s="27" t="n"/>
      <c r="U79" s="27" t="n"/>
      <c r="V79" s="10" t="n"/>
    </row>
    <row r="80">
      <c r="A80" s="16" t="n"/>
      <c r="B80" s="17" t="n"/>
      <c r="C80" s="17" t="n"/>
      <c r="D80" s="10" t="n"/>
      <c r="E80" s="10" t="n"/>
      <c r="F80" s="17" t="n"/>
      <c r="G80" s="19" t="n"/>
      <c r="H80" s="16" t="n"/>
      <c r="I80" s="16" t="n"/>
      <c r="J80" s="16" t="n"/>
      <c r="K80" s="26" t="n"/>
      <c r="L80" s="26" t="n"/>
      <c r="M80" s="16" t="n"/>
      <c r="N80" s="9" t="n"/>
      <c r="O80" s="16" t="n"/>
      <c r="P80" s="16" t="n"/>
      <c r="Q80" s="24" t="n"/>
      <c r="R80" s="17" t="n"/>
      <c r="S80" s="17" t="n"/>
      <c r="T80" s="27" t="n"/>
      <c r="U80" s="27" t="n"/>
      <c r="V80" s="10" t="n"/>
    </row>
    <row r="81">
      <c r="A81" s="16" t="n"/>
      <c r="B81" s="17" t="n"/>
      <c r="C81" s="17" t="n"/>
      <c r="D81" s="10" t="n"/>
      <c r="E81" s="10" t="n"/>
      <c r="F81" s="17" t="n"/>
      <c r="G81" s="19" t="n"/>
      <c r="H81" s="16" t="n"/>
      <c r="I81" s="16" t="n"/>
      <c r="J81" s="16" t="n"/>
      <c r="K81" s="26" t="n"/>
      <c r="L81" s="26" t="n"/>
      <c r="M81" s="16" t="n"/>
      <c r="N81" s="9" t="n"/>
      <c r="O81" s="16" t="n"/>
      <c r="P81" s="16" t="n"/>
      <c r="Q81" s="24" t="n"/>
      <c r="R81" s="17" t="n"/>
      <c r="S81" s="17" t="n"/>
      <c r="T81" s="27" t="n"/>
      <c r="U81" s="27" t="n"/>
      <c r="V81" s="10" t="n"/>
    </row>
    <row r="82">
      <c r="A82" s="16" t="n"/>
      <c r="B82" s="17" t="n"/>
      <c r="C82" s="17" t="n"/>
      <c r="D82" s="10" t="n"/>
      <c r="E82" s="10" t="n"/>
      <c r="F82" s="17" t="n"/>
      <c r="G82" s="19" t="n"/>
      <c r="H82" s="16" t="n"/>
      <c r="I82" s="16" t="n"/>
      <c r="J82" s="16" t="n"/>
      <c r="K82" s="26" t="n"/>
      <c r="L82" s="26" t="n"/>
      <c r="M82" s="16" t="n"/>
      <c r="N82" s="9" t="n"/>
      <c r="O82" s="16" t="n"/>
      <c r="P82" s="16" t="n"/>
      <c r="Q82" s="24" t="n"/>
      <c r="R82" s="17" t="n"/>
      <c r="S82" s="17" t="n"/>
      <c r="T82" s="27" t="n"/>
      <c r="U82" s="27" t="n"/>
      <c r="V82" s="10" t="n"/>
    </row>
    <row r="83">
      <c r="A83" s="16" t="n"/>
      <c r="B83" s="17" t="n"/>
      <c r="C83" s="17" t="n"/>
      <c r="D83" s="10" t="n"/>
      <c r="E83" s="10" t="n"/>
      <c r="F83" s="17" t="n"/>
      <c r="G83" s="19" t="n"/>
      <c r="H83" s="16" t="n"/>
      <c r="I83" s="16" t="n"/>
      <c r="J83" s="16" t="n"/>
      <c r="K83" s="26" t="n"/>
      <c r="L83" s="26" t="n"/>
      <c r="M83" s="16" t="n"/>
      <c r="N83" s="9" t="n"/>
      <c r="O83" s="16" t="n"/>
      <c r="P83" s="16" t="n"/>
      <c r="Q83" s="24" t="n"/>
      <c r="R83" s="17" t="n"/>
      <c r="S83" s="17" t="n"/>
      <c r="T83" s="27" t="n"/>
      <c r="U83" s="27" t="n"/>
      <c r="V83" s="10" t="n"/>
    </row>
    <row r="84">
      <c r="A84" s="16" t="n"/>
      <c r="B84" s="17" t="n"/>
      <c r="C84" s="17" t="n"/>
      <c r="D84" s="10" t="n"/>
      <c r="E84" s="10" t="n"/>
      <c r="F84" s="17" t="n"/>
      <c r="G84" s="19" t="n"/>
      <c r="H84" s="16" t="n"/>
      <c r="I84" s="16" t="n"/>
      <c r="J84" s="16" t="n"/>
      <c r="K84" s="26" t="n"/>
      <c r="L84" s="26" t="n"/>
      <c r="M84" s="16" t="n"/>
      <c r="N84" s="9" t="n"/>
      <c r="O84" s="16" t="n"/>
      <c r="P84" s="16" t="n"/>
      <c r="Q84" s="24" t="n"/>
      <c r="R84" s="17" t="n"/>
      <c r="S84" s="17" t="n"/>
      <c r="T84" s="27" t="n"/>
      <c r="U84" s="27" t="n"/>
      <c r="V84" s="10" t="n"/>
    </row>
    <row r="85">
      <c r="A85" s="16" t="n"/>
      <c r="B85" s="17" t="n"/>
      <c r="C85" s="17" t="n"/>
      <c r="D85" s="10" t="n"/>
      <c r="E85" s="10" t="n"/>
      <c r="F85" s="17" t="n"/>
      <c r="G85" s="19" t="n"/>
      <c r="H85" s="16" t="n"/>
      <c r="I85" s="16" t="n"/>
      <c r="J85" s="16" t="n"/>
      <c r="K85" s="26" t="n"/>
      <c r="L85" s="26" t="n"/>
      <c r="M85" s="16" t="n"/>
      <c r="N85" s="9" t="n"/>
      <c r="O85" s="16" t="n"/>
      <c r="P85" s="16" t="n"/>
      <c r="Q85" s="24" t="n"/>
      <c r="R85" s="17" t="n"/>
      <c r="S85" s="17" t="n"/>
      <c r="T85" s="27" t="n"/>
      <c r="U85" s="27" t="n"/>
      <c r="V85" s="10" t="n"/>
    </row>
    <row r="86">
      <c r="A86" s="16" t="n"/>
      <c r="B86" s="17" t="n"/>
      <c r="C86" s="17" t="n"/>
      <c r="D86" s="10" t="n"/>
      <c r="E86" s="10" t="n"/>
      <c r="F86" s="17" t="n"/>
      <c r="G86" s="19" t="n"/>
      <c r="H86" s="16" t="n"/>
      <c r="I86" s="16" t="n"/>
      <c r="J86" s="16" t="n"/>
      <c r="K86" s="26" t="n"/>
      <c r="L86" s="26" t="n"/>
      <c r="M86" s="16" t="n"/>
      <c r="N86" s="9" t="n"/>
      <c r="O86" s="16" t="n"/>
      <c r="P86" s="16" t="n"/>
      <c r="Q86" s="24" t="n"/>
      <c r="R86" s="17" t="n"/>
      <c r="S86" s="17" t="n"/>
      <c r="T86" s="27" t="n"/>
      <c r="U86" s="27" t="n"/>
      <c r="V86" s="10" t="n"/>
    </row>
    <row r="87">
      <c r="A87" s="16" t="n"/>
      <c r="B87" s="17" t="n"/>
      <c r="C87" s="17" t="n"/>
      <c r="D87" s="10" t="n"/>
      <c r="E87" s="10" t="n"/>
      <c r="F87" s="17" t="n"/>
      <c r="G87" s="19" t="n"/>
      <c r="H87" s="16" t="n"/>
      <c r="I87" s="16" t="n"/>
      <c r="J87" s="16" t="n"/>
      <c r="K87" s="26" t="n"/>
      <c r="L87" s="26" t="n"/>
      <c r="M87" s="16" t="n"/>
      <c r="N87" s="9" t="n"/>
      <c r="O87" s="16" t="n"/>
      <c r="P87" s="16" t="n"/>
      <c r="Q87" s="24" t="n"/>
      <c r="R87" s="17" t="n"/>
      <c r="S87" s="17" t="n"/>
      <c r="T87" s="27" t="n"/>
      <c r="U87" s="27" t="n"/>
      <c r="V87" s="10" t="n"/>
    </row>
    <row r="88">
      <c r="A88" s="16" t="n"/>
      <c r="B88" s="17" t="n"/>
      <c r="C88" s="17" t="n"/>
      <c r="D88" s="10" t="n"/>
      <c r="E88" s="10" t="n"/>
      <c r="F88" s="17" t="n"/>
      <c r="G88" s="19" t="n"/>
      <c r="H88" s="16" t="n"/>
      <c r="I88" s="16" t="n"/>
      <c r="J88" s="16" t="n"/>
      <c r="K88" s="26" t="n"/>
      <c r="L88" s="26" t="n"/>
      <c r="M88" s="16" t="n"/>
      <c r="N88" s="9" t="n"/>
      <c r="O88" s="16" t="n"/>
      <c r="P88" s="16" t="n"/>
      <c r="Q88" s="24" t="n"/>
      <c r="R88" s="17" t="n"/>
      <c r="S88" s="17" t="n"/>
      <c r="T88" s="27" t="n"/>
      <c r="U88" s="27" t="n"/>
      <c r="V88" s="10" t="n"/>
    </row>
    <row r="89">
      <c r="A89" s="16" t="n"/>
      <c r="B89" s="17" t="n"/>
      <c r="C89" s="17" t="n"/>
      <c r="D89" s="10" t="n"/>
      <c r="E89" s="10" t="n"/>
      <c r="F89" s="17" t="n"/>
      <c r="G89" s="19" t="n"/>
      <c r="H89" s="16" t="n"/>
      <c r="I89" s="16" t="n"/>
      <c r="J89" s="16" t="n"/>
      <c r="K89" s="26" t="n"/>
      <c r="L89" s="26" t="n"/>
      <c r="M89" s="16" t="n"/>
      <c r="N89" s="9" t="n"/>
      <c r="O89" s="16" t="n"/>
      <c r="P89" s="16" t="n"/>
      <c r="Q89" s="24" t="n"/>
      <c r="R89" s="17" t="n"/>
      <c r="S89" s="17" t="n"/>
      <c r="T89" s="27" t="n"/>
      <c r="U89" s="27" t="n"/>
      <c r="V89" s="10" t="n"/>
    </row>
    <row r="90">
      <c r="A90" s="16" t="n"/>
      <c r="B90" s="17" t="n"/>
      <c r="C90" s="17" t="n"/>
      <c r="D90" s="10" t="n"/>
      <c r="E90" s="10" t="n"/>
      <c r="F90" s="17" t="n"/>
      <c r="G90" s="19" t="n"/>
      <c r="H90" s="16" t="n"/>
      <c r="I90" s="16" t="n"/>
      <c r="J90" s="16" t="n"/>
      <c r="K90" s="26" t="n"/>
      <c r="L90" s="26" t="n"/>
      <c r="M90" s="16" t="n"/>
      <c r="N90" s="9" t="n"/>
      <c r="O90" s="16" t="n"/>
      <c r="P90" s="16" t="n"/>
      <c r="Q90" s="24" t="n"/>
      <c r="R90" s="17" t="n"/>
      <c r="S90" s="17" t="n"/>
      <c r="T90" s="27" t="n"/>
      <c r="U90" s="27" t="n"/>
      <c r="V90" s="10" t="n"/>
    </row>
    <row r="91">
      <c r="A91" s="16" t="n"/>
      <c r="B91" s="17" t="n"/>
      <c r="C91" s="17" t="n"/>
      <c r="D91" s="10" t="n"/>
      <c r="E91" s="10" t="n"/>
      <c r="F91" s="17" t="n"/>
      <c r="G91" s="19" t="n"/>
      <c r="H91" s="16" t="n"/>
      <c r="I91" s="16" t="n"/>
      <c r="J91" s="16" t="n"/>
      <c r="K91" s="26" t="n"/>
      <c r="L91" s="26" t="n"/>
      <c r="M91" s="16" t="n"/>
      <c r="N91" s="9" t="n"/>
      <c r="O91" s="16" t="n"/>
      <c r="P91" s="16" t="n"/>
      <c r="Q91" s="24" t="n"/>
      <c r="R91" s="17" t="n"/>
      <c r="S91" s="17" t="n"/>
      <c r="T91" s="27" t="n"/>
      <c r="U91" s="27" t="n"/>
      <c r="V91" s="10" t="n"/>
    </row>
    <row r="92">
      <c r="A92" s="16" t="n"/>
      <c r="B92" s="17" t="n"/>
      <c r="C92" s="17" t="n"/>
      <c r="D92" s="10" t="n"/>
      <c r="E92" s="10" t="n"/>
      <c r="F92" s="17" t="n"/>
      <c r="G92" s="19" t="n"/>
      <c r="H92" s="16" t="n"/>
      <c r="I92" s="16" t="n"/>
      <c r="J92" s="16" t="n"/>
      <c r="K92" s="26" t="n"/>
      <c r="L92" s="26" t="n"/>
      <c r="M92" s="16" t="n"/>
      <c r="N92" s="9" t="n"/>
      <c r="O92" s="16" t="n"/>
      <c r="P92" s="16" t="n"/>
      <c r="Q92" s="24" t="n"/>
      <c r="R92" s="17" t="n"/>
      <c r="S92" s="17" t="n"/>
      <c r="T92" s="27" t="n"/>
      <c r="U92" s="27" t="n"/>
      <c r="V92" s="10" t="n"/>
    </row>
    <row r="93">
      <c r="A93" s="16" t="n"/>
      <c r="B93" s="17" t="n"/>
      <c r="C93" s="17" t="n"/>
      <c r="D93" s="10" t="n"/>
      <c r="E93" s="10" t="n"/>
      <c r="F93" s="17" t="n"/>
      <c r="G93" s="19" t="n"/>
      <c r="H93" s="16" t="n"/>
      <c r="I93" s="16" t="n"/>
      <c r="J93" s="16" t="n"/>
      <c r="K93" s="26" t="n"/>
      <c r="L93" s="26" t="n"/>
      <c r="M93" s="16" t="n"/>
      <c r="N93" s="9" t="n"/>
      <c r="O93" s="16" t="n"/>
      <c r="P93" s="16" t="n"/>
      <c r="Q93" s="24" t="n"/>
      <c r="R93" s="17" t="n"/>
      <c r="S93" s="17" t="n"/>
      <c r="T93" s="27" t="n"/>
      <c r="U93" s="27" t="n"/>
      <c r="V93" s="10" t="n"/>
    </row>
    <row r="94">
      <c r="A94" s="16" t="n"/>
      <c r="B94" s="17" t="n"/>
      <c r="C94" s="17" t="n"/>
      <c r="D94" s="10" t="n"/>
      <c r="E94" s="10" t="n"/>
      <c r="F94" s="17" t="n"/>
      <c r="G94" s="19" t="n"/>
      <c r="H94" s="16" t="n"/>
      <c r="I94" s="16" t="n"/>
      <c r="J94" s="16" t="n"/>
      <c r="K94" s="26" t="n"/>
      <c r="L94" s="26" t="n"/>
      <c r="M94" s="16" t="n"/>
      <c r="N94" s="9" t="n"/>
      <c r="O94" s="16" t="n"/>
      <c r="P94" s="16" t="n"/>
      <c r="Q94" s="24" t="n"/>
      <c r="R94" s="17" t="n"/>
      <c r="S94" s="17" t="n"/>
      <c r="T94" s="27" t="n"/>
      <c r="U94" s="27" t="n"/>
      <c r="V94" s="10" t="n"/>
    </row>
    <row r="95">
      <c r="A95" s="16" t="n"/>
      <c r="B95" s="17" t="n"/>
      <c r="C95" s="17" t="n"/>
      <c r="D95" s="10" t="n"/>
      <c r="E95" s="10" t="n"/>
      <c r="F95" s="17" t="n"/>
      <c r="G95" s="19" t="n"/>
      <c r="H95" s="16" t="n"/>
      <c r="I95" s="16" t="n"/>
      <c r="J95" s="16" t="n"/>
      <c r="K95" s="26" t="n"/>
      <c r="L95" s="26" t="n"/>
      <c r="M95" s="16" t="n"/>
      <c r="N95" s="9" t="n"/>
      <c r="O95" s="16" t="n"/>
      <c r="P95" s="16" t="n"/>
      <c r="Q95" s="24" t="n"/>
      <c r="R95" s="17" t="n"/>
      <c r="S95" s="17" t="n"/>
      <c r="T95" s="27" t="n"/>
      <c r="U95" s="27" t="n"/>
      <c r="V95" s="10" t="n"/>
    </row>
    <row r="96">
      <c r="A96" s="16" t="n"/>
      <c r="B96" s="17" t="n"/>
      <c r="C96" s="17" t="n"/>
      <c r="D96" s="10" t="n"/>
      <c r="E96" s="10" t="n"/>
      <c r="F96" s="17" t="n"/>
      <c r="G96" s="19" t="n"/>
      <c r="H96" s="16" t="n"/>
      <c r="I96" s="16" t="n"/>
      <c r="J96" s="16" t="n"/>
      <c r="K96" s="26" t="n"/>
      <c r="L96" s="26" t="n"/>
      <c r="M96" s="16" t="n"/>
      <c r="N96" s="9" t="n"/>
      <c r="O96" s="16" t="n"/>
      <c r="P96" s="16" t="n"/>
      <c r="Q96" s="24" t="n"/>
      <c r="R96" s="17" t="n"/>
      <c r="S96" s="17" t="n"/>
      <c r="T96" s="27" t="n"/>
      <c r="U96" s="27" t="n"/>
      <c r="V96" s="10" t="n"/>
    </row>
    <row r="97">
      <c r="A97" s="16" t="n"/>
      <c r="B97" s="17" t="n"/>
      <c r="C97" s="17" t="n"/>
      <c r="D97" s="10" t="n"/>
      <c r="E97" s="10" t="n"/>
      <c r="F97" s="17" t="n"/>
      <c r="G97" s="19" t="n"/>
      <c r="H97" s="16" t="n"/>
      <c r="I97" s="16" t="n"/>
      <c r="J97" s="16" t="n"/>
      <c r="K97" s="26" t="n"/>
      <c r="L97" s="26" t="n"/>
      <c r="M97" s="16" t="n"/>
      <c r="N97" s="9" t="n"/>
      <c r="O97" s="16" t="n"/>
      <c r="P97" s="16" t="n"/>
      <c r="Q97" s="24" t="n"/>
      <c r="R97" s="17" t="n"/>
      <c r="S97" s="17" t="n"/>
      <c r="T97" s="27" t="n"/>
      <c r="U97" s="27" t="n"/>
      <c r="V97" s="10" t="n"/>
    </row>
    <row r="98">
      <c r="A98" s="16" t="n"/>
      <c r="B98" s="17" t="n"/>
      <c r="C98" s="17" t="n"/>
      <c r="D98" s="10" t="n"/>
      <c r="E98" s="10" t="n"/>
      <c r="F98" s="17" t="n"/>
      <c r="G98" s="19" t="n"/>
      <c r="H98" s="16" t="n"/>
      <c r="I98" s="16" t="n"/>
      <c r="J98" s="16" t="n"/>
      <c r="K98" s="26" t="n"/>
      <c r="L98" s="26" t="n"/>
      <c r="M98" s="16" t="n"/>
      <c r="N98" s="9" t="n"/>
      <c r="O98" s="16" t="n"/>
      <c r="P98" s="16" t="n"/>
      <c r="Q98" s="24" t="n"/>
      <c r="R98" s="17" t="n"/>
      <c r="S98" s="17" t="n"/>
      <c r="T98" s="27" t="n"/>
      <c r="U98" s="27" t="n"/>
      <c r="V98" s="10" t="n"/>
    </row>
    <row r="99">
      <c r="A99" s="16" t="n"/>
      <c r="B99" s="17" t="n"/>
      <c r="C99" s="17" t="n"/>
      <c r="D99" s="10" t="n"/>
      <c r="E99" s="10" t="n"/>
      <c r="F99" s="17" t="n"/>
      <c r="G99" s="19" t="n"/>
      <c r="H99" s="16" t="n"/>
      <c r="I99" s="16" t="n"/>
      <c r="J99" s="16" t="n"/>
      <c r="K99" s="26" t="n"/>
      <c r="L99" s="26" t="n"/>
      <c r="M99" s="16" t="n"/>
      <c r="N99" s="9" t="n"/>
      <c r="O99" s="16" t="n"/>
      <c r="P99" s="16" t="n"/>
      <c r="Q99" s="24" t="n"/>
      <c r="R99" s="17" t="n"/>
      <c r="S99" s="17" t="n"/>
      <c r="T99" s="27" t="n"/>
      <c r="U99" s="27" t="n"/>
      <c r="V99" s="10" t="n"/>
    </row>
    <row r="100">
      <c r="A100" s="16" t="n"/>
      <c r="B100" s="17" t="n"/>
      <c r="C100" s="17" t="n"/>
      <c r="D100" s="10" t="n"/>
      <c r="E100" s="10" t="n"/>
      <c r="F100" s="17" t="n"/>
      <c r="G100" s="19" t="n"/>
      <c r="H100" s="16" t="n"/>
      <c r="I100" s="16" t="n"/>
      <c r="J100" s="16" t="n"/>
      <c r="K100" s="26" t="n"/>
      <c r="L100" s="26" t="n"/>
      <c r="M100" s="16" t="n"/>
      <c r="N100" s="9" t="n"/>
      <c r="O100" s="16" t="n"/>
      <c r="P100" s="16" t="n"/>
      <c r="Q100" s="24" t="n"/>
      <c r="R100" s="17" t="n"/>
      <c r="S100" s="17" t="n"/>
      <c r="T100" s="27" t="n"/>
      <c r="U100" s="27" t="n"/>
      <c r="V100" s="10" t="n"/>
    </row>
    <row r="101">
      <c r="A101" s="16" t="n"/>
      <c r="B101" s="17" t="n"/>
      <c r="C101" s="17" t="n"/>
      <c r="D101" s="10" t="n"/>
      <c r="E101" s="10" t="n"/>
      <c r="F101" s="17" t="n"/>
      <c r="G101" s="19" t="n"/>
      <c r="H101" s="16" t="n"/>
      <c r="I101" s="16" t="n"/>
      <c r="J101" s="16" t="n"/>
      <c r="K101" s="26" t="n"/>
      <c r="L101" s="26" t="n"/>
      <c r="M101" s="16" t="n"/>
      <c r="N101" s="9" t="n"/>
      <c r="O101" s="16" t="n"/>
      <c r="P101" s="16" t="n"/>
      <c r="Q101" s="24" t="n"/>
      <c r="R101" s="17" t="n"/>
      <c r="S101" s="17" t="n"/>
      <c r="T101" s="27" t="n"/>
      <c r="U101" s="27" t="n"/>
      <c r="V101" s="10" t="n"/>
    </row>
    <row r="102">
      <c r="A102" s="16" t="n"/>
      <c r="B102" s="17" t="n"/>
      <c r="C102" s="17" t="n"/>
      <c r="D102" s="10" t="n"/>
      <c r="E102" s="10" t="n"/>
      <c r="F102" s="17" t="n"/>
      <c r="G102" s="19" t="n"/>
      <c r="H102" s="16" t="n"/>
      <c r="I102" s="16" t="n"/>
      <c r="J102" s="16" t="n"/>
      <c r="K102" s="26" t="n"/>
      <c r="L102" s="26" t="n"/>
      <c r="M102" s="16" t="n"/>
      <c r="N102" s="9" t="n"/>
      <c r="O102" s="16" t="n"/>
      <c r="P102" s="16" t="n"/>
      <c r="Q102" s="24" t="n"/>
      <c r="R102" s="17" t="n"/>
      <c r="S102" s="17" t="n"/>
      <c r="T102" s="27" t="n"/>
      <c r="U102" s="27" t="n"/>
      <c r="V102" s="10" t="n"/>
    </row>
    <row r="103">
      <c r="A103" s="16" t="n"/>
      <c r="B103" s="17" t="n"/>
      <c r="C103" s="17" t="n"/>
      <c r="D103" s="10" t="n"/>
      <c r="E103" s="10" t="n"/>
      <c r="F103" s="17" t="n"/>
      <c r="G103" s="19" t="n"/>
      <c r="H103" s="16" t="n"/>
      <c r="I103" s="16" t="n"/>
      <c r="J103" s="16" t="n"/>
      <c r="K103" s="26" t="n"/>
      <c r="L103" s="26" t="n"/>
      <c r="M103" s="16" t="n"/>
      <c r="N103" s="9" t="n"/>
      <c r="O103" s="16" t="n"/>
      <c r="P103" s="16" t="n"/>
      <c r="Q103" s="24" t="n"/>
      <c r="R103" s="17" t="n"/>
      <c r="S103" s="17" t="n"/>
      <c r="T103" s="27" t="n"/>
      <c r="U103" s="27" t="n"/>
      <c r="V103" s="10" t="n"/>
    </row>
    <row r="104">
      <c r="A104" s="16" t="n"/>
      <c r="B104" s="17" t="n"/>
      <c r="C104" s="17" t="n"/>
      <c r="D104" s="10" t="n"/>
      <c r="E104" s="10" t="n"/>
      <c r="F104" s="17" t="n"/>
      <c r="G104" s="19" t="n"/>
      <c r="H104" s="16" t="n"/>
      <c r="I104" s="16" t="n"/>
      <c r="J104" s="16" t="n"/>
      <c r="K104" s="26" t="n"/>
      <c r="L104" s="26" t="n"/>
      <c r="M104" s="16" t="n"/>
      <c r="N104" s="9" t="n"/>
      <c r="O104" s="16" t="n"/>
      <c r="P104" s="16" t="n"/>
      <c r="Q104" s="24" t="n"/>
      <c r="R104" s="17" t="n"/>
      <c r="S104" s="17" t="n"/>
      <c r="T104" s="27" t="n"/>
      <c r="U104" s="27" t="n"/>
      <c r="V104" s="10" t="n"/>
    </row>
    <row r="105">
      <c r="A105" s="16" t="n"/>
      <c r="B105" s="17" t="n"/>
      <c r="C105" s="17" t="n"/>
      <c r="D105" s="10" t="n"/>
      <c r="E105" s="10" t="n"/>
      <c r="F105" s="17" t="n"/>
      <c r="G105" s="19" t="n"/>
      <c r="H105" s="16" t="n"/>
      <c r="I105" s="16" t="n"/>
      <c r="J105" s="16" t="n"/>
      <c r="K105" s="26" t="n"/>
      <c r="L105" s="26" t="n"/>
      <c r="M105" s="16" t="n"/>
      <c r="N105" s="9" t="n"/>
      <c r="O105" s="16" t="n"/>
      <c r="P105" s="16" t="n"/>
      <c r="Q105" s="24" t="n"/>
      <c r="R105" s="17" t="n"/>
      <c r="S105" s="17" t="n"/>
      <c r="T105" s="27" t="n"/>
      <c r="U105" s="27" t="n"/>
      <c r="V105" s="10" t="n"/>
    </row>
    <row r="106">
      <c r="A106" s="16" t="n"/>
      <c r="B106" s="17" t="n"/>
      <c r="C106" s="17" t="n"/>
      <c r="D106" s="10" t="n"/>
      <c r="E106" s="10" t="n"/>
      <c r="F106" s="17" t="n"/>
      <c r="G106" s="19" t="n"/>
      <c r="H106" s="16" t="n"/>
      <c r="I106" s="16" t="n"/>
      <c r="J106" s="16" t="n"/>
      <c r="K106" s="26" t="n"/>
      <c r="L106" s="26" t="n"/>
      <c r="M106" s="16" t="n"/>
      <c r="N106" s="9" t="n"/>
      <c r="O106" s="16" t="n"/>
      <c r="P106" s="16" t="n"/>
      <c r="Q106" s="24" t="n"/>
      <c r="R106" s="17" t="n"/>
      <c r="S106" s="17" t="n"/>
      <c r="T106" s="27" t="n"/>
      <c r="U106" s="27" t="n"/>
      <c r="V106" s="10" t="n"/>
    </row>
    <row r="107">
      <c r="A107" s="16" t="n"/>
      <c r="B107" s="17" t="n"/>
      <c r="C107" s="17" t="n"/>
      <c r="D107" s="10" t="n"/>
      <c r="E107" s="10" t="n"/>
      <c r="F107" s="17" t="n"/>
      <c r="G107" s="19" t="n"/>
      <c r="H107" s="16" t="n"/>
      <c r="I107" s="16" t="n"/>
      <c r="J107" s="16" t="n"/>
      <c r="K107" s="26" t="n"/>
      <c r="L107" s="26" t="n"/>
      <c r="M107" s="16" t="n"/>
      <c r="N107" s="9" t="n"/>
      <c r="O107" s="16" t="n"/>
      <c r="P107" s="16" t="n"/>
      <c r="Q107" s="24" t="n"/>
      <c r="R107" s="17" t="n"/>
      <c r="S107" s="17" t="n"/>
      <c r="T107" s="27" t="n"/>
      <c r="U107" s="27" t="n"/>
      <c r="V107" s="10" t="n"/>
    </row>
    <row r="108">
      <c r="A108" s="16" t="n"/>
      <c r="B108" s="17" t="n"/>
      <c r="C108" s="17" t="n"/>
      <c r="D108" s="10" t="n"/>
      <c r="E108" s="10" t="n"/>
      <c r="F108" s="17" t="n"/>
      <c r="G108" s="19" t="n"/>
      <c r="H108" s="16" t="n"/>
      <c r="I108" s="16" t="n"/>
      <c r="J108" s="16" t="n"/>
      <c r="K108" s="26" t="n"/>
      <c r="L108" s="26" t="n"/>
      <c r="M108" s="16" t="n"/>
      <c r="N108" s="9" t="n"/>
      <c r="O108" s="16" t="n"/>
      <c r="P108" s="16" t="n"/>
      <c r="Q108" s="24" t="n"/>
      <c r="R108" s="17" t="n"/>
      <c r="S108" s="17" t="n"/>
      <c r="T108" s="27" t="n"/>
      <c r="U108" s="27" t="n"/>
      <c r="V108" s="10" t="n"/>
    </row>
    <row r="109">
      <c r="A109" s="16" t="n"/>
      <c r="B109" s="17" t="n"/>
      <c r="C109" s="17" t="n"/>
      <c r="D109" s="10" t="n"/>
      <c r="E109" s="10" t="n"/>
      <c r="F109" s="17" t="n"/>
      <c r="G109" s="19" t="n"/>
      <c r="H109" s="16" t="n"/>
      <c r="I109" s="16" t="n"/>
      <c r="J109" s="16" t="n"/>
      <c r="K109" s="26" t="n"/>
      <c r="L109" s="26" t="n"/>
      <c r="M109" s="16" t="n"/>
      <c r="N109" s="9" t="n"/>
      <c r="O109" s="16" t="n"/>
      <c r="P109" s="16" t="n"/>
      <c r="Q109" s="24" t="n"/>
      <c r="R109" s="17" t="n"/>
      <c r="S109" s="17" t="n"/>
      <c r="T109" s="27" t="n"/>
      <c r="U109" s="27" t="n"/>
      <c r="V109" s="10" t="n"/>
    </row>
    <row r="110">
      <c r="A110" s="16" t="n"/>
      <c r="B110" s="17" t="n"/>
      <c r="C110" s="17" t="n"/>
      <c r="D110" s="10" t="n"/>
      <c r="E110" s="10" t="n"/>
      <c r="F110" s="17" t="n"/>
      <c r="G110" s="19" t="n"/>
      <c r="H110" s="16" t="n"/>
      <c r="I110" s="16" t="n"/>
      <c r="J110" s="16" t="n"/>
      <c r="K110" s="26" t="n"/>
      <c r="L110" s="26" t="n"/>
      <c r="M110" s="16" t="n"/>
      <c r="N110" s="9" t="n"/>
      <c r="O110" s="16" t="n"/>
      <c r="P110" s="16" t="n"/>
      <c r="Q110" s="24" t="n"/>
      <c r="R110" s="17" t="n"/>
      <c r="S110" s="17" t="n"/>
      <c r="T110" s="27" t="n"/>
      <c r="U110" s="27" t="n"/>
      <c r="V110" s="10" t="n"/>
    </row>
    <row r="111">
      <c r="A111" s="16" t="n"/>
      <c r="B111" s="17" t="n"/>
      <c r="C111" s="17" t="n"/>
      <c r="D111" s="10" t="n"/>
      <c r="E111" s="10" t="n"/>
      <c r="F111" s="17" t="n"/>
      <c r="G111" s="19" t="n"/>
      <c r="H111" s="16" t="n"/>
      <c r="I111" s="16" t="n"/>
      <c r="J111" s="16" t="n"/>
      <c r="K111" s="26" t="n"/>
      <c r="L111" s="26" t="n"/>
      <c r="M111" s="16" t="n"/>
      <c r="N111" s="9" t="n"/>
      <c r="O111" s="16" t="n"/>
      <c r="P111" s="16" t="n"/>
      <c r="Q111" s="24" t="n"/>
      <c r="R111" s="17" t="n"/>
      <c r="S111" s="17" t="n"/>
      <c r="T111" s="27" t="n"/>
      <c r="U111" s="27" t="n"/>
      <c r="V111" s="10" t="n"/>
    </row>
    <row r="112">
      <c r="A112" s="16" t="n"/>
      <c r="B112" s="17" t="n"/>
      <c r="C112" s="17" t="n"/>
      <c r="D112" s="10" t="n"/>
      <c r="E112" s="10" t="n"/>
      <c r="F112" s="17" t="n"/>
      <c r="G112" s="19" t="n"/>
      <c r="H112" s="16" t="n"/>
      <c r="I112" s="16" t="n"/>
      <c r="J112" s="16" t="n"/>
      <c r="K112" s="26" t="n"/>
      <c r="L112" s="26" t="n"/>
      <c r="M112" s="16" t="n"/>
      <c r="N112" s="9" t="n"/>
      <c r="O112" s="16" t="n"/>
      <c r="P112" s="16" t="n"/>
      <c r="Q112" s="24" t="n"/>
      <c r="R112" s="17" t="n"/>
      <c r="S112" s="17" t="n"/>
      <c r="T112" s="27" t="n"/>
      <c r="U112" s="27" t="n"/>
      <c r="V112" s="10" t="n"/>
    </row>
    <row r="113">
      <c r="A113" s="16" t="n"/>
      <c r="B113" s="17" t="n"/>
      <c r="C113" s="17" t="n"/>
      <c r="D113" s="10" t="n"/>
      <c r="E113" s="10" t="n"/>
      <c r="F113" s="17" t="n"/>
      <c r="G113" s="19" t="n"/>
      <c r="H113" s="16" t="n"/>
      <c r="I113" s="16" t="n"/>
      <c r="J113" s="16" t="n"/>
      <c r="K113" s="26" t="n"/>
      <c r="L113" s="26" t="n"/>
      <c r="M113" s="16" t="n"/>
      <c r="N113" s="9" t="n"/>
      <c r="O113" s="16" t="n"/>
      <c r="P113" s="16" t="n"/>
      <c r="Q113" s="24" t="n"/>
      <c r="R113" s="17" t="n"/>
      <c r="S113" s="17" t="n"/>
      <c r="T113" s="27" t="n"/>
      <c r="U113" s="27" t="n"/>
      <c r="V113" s="10" t="n"/>
    </row>
    <row r="114">
      <c r="A114" s="16" t="n"/>
      <c r="B114" s="17" t="n"/>
      <c r="C114" s="17" t="n"/>
      <c r="D114" s="10" t="n"/>
      <c r="E114" s="10" t="n"/>
      <c r="F114" s="17" t="n"/>
      <c r="G114" s="19" t="n"/>
      <c r="H114" s="16" t="n"/>
      <c r="I114" s="16" t="n"/>
      <c r="J114" s="16" t="n"/>
      <c r="K114" s="26" t="n"/>
      <c r="L114" s="26" t="n"/>
      <c r="M114" s="16" t="n"/>
      <c r="N114" s="9" t="n"/>
      <c r="O114" s="16" t="n"/>
      <c r="P114" s="16" t="n"/>
      <c r="Q114" s="24" t="n"/>
      <c r="R114" s="17" t="n"/>
      <c r="S114" s="17" t="n"/>
      <c r="T114" s="27" t="n"/>
      <c r="U114" s="27" t="n"/>
      <c r="V114" s="10" t="n"/>
    </row>
    <row r="115">
      <c r="A115" s="16" t="n"/>
      <c r="B115" s="17" t="n"/>
      <c r="C115" s="17" t="n"/>
      <c r="D115" s="10" t="n"/>
      <c r="E115" s="10" t="n"/>
      <c r="F115" s="17" t="n"/>
      <c r="G115" s="19" t="n"/>
      <c r="H115" s="16" t="n"/>
      <c r="I115" s="16" t="n"/>
      <c r="J115" s="16" t="n"/>
      <c r="K115" s="26" t="n"/>
      <c r="L115" s="26" t="n"/>
      <c r="M115" s="16" t="n"/>
      <c r="N115" s="9" t="n"/>
      <c r="O115" s="16" t="n"/>
      <c r="P115" s="16" t="n"/>
      <c r="Q115" s="24" t="n"/>
      <c r="R115" s="17" t="n"/>
      <c r="S115" s="17" t="n"/>
      <c r="T115" s="27" t="n"/>
      <c r="U115" s="27" t="n"/>
      <c r="V115" s="10" t="n"/>
    </row>
    <row r="116">
      <c r="A116" s="16" t="n"/>
      <c r="B116" s="17" t="n"/>
      <c r="C116" s="17" t="n"/>
      <c r="D116" s="10" t="n"/>
      <c r="E116" s="10" t="n"/>
      <c r="F116" s="17" t="n"/>
      <c r="G116" s="19" t="n"/>
      <c r="H116" s="16" t="n"/>
      <c r="I116" s="16" t="n"/>
      <c r="J116" s="16" t="n"/>
      <c r="K116" s="26" t="n"/>
      <c r="L116" s="26" t="n"/>
      <c r="M116" s="16" t="n"/>
      <c r="N116" s="9" t="n"/>
      <c r="O116" s="16" t="n"/>
      <c r="P116" s="16" t="n"/>
      <c r="Q116" s="24" t="n"/>
      <c r="R116" s="17" t="n"/>
      <c r="S116" s="17" t="n"/>
      <c r="T116" s="27" t="n"/>
      <c r="U116" s="27" t="n"/>
      <c r="V116" s="10" t="n"/>
    </row>
    <row r="117">
      <c r="A117" s="16" t="n"/>
      <c r="B117" s="17" t="n"/>
      <c r="C117" s="17" t="n"/>
      <c r="D117" s="10" t="n"/>
      <c r="E117" s="10" t="n"/>
      <c r="F117" s="17" t="n"/>
      <c r="G117" s="19" t="n"/>
      <c r="H117" s="16" t="n"/>
      <c r="I117" s="16" t="n"/>
      <c r="J117" s="16" t="n"/>
      <c r="K117" s="26" t="n"/>
      <c r="L117" s="26" t="n"/>
      <c r="M117" s="16" t="n"/>
      <c r="N117" s="9" t="n"/>
      <c r="O117" s="16" t="n"/>
      <c r="P117" s="16" t="n"/>
      <c r="Q117" s="24" t="n"/>
      <c r="R117" s="17" t="n"/>
      <c r="S117" s="17" t="n"/>
      <c r="T117" s="27" t="n"/>
      <c r="U117" s="27" t="n"/>
      <c r="V117" s="10" t="n"/>
    </row>
    <row r="118">
      <c r="A118" s="16" t="n"/>
      <c r="B118" s="17" t="n"/>
      <c r="C118" s="17" t="n"/>
      <c r="D118" s="10" t="n"/>
      <c r="E118" s="10" t="n"/>
      <c r="F118" s="17" t="n"/>
      <c r="G118" s="19" t="n"/>
      <c r="H118" s="16" t="n"/>
      <c r="I118" s="16" t="n"/>
      <c r="J118" s="16" t="n"/>
      <c r="K118" s="26" t="n"/>
      <c r="L118" s="26" t="n"/>
      <c r="M118" s="16" t="n"/>
      <c r="N118" s="9" t="n"/>
      <c r="O118" s="16" t="n"/>
      <c r="P118" s="16" t="n"/>
      <c r="Q118" s="24" t="n"/>
      <c r="R118" s="17" t="n"/>
      <c r="S118" s="17" t="n"/>
      <c r="T118" s="27" t="n"/>
      <c r="U118" s="27" t="n"/>
      <c r="V118" s="10" t="n"/>
    </row>
    <row r="119">
      <c r="A119" s="16" t="n"/>
      <c r="B119" s="17" t="n"/>
      <c r="C119" s="17" t="n"/>
      <c r="D119" s="10" t="n"/>
      <c r="E119" s="10" t="n"/>
      <c r="F119" s="17" t="n"/>
      <c r="G119" s="19" t="n"/>
      <c r="H119" s="16" t="n"/>
      <c r="I119" s="16" t="n"/>
      <c r="J119" s="16" t="n"/>
      <c r="K119" s="26" t="n"/>
      <c r="L119" s="26" t="n"/>
      <c r="M119" s="16" t="n"/>
      <c r="N119" s="9" t="n"/>
      <c r="O119" s="16" t="n"/>
      <c r="P119" s="16" t="n"/>
      <c r="Q119" s="24" t="n"/>
      <c r="R119" s="17" t="n"/>
      <c r="S119" s="17" t="n"/>
      <c r="T119" s="27" t="n"/>
      <c r="U119" s="27" t="n"/>
      <c r="V119" s="10" t="n"/>
    </row>
    <row r="120">
      <c r="A120" s="16" t="n"/>
      <c r="B120" s="17" t="n"/>
      <c r="C120" s="17" t="n"/>
      <c r="D120" s="10" t="n"/>
      <c r="E120" s="10" t="n"/>
      <c r="F120" s="17" t="n"/>
      <c r="G120" s="19" t="n"/>
      <c r="H120" s="16" t="n"/>
      <c r="I120" s="16" t="n"/>
      <c r="J120" s="16" t="n"/>
      <c r="K120" s="26" t="n"/>
      <c r="L120" s="26" t="n"/>
      <c r="M120" s="16" t="n"/>
      <c r="N120" s="9" t="n"/>
      <c r="O120" s="16" t="n"/>
      <c r="P120" s="16" t="n"/>
      <c r="Q120" s="24" t="n"/>
      <c r="R120" s="17" t="n"/>
      <c r="S120" s="17" t="n"/>
      <c r="T120" s="27" t="n"/>
      <c r="U120" s="27" t="n"/>
      <c r="V120" s="10" t="n"/>
    </row>
    <row r="121">
      <c r="A121" s="16" t="n"/>
      <c r="B121" s="17" t="n"/>
      <c r="C121" s="17" t="n"/>
      <c r="D121" s="10" t="n"/>
      <c r="E121" s="10" t="n"/>
      <c r="F121" s="17" t="n"/>
      <c r="G121" s="19" t="n"/>
      <c r="H121" s="16" t="n"/>
      <c r="I121" s="16" t="n"/>
      <c r="J121" s="16" t="n"/>
      <c r="K121" s="26" t="n"/>
      <c r="L121" s="26" t="n"/>
      <c r="M121" s="16" t="n"/>
      <c r="N121" s="9" t="n"/>
      <c r="O121" s="16" t="n"/>
      <c r="P121" s="16" t="n"/>
      <c r="Q121" s="24" t="n"/>
      <c r="R121" s="17" t="n"/>
      <c r="S121" s="17" t="n"/>
      <c r="T121" s="27" t="n"/>
      <c r="U121" s="27" t="n"/>
      <c r="V121" s="10" t="n"/>
    </row>
    <row r="122">
      <c r="A122" s="16" t="n"/>
      <c r="B122" s="17" t="n"/>
      <c r="C122" s="17" t="n"/>
      <c r="D122" s="10" t="n"/>
      <c r="E122" s="10" t="n"/>
      <c r="F122" s="17" t="n"/>
      <c r="G122" s="19" t="n"/>
      <c r="H122" s="16" t="n"/>
      <c r="I122" s="16" t="n"/>
      <c r="J122" s="16" t="n"/>
      <c r="K122" s="26" t="n"/>
      <c r="L122" s="26" t="n"/>
      <c r="M122" s="16" t="n"/>
      <c r="N122" s="9" t="n"/>
      <c r="O122" s="16" t="n"/>
      <c r="P122" s="16" t="n"/>
      <c r="Q122" s="24" t="n"/>
      <c r="R122" s="17" t="n"/>
      <c r="S122" s="17" t="n"/>
      <c r="T122" s="27" t="n"/>
      <c r="U122" s="27" t="n"/>
      <c r="V122" s="10" t="n"/>
    </row>
    <row r="123">
      <c r="A123" s="16" t="n"/>
      <c r="B123" s="17" t="n"/>
      <c r="C123" s="17" t="n"/>
      <c r="D123" s="10" t="n"/>
      <c r="E123" s="10" t="n"/>
      <c r="F123" s="17" t="n"/>
      <c r="G123" s="19" t="n"/>
      <c r="H123" s="16" t="n"/>
      <c r="I123" s="16" t="n"/>
      <c r="J123" s="16" t="n"/>
      <c r="K123" s="26" t="n"/>
      <c r="L123" s="26" t="n"/>
      <c r="M123" s="16" t="n"/>
      <c r="N123" s="9" t="n"/>
      <c r="O123" s="16" t="n"/>
      <c r="P123" s="16" t="n"/>
      <c r="Q123" s="24" t="n"/>
      <c r="R123" s="17" t="n"/>
      <c r="S123" s="17" t="n"/>
      <c r="T123" s="27" t="n"/>
      <c r="U123" s="27" t="n"/>
      <c r="V123" s="10" t="n"/>
    </row>
    <row r="124">
      <c r="A124" s="16" t="n"/>
      <c r="B124" s="17" t="n"/>
      <c r="C124" s="17" t="n"/>
      <c r="D124" s="10" t="n"/>
      <c r="E124" s="10" t="n"/>
      <c r="F124" s="17" t="n"/>
      <c r="G124" s="19" t="n"/>
      <c r="H124" s="16" t="n"/>
      <c r="I124" s="16" t="n"/>
      <c r="J124" s="16" t="n"/>
      <c r="K124" s="26" t="n"/>
      <c r="L124" s="26" t="n"/>
      <c r="M124" s="16" t="n"/>
      <c r="N124" s="9" t="n"/>
      <c r="O124" s="16" t="n"/>
      <c r="P124" s="16" t="n"/>
      <c r="Q124" s="24" t="n"/>
      <c r="R124" s="17" t="n"/>
      <c r="S124" s="17" t="n"/>
      <c r="T124" s="27" t="n"/>
      <c r="U124" s="27" t="n"/>
      <c r="V124" s="10" t="n"/>
    </row>
    <row r="125">
      <c r="A125" s="16" t="n"/>
      <c r="B125" s="17" t="n"/>
      <c r="C125" s="17" t="n"/>
      <c r="D125" s="10" t="n"/>
      <c r="E125" s="10" t="n"/>
      <c r="F125" s="17" t="n"/>
      <c r="G125" s="19" t="n"/>
      <c r="H125" s="16" t="n"/>
      <c r="I125" s="16" t="n"/>
      <c r="J125" s="16" t="n"/>
      <c r="K125" s="26" t="n"/>
      <c r="L125" s="26" t="n"/>
      <c r="M125" s="16" t="n"/>
      <c r="N125" s="9" t="n"/>
      <c r="O125" s="16" t="n"/>
      <c r="P125" s="16" t="n"/>
      <c r="Q125" s="24" t="n"/>
      <c r="R125" s="17" t="n"/>
      <c r="S125" s="17" t="n"/>
      <c r="T125" s="27" t="n"/>
      <c r="U125" s="27" t="n"/>
      <c r="V125" s="10" t="n"/>
    </row>
    <row r="126">
      <c r="A126" s="16" t="n"/>
      <c r="B126" s="17" t="n"/>
      <c r="C126" s="17" t="n"/>
      <c r="D126" s="10" t="n"/>
      <c r="E126" s="10" t="n"/>
      <c r="F126" s="17" t="n"/>
      <c r="G126" s="19" t="n"/>
      <c r="H126" s="16" t="n"/>
      <c r="I126" s="16" t="n"/>
      <c r="J126" s="16" t="n"/>
      <c r="K126" s="26" t="n"/>
      <c r="L126" s="26" t="n"/>
      <c r="M126" s="16" t="n"/>
      <c r="N126" s="9" t="n"/>
      <c r="O126" s="16" t="n"/>
      <c r="P126" s="16" t="n"/>
      <c r="Q126" s="24" t="n"/>
      <c r="R126" s="17" t="n"/>
      <c r="S126" s="17" t="n"/>
      <c r="T126" s="27" t="n"/>
      <c r="U126" s="27" t="n"/>
      <c r="V126" s="10" t="n"/>
    </row>
    <row r="127">
      <c r="A127" s="16" t="n"/>
      <c r="B127" s="17" t="n"/>
      <c r="C127" s="17" t="n"/>
      <c r="D127" s="10" t="n"/>
      <c r="E127" s="10" t="n"/>
      <c r="F127" s="17" t="n"/>
      <c r="G127" s="19" t="n"/>
      <c r="H127" s="16" t="n"/>
      <c r="I127" s="16" t="n"/>
      <c r="J127" s="16" t="n"/>
      <c r="K127" s="26" t="n"/>
      <c r="L127" s="26" t="n"/>
      <c r="M127" s="16" t="n"/>
      <c r="N127" s="9" t="n"/>
      <c r="O127" s="16" t="n"/>
      <c r="P127" s="16" t="n"/>
      <c r="Q127" s="24" t="n"/>
      <c r="R127" s="17" t="n"/>
      <c r="S127" s="17" t="n"/>
      <c r="T127" s="27" t="n"/>
      <c r="U127" s="27" t="n"/>
      <c r="V127" s="10" t="n"/>
    </row>
    <row r="128">
      <c r="A128" s="16" t="n"/>
      <c r="B128" s="17" t="n"/>
      <c r="C128" s="17" t="n"/>
      <c r="D128" s="10" t="n"/>
      <c r="E128" s="10" t="n"/>
      <c r="F128" s="17" t="n"/>
      <c r="G128" s="19" t="n"/>
      <c r="H128" s="16" t="n"/>
      <c r="I128" s="16" t="n"/>
      <c r="J128" s="16" t="n"/>
      <c r="K128" s="26" t="n"/>
      <c r="L128" s="26" t="n"/>
      <c r="M128" s="16" t="n"/>
      <c r="N128" s="9" t="n"/>
      <c r="O128" s="16" t="n"/>
      <c r="P128" s="16" t="n"/>
      <c r="Q128" s="24" t="n"/>
      <c r="R128" s="17" t="n"/>
      <c r="S128" s="17" t="n"/>
      <c r="T128" s="27" t="n"/>
      <c r="U128" s="27" t="n"/>
      <c r="V128" s="10" t="n"/>
    </row>
    <row r="129">
      <c r="A129" s="16" t="n"/>
      <c r="B129" s="17" t="n"/>
      <c r="C129" s="17" t="n"/>
      <c r="D129" s="10" t="n"/>
      <c r="E129" s="10" t="n"/>
      <c r="F129" s="17" t="n"/>
      <c r="G129" s="19" t="n"/>
      <c r="H129" s="16" t="n"/>
      <c r="I129" s="16" t="n"/>
      <c r="J129" s="16" t="n"/>
      <c r="K129" s="26" t="n"/>
      <c r="L129" s="26" t="n"/>
      <c r="M129" s="16" t="n"/>
      <c r="N129" s="9" t="n"/>
      <c r="O129" s="16" t="n"/>
      <c r="P129" s="16" t="n"/>
      <c r="Q129" s="24" t="n"/>
      <c r="R129" s="17" t="n"/>
      <c r="S129" s="17" t="n"/>
      <c r="T129" s="27" t="n"/>
      <c r="U129" s="27" t="n"/>
      <c r="V129" s="10" t="n"/>
    </row>
    <row r="130">
      <c r="A130" s="16" t="n"/>
      <c r="B130" s="17" t="n"/>
      <c r="C130" s="17" t="n"/>
      <c r="D130" s="10" t="n"/>
      <c r="E130" s="10" t="n"/>
      <c r="F130" s="17" t="n"/>
      <c r="G130" s="19" t="n"/>
      <c r="H130" s="16" t="n"/>
      <c r="I130" s="16" t="n"/>
      <c r="J130" s="16" t="n"/>
      <c r="K130" s="26" t="n"/>
      <c r="L130" s="26" t="n"/>
      <c r="M130" s="16" t="n"/>
      <c r="N130" s="9" t="n"/>
      <c r="O130" s="16" t="n"/>
      <c r="P130" s="16" t="n"/>
      <c r="Q130" s="24" t="n"/>
      <c r="R130" s="17" t="n"/>
      <c r="S130" s="17" t="n"/>
      <c r="T130" s="27" t="n"/>
      <c r="U130" s="27" t="n"/>
      <c r="V130" s="10" t="n"/>
    </row>
    <row r="131">
      <c r="A131" s="16" t="n"/>
      <c r="B131" s="17" t="n"/>
      <c r="C131" s="17" t="n"/>
      <c r="D131" s="10" t="n"/>
      <c r="E131" s="10" t="n"/>
      <c r="F131" s="17" t="n"/>
      <c r="G131" s="19" t="n"/>
      <c r="H131" s="16" t="n"/>
      <c r="I131" s="16" t="n"/>
      <c r="J131" s="16" t="n"/>
      <c r="K131" s="26" t="n"/>
      <c r="L131" s="26" t="n"/>
      <c r="M131" s="16" t="n"/>
      <c r="N131" s="9" t="n"/>
      <c r="O131" s="16" t="n"/>
      <c r="P131" s="16" t="n"/>
      <c r="Q131" s="24" t="n"/>
      <c r="R131" s="17" t="n"/>
      <c r="S131" s="17" t="n"/>
      <c r="T131" s="27" t="n"/>
      <c r="U131" s="27" t="n"/>
      <c r="V131" s="10" t="n"/>
    </row>
    <row r="132">
      <c r="A132" s="16" t="n"/>
      <c r="B132" s="17" t="n"/>
      <c r="C132" s="17" t="n"/>
      <c r="D132" s="10" t="n"/>
      <c r="E132" s="10" t="n"/>
      <c r="F132" s="17" t="n"/>
      <c r="G132" s="19" t="n"/>
      <c r="H132" s="16" t="n"/>
      <c r="I132" s="16" t="n"/>
      <c r="J132" s="16" t="n"/>
      <c r="K132" s="26" t="n"/>
      <c r="L132" s="26" t="n"/>
      <c r="M132" s="16" t="n"/>
      <c r="N132" s="9" t="n"/>
      <c r="O132" s="16" t="n"/>
      <c r="P132" s="16" t="n"/>
      <c r="Q132" s="24" t="n"/>
      <c r="R132" s="17" t="n"/>
      <c r="S132" s="17" t="n"/>
      <c r="T132" s="27" t="n"/>
      <c r="U132" s="27" t="n"/>
      <c r="V132" s="10" t="n"/>
    </row>
    <row r="133">
      <c r="A133" s="16" t="n"/>
      <c r="B133" s="17" t="n"/>
      <c r="C133" s="17" t="n"/>
      <c r="D133" s="10" t="n"/>
      <c r="E133" s="10" t="n"/>
      <c r="F133" s="17" t="n"/>
      <c r="G133" s="19" t="n"/>
      <c r="H133" s="16" t="n"/>
      <c r="I133" s="16" t="n"/>
      <c r="J133" s="16" t="n"/>
      <c r="K133" s="26" t="n"/>
      <c r="L133" s="26" t="n"/>
      <c r="M133" s="16" t="n"/>
      <c r="N133" s="9" t="n"/>
      <c r="O133" s="16" t="n"/>
      <c r="P133" s="16" t="n"/>
      <c r="Q133" s="24" t="n"/>
      <c r="R133" s="17" t="n"/>
      <c r="S133" s="17" t="n"/>
      <c r="T133" s="27" t="n"/>
      <c r="U133" s="27" t="n"/>
      <c r="V133" s="10" t="n"/>
    </row>
    <row r="134">
      <c r="A134" s="16" t="n"/>
      <c r="B134" s="17" t="n"/>
      <c r="C134" s="17" t="n"/>
      <c r="D134" s="10" t="n"/>
      <c r="E134" s="10" t="n"/>
      <c r="F134" s="17" t="n"/>
      <c r="G134" s="19" t="n"/>
      <c r="H134" s="16" t="n"/>
      <c r="I134" s="16" t="n"/>
      <c r="J134" s="16" t="n"/>
      <c r="K134" s="26" t="n"/>
      <c r="L134" s="26" t="n"/>
      <c r="M134" s="16" t="n"/>
      <c r="N134" s="9" t="n"/>
      <c r="O134" s="16" t="n"/>
      <c r="P134" s="16" t="n"/>
      <c r="Q134" s="24" t="n"/>
      <c r="R134" s="17" t="n"/>
      <c r="S134" s="17" t="n"/>
      <c r="T134" s="27" t="n"/>
      <c r="U134" s="27" t="n"/>
      <c r="V134" s="10" t="n"/>
    </row>
    <row r="135">
      <c r="A135" s="16" t="n"/>
      <c r="B135" s="17" t="n"/>
      <c r="C135" s="17" t="n"/>
      <c r="D135" s="10" t="n"/>
      <c r="E135" s="10" t="n"/>
      <c r="F135" s="17" t="n"/>
      <c r="G135" s="19" t="n"/>
      <c r="H135" s="16" t="n"/>
      <c r="I135" s="16" t="n"/>
      <c r="J135" s="16" t="n"/>
      <c r="K135" s="26" t="n"/>
      <c r="L135" s="26" t="n"/>
      <c r="M135" s="16" t="n"/>
      <c r="N135" s="9" t="n"/>
      <c r="O135" s="16" t="n"/>
      <c r="P135" s="16" t="n"/>
      <c r="Q135" s="24" t="n"/>
      <c r="R135" s="17" t="n"/>
      <c r="S135" s="17" t="n"/>
      <c r="T135" s="27" t="n"/>
      <c r="U135" s="27" t="n"/>
      <c r="V135" s="10" t="n"/>
    </row>
    <row r="136">
      <c r="A136" s="16" t="n"/>
      <c r="B136" s="17" t="n"/>
      <c r="C136" s="17" t="n"/>
      <c r="D136" s="10" t="n"/>
      <c r="E136" s="10" t="n"/>
      <c r="F136" s="17" t="n"/>
      <c r="G136" s="19" t="n"/>
      <c r="H136" s="16" t="n"/>
      <c r="I136" s="16" t="n"/>
      <c r="J136" s="16" t="n"/>
      <c r="K136" s="26" t="n"/>
      <c r="L136" s="26" t="n"/>
      <c r="M136" s="16" t="n"/>
      <c r="N136" s="9" t="n"/>
      <c r="O136" s="16" t="n"/>
      <c r="P136" s="16" t="n"/>
      <c r="Q136" s="24" t="n"/>
      <c r="R136" s="17" t="n"/>
      <c r="S136" s="17" t="n"/>
      <c r="T136" s="27" t="n"/>
      <c r="U136" s="27" t="n"/>
      <c r="V136" s="10" t="n"/>
    </row>
    <row r="137">
      <c r="A137" s="16" t="n"/>
      <c r="B137" s="17" t="n"/>
      <c r="C137" s="17" t="n"/>
      <c r="D137" s="10" t="n"/>
      <c r="E137" s="10" t="n"/>
      <c r="F137" s="17" t="n"/>
      <c r="G137" s="19" t="n"/>
      <c r="H137" s="16" t="n"/>
      <c r="I137" s="16" t="n"/>
      <c r="J137" s="16" t="n"/>
      <c r="K137" s="26" t="n"/>
      <c r="L137" s="26" t="n"/>
      <c r="M137" s="16" t="n"/>
      <c r="N137" s="9" t="n"/>
      <c r="O137" s="16" t="n"/>
      <c r="P137" s="16" t="n"/>
      <c r="Q137" s="24" t="n"/>
      <c r="R137" s="17" t="n"/>
      <c r="S137" s="17" t="n"/>
      <c r="T137" s="27" t="n"/>
      <c r="U137" s="27" t="n"/>
      <c r="V137" s="10" t="n"/>
    </row>
    <row r="138">
      <c r="A138" s="16" t="n"/>
      <c r="B138" s="17" t="n"/>
      <c r="C138" s="17" t="n"/>
      <c r="D138" s="10" t="n"/>
      <c r="E138" s="10" t="n"/>
      <c r="F138" s="17" t="n"/>
      <c r="G138" s="19" t="n"/>
      <c r="H138" s="16" t="n"/>
      <c r="I138" s="16" t="n"/>
      <c r="J138" s="16" t="n"/>
      <c r="K138" s="26" t="n"/>
      <c r="L138" s="26" t="n"/>
      <c r="M138" s="16" t="n"/>
      <c r="N138" s="9" t="n"/>
      <c r="O138" s="16" t="n"/>
      <c r="P138" s="16" t="n"/>
      <c r="Q138" s="24" t="n"/>
      <c r="R138" s="17" t="n"/>
      <c r="S138" s="17" t="n"/>
      <c r="T138" s="27" t="n"/>
      <c r="U138" s="27" t="n"/>
      <c r="V138" s="10" t="n"/>
    </row>
    <row r="139">
      <c r="A139" s="16" t="n"/>
      <c r="B139" s="17" t="n"/>
      <c r="C139" s="17" t="n"/>
      <c r="D139" s="10" t="n"/>
      <c r="E139" s="10" t="n"/>
      <c r="F139" s="17" t="n"/>
      <c r="G139" s="19" t="n"/>
      <c r="H139" s="16" t="n"/>
      <c r="I139" s="16" t="n"/>
      <c r="J139" s="16" t="n"/>
      <c r="K139" s="26" t="n"/>
      <c r="L139" s="26" t="n"/>
      <c r="M139" s="16" t="n"/>
      <c r="N139" s="9" t="n"/>
      <c r="O139" s="16" t="n"/>
      <c r="P139" s="16" t="n"/>
      <c r="Q139" s="24" t="n"/>
      <c r="R139" s="17" t="n"/>
      <c r="S139" s="17" t="n"/>
      <c r="T139" s="27" t="n"/>
      <c r="U139" s="27" t="n"/>
      <c r="V139" s="10" t="n"/>
    </row>
    <row r="140">
      <c r="A140" s="16" t="n"/>
      <c r="B140" s="17" t="n"/>
      <c r="C140" s="17" t="n"/>
      <c r="D140" s="10" t="n"/>
      <c r="E140" s="10" t="n"/>
      <c r="F140" s="17" t="n"/>
      <c r="G140" s="19" t="n"/>
      <c r="H140" s="16" t="n"/>
      <c r="I140" s="16" t="n"/>
      <c r="J140" s="16" t="n"/>
      <c r="K140" s="26" t="n"/>
      <c r="L140" s="26" t="n"/>
      <c r="M140" s="16" t="n"/>
      <c r="N140" s="9" t="n"/>
      <c r="O140" s="16" t="n"/>
      <c r="P140" s="16" t="n"/>
      <c r="Q140" s="24" t="n"/>
      <c r="R140" s="17" t="n"/>
      <c r="S140" s="17" t="n"/>
      <c r="T140" s="27" t="n"/>
      <c r="U140" s="27" t="n"/>
      <c r="V140" s="10" t="n"/>
    </row>
    <row r="141">
      <c r="A141" s="16" t="n"/>
      <c r="B141" s="17" t="n"/>
      <c r="C141" s="17" t="n"/>
      <c r="D141" s="10" t="n"/>
      <c r="E141" s="10" t="n"/>
      <c r="F141" s="17" t="n"/>
      <c r="G141" s="19" t="n"/>
      <c r="H141" s="16" t="n"/>
      <c r="I141" s="16" t="n"/>
      <c r="J141" s="16" t="n"/>
      <c r="K141" s="26" t="n"/>
      <c r="L141" s="26" t="n"/>
      <c r="M141" s="16" t="n"/>
      <c r="N141" s="9" t="n"/>
      <c r="O141" s="16" t="n"/>
      <c r="P141" s="16" t="n"/>
      <c r="Q141" s="24" t="n"/>
      <c r="R141" s="17" t="n"/>
      <c r="S141" s="17" t="n"/>
      <c r="T141" s="27" t="n"/>
      <c r="U141" s="27" t="n"/>
      <c r="V141" s="10" t="n"/>
    </row>
    <row r="142">
      <c r="A142" s="16" t="n"/>
      <c r="B142" s="17" t="n"/>
      <c r="C142" s="17" t="n"/>
      <c r="D142" s="10" t="n"/>
      <c r="E142" s="10" t="n"/>
      <c r="F142" s="17" t="n"/>
      <c r="G142" s="19" t="n"/>
      <c r="H142" s="16" t="n"/>
      <c r="I142" s="16" t="n"/>
      <c r="J142" s="16" t="n"/>
      <c r="K142" s="26" t="n"/>
      <c r="L142" s="26" t="n"/>
      <c r="M142" s="16" t="n"/>
      <c r="N142" s="9" t="n"/>
      <c r="O142" s="16" t="n"/>
      <c r="P142" s="16" t="n"/>
      <c r="Q142" s="24" t="n"/>
      <c r="R142" s="17" t="n"/>
      <c r="S142" s="17" t="n"/>
      <c r="T142" s="27" t="n"/>
      <c r="U142" s="27" t="n"/>
      <c r="V142" s="10" t="n"/>
    </row>
    <row r="143">
      <c r="A143" s="16" t="n"/>
      <c r="B143" s="17" t="n"/>
      <c r="C143" s="17" t="n"/>
      <c r="D143" s="10" t="n"/>
      <c r="E143" s="10" t="n"/>
      <c r="F143" s="17" t="n"/>
      <c r="G143" s="19" t="n"/>
      <c r="H143" s="16" t="n"/>
      <c r="I143" s="16" t="n"/>
      <c r="J143" s="16" t="n"/>
      <c r="K143" s="26" t="n"/>
      <c r="L143" s="26" t="n"/>
      <c r="M143" s="16" t="n"/>
      <c r="N143" s="9" t="n"/>
      <c r="O143" s="16" t="n"/>
      <c r="P143" s="16" t="n"/>
      <c r="Q143" s="24" t="n"/>
      <c r="R143" s="17" t="n"/>
      <c r="S143" s="17" t="n"/>
      <c r="T143" s="27" t="n"/>
      <c r="U143" s="27" t="n"/>
      <c r="V143" s="10" t="n"/>
    </row>
    <row r="144">
      <c r="A144" s="16" t="n"/>
      <c r="B144" s="17" t="n"/>
      <c r="C144" s="17" t="n"/>
      <c r="D144" s="10" t="n"/>
      <c r="E144" s="10" t="n"/>
      <c r="F144" s="17" t="n"/>
      <c r="G144" s="19" t="n"/>
      <c r="H144" s="16" t="n"/>
      <c r="I144" s="16" t="n"/>
      <c r="J144" s="16" t="n"/>
      <c r="K144" s="26" t="n"/>
      <c r="L144" s="26" t="n"/>
      <c r="M144" s="16" t="n"/>
      <c r="N144" s="9" t="n"/>
      <c r="O144" s="16" t="n"/>
      <c r="P144" s="16" t="n"/>
      <c r="Q144" s="24" t="n"/>
      <c r="R144" s="17" t="n"/>
      <c r="S144" s="17" t="n"/>
      <c r="T144" s="27" t="n"/>
      <c r="U144" s="27" t="n"/>
      <c r="V144" s="10" t="n"/>
    </row>
    <row r="145">
      <c r="A145" s="16" t="n"/>
      <c r="B145" s="17" t="n"/>
      <c r="C145" s="17" t="n"/>
      <c r="D145" s="10" t="n"/>
      <c r="E145" s="10" t="n"/>
      <c r="F145" s="17" t="n"/>
      <c r="G145" s="19" t="n"/>
      <c r="H145" s="16" t="n"/>
      <c r="I145" s="16" t="n"/>
      <c r="J145" s="16" t="n"/>
      <c r="K145" s="26" t="n"/>
      <c r="L145" s="26" t="n"/>
      <c r="M145" s="16" t="n"/>
      <c r="N145" s="9" t="n"/>
      <c r="O145" s="16" t="n"/>
      <c r="P145" s="16" t="n"/>
      <c r="Q145" s="24" t="n"/>
      <c r="R145" s="17" t="n"/>
      <c r="S145" s="17" t="n"/>
      <c r="T145" s="27" t="n"/>
      <c r="U145" s="27" t="n"/>
      <c r="V145" s="10" t="n"/>
    </row>
    <row r="146">
      <c r="A146" s="16" t="n"/>
      <c r="B146" s="17" t="n"/>
      <c r="C146" s="17" t="n"/>
      <c r="D146" s="10" t="n"/>
      <c r="E146" s="10" t="n"/>
      <c r="F146" s="17" t="n"/>
      <c r="G146" s="19" t="n"/>
      <c r="H146" s="16" t="n"/>
      <c r="I146" s="16" t="n"/>
      <c r="J146" s="16" t="n"/>
      <c r="K146" s="26" t="n"/>
      <c r="L146" s="26" t="n"/>
      <c r="M146" s="16" t="n"/>
      <c r="N146" s="9" t="n"/>
      <c r="O146" s="16" t="n"/>
      <c r="P146" s="16" t="n"/>
      <c r="Q146" s="24" t="n"/>
      <c r="R146" s="17" t="n"/>
      <c r="S146" s="17" t="n"/>
      <c r="T146" s="27" t="n"/>
      <c r="U146" s="27" t="n"/>
      <c r="V146" s="10" t="n"/>
    </row>
    <row r="147">
      <c r="A147" s="16" t="n"/>
      <c r="B147" s="17" t="n"/>
      <c r="C147" s="17" t="n"/>
      <c r="D147" s="10" t="n"/>
      <c r="E147" s="10" t="n"/>
      <c r="F147" s="17" t="n"/>
      <c r="G147" s="19" t="n"/>
      <c r="H147" s="16" t="n"/>
      <c r="I147" s="16" t="n"/>
      <c r="J147" s="16" t="n"/>
      <c r="K147" s="26" t="n"/>
      <c r="L147" s="26" t="n"/>
      <c r="M147" s="16" t="n"/>
      <c r="N147" s="9" t="n"/>
      <c r="O147" s="16" t="n"/>
      <c r="P147" s="16" t="n"/>
      <c r="Q147" s="24" t="n"/>
      <c r="R147" s="17" t="n"/>
      <c r="S147" s="17" t="n"/>
      <c r="T147" s="27" t="n"/>
      <c r="U147" s="27" t="n"/>
      <c r="V147" s="10" t="n"/>
    </row>
    <row r="148">
      <c r="A148" s="16" t="n"/>
      <c r="B148" s="17" t="n"/>
      <c r="C148" s="17" t="n"/>
      <c r="D148" s="10" t="n"/>
      <c r="E148" s="10" t="n"/>
      <c r="F148" s="17" t="n"/>
      <c r="G148" s="19" t="n"/>
      <c r="H148" s="16" t="n"/>
      <c r="I148" s="16" t="n"/>
      <c r="J148" s="16" t="n"/>
      <c r="K148" s="26" t="n"/>
      <c r="L148" s="26" t="n"/>
      <c r="M148" s="16" t="n"/>
      <c r="N148" s="9" t="n"/>
      <c r="O148" s="16" t="n"/>
      <c r="P148" s="16" t="n"/>
      <c r="Q148" s="24" t="n"/>
      <c r="R148" s="17" t="n"/>
      <c r="S148" s="17" t="n"/>
      <c r="T148" s="27" t="n"/>
      <c r="U148" s="27" t="n"/>
      <c r="V148" s="10" t="n"/>
    </row>
    <row r="149">
      <c r="A149" s="16" t="n"/>
      <c r="B149" s="17" t="n"/>
      <c r="C149" s="17" t="n"/>
      <c r="D149" s="10" t="n"/>
      <c r="E149" s="10" t="n"/>
      <c r="F149" s="17" t="n"/>
      <c r="G149" s="19" t="n"/>
      <c r="H149" s="16" t="n"/>
      <c r="I149" s="16" t="n"/>
      <c r="J149" s="16" t="n"/>
      <c r="K149" s="26" t="n"/>
      <c r="L149" s="26" t="n"/>
      <c r="M149" s="16" t="n"/>
      <c r="N149" s="9" t="n"/>
      <c r="O149" s="16" t="n"/>
      <c r="P149" s="16" t="n"/>
      <c r="Q149" s="24" t="n"/>
      <c r="R149" s="17" t="n"/>
      <c r="S149" s="17" t="n"/>
      <c r="T149" s="27" t="n"/>
      <c r="U149" s="27" t="n"/>
      <c r="V149" s="10" t="n"/>
    </row>
    <row r="150">
      <c r="A150" s="16" t="n"/>
      <c r="B150" s="17" t="n"/>
      <c r="C150" s="17" t="n"/>
      <c r="D150" s="10" t="n"/>
      <c r="E150" s="10" t="n"/>
      <c r="F150" s="17" t="n"/>
      <c r="G150" s="19" t="n"/>
      <c r="H150" s="16" t="n"/>
      <c r="I150" s="16" t="n"/>
      <c r="J150" s="16" t="n"/>
      <c r="K150" s="26" t="n"/>
      <c r="L150" s="26" t="n"/>
      <c r="M150" s="16" t="n"/>
      <c r="N150" s="9" t="n"/>
      <c r="O150" s="16" t="n"/>
      <c r="P150" s="16" t="n"/>
      <c r="Q150" s="24" t="n"/>
      <c r="R150" s="17" t="n"/>
      <c r="S150" s="17" t="n"/>
      <c r="T150" s="27" t="n"/>
      <c r="U150" s="27" t="n"/>
      <c r="V150" s="10" t="n"/>
    </row>
    <row r="151">
      <c r="A151" s="16" t="n"/>
      <c r="B151" s="17" t="n"/>
      <c r="C151" s="17" t="n"/>
      <c r="D151" s="10" t="n"/>
      <c r="E151" s="10" t="n"/>
      <c r="F151" s="17" t="n"/>
      <c r="G151" s="19" t="n"/>
      <c r="H151" s="16" t="n"/>
      <c r="I151" s="16" t="n"/>
      <c r="J151" s="16" t="n"/>
      <c r="K151" s="26" t="n"/>
      <c r="L151" s="26" t="n"/>
      <c r="M151" s="16" t="n"/>
      <c r="N151" s="9" t="n"/>
      <c r="O151" s="16" t="n"/>
      <c r="P151" s="16" t="n"/>
      <c r="Q151" s="24" t="n"/>
      <c r="R151" s="17" t="n"/>
      <c r="S151" s="17" t="n"/>
      <c r="T151" s="27" t="n"/>
      <c r="U151" s="27" t="n"/>
      <c r="V151" s="10" t="n"/>
    </row>
    <row r="152">
      <c r="A152" s="16" t="n"/>
      <c r="B152" s="17" t="n"/>
      <c r="C152" s="17" t="n"/>
      <c r="D152" s="10" t="n"/>
      <c r="E152" s="10" t="n"/>
      <c r="F152" s="17" t="n"/>
      <c r="G152" s="19" t="n"/>
      <c r="H152" s="16" t="n"/>
      <c r="I152" s="16" t="n"/>
      <c r="J152" s="16" t="n"/>
      <c r="K152" s="26" t="n"/>
      <c r="L152" s="26" t="n"/>
      <c r="M152" s="16" t="n"/>
      <c r="N152" s="9" t="n"/>
      <c r="O152" s="16" t="n"/>
      <c r="P152" s="16" t="n"/>
      <c r="Q152" s="24" t="n"/>
      <c r="R152" s="17" t="n"/>
      <c r="S152" s="17" t="n"/>
      <c r="T152" s="27" t="n"/>
      <c r="U152" s="27" t="n"/>
      <c r="V152" s="10" t="n"/>
    </row>
    <row r="153">
      <c r="A153" s="16" t="n"/>
      <c r="B153" s="17" t="n"/>
      <c r="C153" s="17" t="n"/>
      <c r="D153" s="10" t="n"/>
      <c r="E153" s="10" t="n"/>
      <c r="F153" s="17" t="n"/>
      <c r="G153" s="19" t="n"/>
      <c r="H153" s="16" t="n"/>
      <c r="I153" s="16" t="n"/>
      <c r="J153" s="16" t="n"/>
      <c r="K153" s="26" t="n"/>
      <c r="L153" s="26" t="n"/>
      <c r="M153" s="16" t="n"/>
      <c r="N153" s="9" t="n"/>
      <c r="O153" s="16" t="n"/>
      <c r="P153" s="16" t="n"/>
      <c r="Q153" s="24" t="n"/>
      <c r="R153" s="17" t="n"/>
      <c r="S153" s="17" t="n"/>
      <c r="T153" s="27" t="n"/>
      <c r="U153" s="27" t="n"/>
      <c r="V153" s="10" t="n"/>
    </row>
    <row r="154">
      <c r="A154" s="16" t="n"/>
      <c r="B154" s="17" t="n"/>
      <c r="C154" s="17" t="n"/>
      <c r="D154" s="10" t="n"/>
      <c r="E154" s="10" t="n"/>
      <c r="F154" s="17" t="n"/>
      <c r="G154" s="19" t="n"/>
      <c r="H154" s="16" t="n"/>
      <c r="I154" s="16" t="n"/>
      <c r="J154" s="16" t="n"/>
      <c r="K154" s="26" t="n"/>
      <c r="L154" s="26" t="n"/>
      <c r="M154" s="16" t="n"/>
      <c r="N154" s="9" t="n"/>
      <c r="O154" s="16" t="n"/>
      <c r="P154" s="16" t="n"/>
      <c r="Q154" s="24" t="n"/>
      <c r="R154" s="17" t="n"/>
      <c r="S154" s="17" t="n"/>
      <c r="T154" s="27" t="n"/>
      <c r="U154" s="27" t="n"/>
      <c r="V154" s="10" t="n"/>
    </row>
    <row r="155">
      <c r="A155" s="16" t="n"/>
      <c r="B155" s="17" t="n"/>
      <c r="C155" s="17" t="n"/>
      <c r="D155" s="10" t="n"/>
      <c r="E155" s="10" t="n"/>
      <c r="F155" s="17" t="n"/>
      <c r="G155" s="19" t="n"/>
      <c r="H155" s="16" t="n"/>
      <c r="I155" s="16" t="n"/>
      <c r="J155" s="16" t="n"/>
      <c r="K155" s="26" t="n"/>
      <c r="L155" s="26" t="n"/>
      <c r="M155" s="16" t="n"/>
      <c r="N155" s="9" t="n"/>
      <c r="O155" s="16" t="n"/>
      <c r="P155" s="16" t="n"/>
      <c r="Q155" s="24" t="n"/>
      <c r="R155" s="17" t="n"/>
      <c r="S155" s="17" t="n"/>
      <c r="T155" s="27" t="n"/>
      <c r="U155" s="27" t="n"/>
      <c r="V155" s="10" t="n"/>
    </row>
    <row r="156">
      <c r="A156" s="16" t="n"/>
      <c r="B156" s="17" t="n"/>
      <c r="C156" s="17" t="n"/>
      <c r="D156" s="10" t="n"/>
      <c r="E156" s="10" t="n"/>
      <c r="F156" s="17" t="n"/>
      <c r="G156" s="19" t="n"/>
      <c r="H156" s="16" t="n"/>
      <c r="I156" s="16" t="n"/>
      <c r="J156" s="16" t="n"/>
      <c r="K156" s="26" t="n"/>
      <c r="L156" s="26" t="n"/>
      <c r="M156" s="16" t="n"/>
      <c r="N156" s="9" t="n"/>
      <c r="O156" s="16" t="n"/>
      <c r="P156" s="16" t="n"/>
      <c r="Q156" s="24" t="n"/>
      <c r="R156" s="17" t="n"/>
      <c r="S156" s="17" t="n"/>
      <c r="T156" s="27" t="n"/>
      <c r="U156" s="27" t="n"/>
      <c r="V156" s="10" t="n"/>
    </row>
    <row r="157">
      <c r="A157" s="16" t="n"/>
      <c r="B157" s="17" t="n"/>
      <c r="C157" s="17" t="n"/>
      <c r="D157" s="10" t="n"/>
      <c r="E157" s="10" t="n"/>
      <c r="F157" s="17" t="n"/>
      <c r="G157" s="19" t="n"/>
      <c r="H157" s="16" t="n"/>
      <c r="I157" s="16" t="n"/>
      <c r="J157" s="16" t="n"/>
      <c r="K157" s="26" t="n"/>
      <c r="L157" s="26" t="n"/>
      <c r="M157" s="16" t="n"/>
      <c r="N157" s="9" t="n"/>
      <c r="O157" s="16" t="n"/>
      <c r="P157" s="16" t="n"/>
      <c r="Q157" s="24" t="n"/>
      <c r="R157" s="17" t="n"/>
      <c r="S157" s="17" t="n"/>
      <c r="T157" s="27" t="n"/>
      <c r="U157" s="27" t="n"/>
      <c r="V157" s="10" t="n"/>
    </row>
    <row r="158">
      <c r="A158" s="16" t="n"/>
      <c r="B158" s="17" t="n"/>
      <c r="C158" s="17" t="n"/>
      <c r="D158" s="10" t="n"/>
      <c r="E158" s="10" t="n"/>
      <c r="F158" s="17" t="n"/>
      <c r="G158" s="19" t="n"/>
      <c r="H158" s="16" t="n"/>
      <c r="I158" s="16" t="n"/>
      <c r="J158" s="16" t="n"/>
      <c r="K158" s="26" t="n"/>
      <c r="L158" s="26" t="n"/>
      <c r="M158" s="16" t="n"/>
      <c r="N158" s="9" t="n"/>
      <c r="O158" s="16" t="n"/>
      <c r="P158" s="16" t="n"/>
      <c r="Q158" s="24" t="n"/>
      <c r="R158" s="17" t="n"/>
      <c r="S158" s="17" t="n"/>
      <c r="T158" s="27" t="n"/>
      <c r="U158" s="27" t="n"/>
      <c r="V158" s="10" t="n"/>
    </row>
    <row r="159">
      <c r="A159" s="16" t="n"/>
      <c r="B159" s="17" t="n"/>
      <c r="C159" s="17" t="n"/>
      <c r="D159" s="10" t="n"/>
      <c r="E159" s="10" t="n"/>
      <c r="F159" s="17" t="n"/>
      <c r="G159" s="19" t="n"/>
      <c r="H159" s="16" t="n"/>
      <c r="I159" s="16" t="n"/>
      <c r="J159" s="16" t="n"/>
      <c r="K159" s="26" t="n"/>
      <c r="L159" s="26" t="n"/>
      <c r="M159" s="16" t="n"/>
      <c r="N159" s="9" t="n"/>
      <c r="O159" s="16" t="n"/>
      <c r="P159" s="16" t="n"/>
      <c r="Q159" s="24" t="n"/>
      <c r="R159" s="17" t="n"/>
      <c r="S159" s="17" t="n"/>
      <c r="T159" s="27" t="n"/>
      <c r="U159" s="27" t="n"/>
      <c r="V159" s="10" t="n"/>
    </row>
    <row r="160">
      <c r="A160" s="16" t="n"/>
      <c r="B160" s="17" t="n"/>
      <c r="C160" s="17" t="n"/>
      <c r="D160" s="10" t="n"/>
      <c r="E160" s="10" t="n"/>
      <c r="F160" s="17" t="n"/>
      <c r="G160" s="19" t="n"/>
      <c r="H160" s="16" t="n"/>
      <c r="I160" s="16" t="n"/>
      <c r="J160" s="16" t="n"/>
      <c r="K160" s="26" t="n"/>
      <c r="L160" s="26" t="n"/>
      <c r="M160" s="16" t="n"/>
      <c r="N160" s="9" t="n"/>
      <c r="O160" s="16" t="n"/>
      <c r="P160" s="16" t="n"/>
      <c r="Q160" s="24" t="n"/>
      <c r="R160" s="17" t="n"/>
      <c r="S160" s="17" t="n"/>
      <c r="T160" s="27" t="n"/>
      <c r="U160" s="27" t="n"/>
      <c r="V160" s="10" t="n"/>
    </row>
    <row r="161">
      <c r="A161" s="16" t="n"/>
      <c r="B161" s="17" t="n"/>
      <c r="C161" s="17" t="n"/>
      <c r="D161" s="10" t="n"/>
      <c r="E161" s="10" t="n"/>
      <c r="F161" s="17" t="n"/>
      <c r="G161" s="19" t="n"/>
      <c r="H161" s="16" t="n"/>
      <c r="I161" s="16" t="n"/>
      <c r="J161" s="16" t="n"/>
      <c r="K161" s="26" t="n"/>
      <c r="L161" s="26" t="n"/>
      <c r="M161" s="16" t="n"/>
      <c r="N161" s="9" t="n"/>
      <c r="O161" s="16" t="n"/>
      <c r="P161" s="16" t="n"/>
      <c r="Q161" s="24" t="n"/>
      <c r="R161" s="17" t="n"/>
      <c r="S161" s="17" t="n"/>
      <c r="T161" s="27" t="n"/>
      <c r="U161" s="27" t="n"/>
      <c r="V161" s="10" t="n"/>
    </row>
    <row r="162">
      <c r="A162" s="16" t="n"/>
      <c r="B162" s="17" t="n"/>
      <c r="C162" s="17" t="n"/>
      <c r="D162" s="10" t="n"/>
      <c r="E162" s="10" t="n"/>
      <c r="F162" s="17" t="n"/>
      <c r="G162" s="19" t="n"/>
      <c r="H162" s="16" t="n"/>
      <c r="I162" s="16" t="n"/>
      <c r="J162" s="16" t="n"/>
      <c r="K162" s="26" t="n"/>
      <c r="L162" s="26" t="n"/>
      <c r="M162" s="16" t="n"/>
      <c r="N162" s="9" t="n"/>
      <c r="O162" s="16" t="n"/>
      <c r="P162" s="16" t="n"/>
      <c r="Q162" s="24" t="n"/>
      <c r="R162" s="17" t="n"/>
      <c r="S162" s="17" t="n"/>
      <c r="T162" s="27" t="n"/>
      <c r="U162" s="27" t="n"/>
      <c r="V162" s="10" t="n"/>
    </row>
    <row r="163">
      <c r="A163" s="16" t="n"/>
      <c r="B163" s="17" t="n"/>
      <c r="C163" s="17" t="n"/>
      <c r="D163" s="10" t="n"/>
      <c r="E163" s="10" t="n"/>
      <c r="F163" s="17" t="n"/>
      <c r="G163" s="19" t="n"/>
      <c r="H163" s="16" t="n"/>
      <c r="I163" s="16" t="n"/>
      <c r="J163" s="16" t="n"/>
      <c r="K163" s="26" t="n"/>
      <c r="L163" s="26" t="n"/>
      <c r="M163" s="16" t="n"/>
      <c r="N163" s="9" t="n"/>
      <c r="O163" s="16" t="n"/>
      <c r="P163" s="16" t="n"/>
      <c r="Q163" s="24" t="n"/>
      <c r="R163" s="17" t="n"/>
      <c r="S163" s="17" t="n"/>
      <c r="T163" s="27" t="n"/>
      <c r="U163" s="27" t="n"/>
      <c r="V163" s="10" t="n"/>
    </row>
    <row r="164">
      <c r="A164" s="16" t="n"/>
      <c r="B164" s="17" t="n"/>
      <c r="C164" s="17" t="n"/>
      <c r="D164" s="10" t="n"/>
      <c r="E164" s="10" t="n"/>
      <c r="F164" s="17" t="n"/>
      <c r="G164" s="19" t="n"/>
      <c r="H164" s="16" t="n"/>
      <c r="I164" s="16" t="n"/>
      <c r="J164" s="16" t="n"/>
      <c r="K164" s="26" t="n"/>
      <c r="L164" s="26" t="n"/>
      <c r="M164" s="16" t="n"/>
      <c r="N164" s="9" t="n"/>
      <c r="O164" s="16" t="n"/>
      <c r="P164" s="16" t="n"/>
      <c r="Q164" s="24" t="n"/>
      <c r="R164" s="17" t="n"/>
      <c r="S164" s="17" t="n"/>
      <c r="T164" s="27" t="n"/>
      <c r="U164" s="27" t="n"/>
      <c r="V164" s="10" t="n"/>
    </row>
    <row r="165">
      <c r="A165" s="16" t="n"/>
      <c r="B165" s="17" t="n"/>
      <c r="C165" s="17" t="n"/>
      <c r="D165" s="10" t="n"/>
      <c r="E165" s="10" t="n"/>
      <c r="F165" s="17" t="n"/>
      <c r="G165" s="19" t="n"/>
      <c r="H165" s="16" t="n"/>
      <c r="I165" s="16" t="n"/>
      <c r="J165" s="16" t="n"/>
      <c r="K165" s="26" t="n"/>
      <c r="L165" s="26" t="n"/>
      <c r="M165" s="16" t="n"/>
      <c r="N165" s="9" t="n"/>
      <c r="O165" s="16" t="n"/>
      <c r="P165" s="16" t="n"/>
      <c r="Q165" s="24" t="n"/>
      <c r="R165" s="17" t="n"/>
      <c r="S165" s="17" t="n"/>
      <c r="T165" s="27" t="n"/>
      <c r="U165" s="27" t="n"/>
      <c r="V165" s="10" t="n"/>
    </row>
    <row r="166">
      <c r="A166" s="16" t="n"/>
      <c r="B166" s="17" t="n"/>
      <c r="C166" s="17" t="n"/>
      <c r="D166" s="10" t="n"/>
      <c r="E166" s="10" t="n"/>
      <c r="F166" s="17" t="n"/>
      <c r="G166" s="19" t="n"/>
      <c r="H166" s="16" t="n"/>
      <c r="I166" s="16" t="n"/>
      <c r="J166" s="16" t="n"/>
      <c r="K166" s="26" t="n"/>
      <c r="L166" s="26" t="n"/>
      <c r="M166" s="16" t="n"/>
      <c r="N166" s="9" t="n"/>
      <c r="O166" s="16" t="n"/>
      <c r="P166" s="16" t="n"/>
      <c r="Q166" s="24" t="n"/>
      <c r="R166" s="17" t="n"/>
      <c r="S166" s="17" t="n"/>
      <c r="T166" s="27" t="n"/>
      <c r="U166" s="27" t="n"/>
      <c r="V166" s="10" t="n"/>
    </row>
    <row r="167">
      <c r="A167" s="16" t="n"/>
      <c r="B167" s="17" t="n"/>
      <c r="C167" s="17" t="n"/>
      <c r="D167" s="10" t="n"/>
      <c r="E167" s="10" t="n"/>
      <c r="F167" s="17" t="n"/>
      <c r="G167" s="19" t="n"/>
      <c r="H167" s="16" t="n"/>
      <c r="I167" s="16" t="n"/>
      <c r="J167" s="16" t="n"/>
      <c r="K167" s="26" t="n"/>
      <c r="L167" s="26" t="n"/>
      <c r="M167" s="16" t="n"/>
      <c r="N167" s="9" t="n"/>
      <c r="O167" s="16" t="n"/>
      <c r="P167" s="16" t="n"/>
      <c r="Q167" s="24" t="n"/>
      <c r="R167" s="17" t="n"/>
      <c r="S167" s="17" t="n"/>
      <c r="T167" s="27" t="n"/>
      <c r="U167" s="27" t="n"/>
      <c r="V167" s="10" t="n"/>
    </row>
    <row r="168">
      <c r="A168" s="16" t="n"/>
      <c r="B168" s="17" t="n"/>
      <c r="C168" s="17" t="n"/>
      <c r="D168" s="10" t="n"/>
      <c r="E168" s="10" t="n"/>
      <c r="F168" s="17" t="n"/>
      <c r="G168" s="19" t="n"/>
      <c r="H168" s="16" t="n"/>
      <c r="I168" s="16" t="n"/>
      <c r="J168" s="16" t="n"/>
      <c r="K168" s="26" t="n"/>
      <c r="L168" s="26" t="n"/>
      <c r="M168" s="16" t="n"/>
      <c r="N168" s="9" t="n"/>
      <c r="O168" s="16" t="n"/>
      <c r="P168" s="16" t="n"/>
      <c r="Q168" s="24" t="n"/>
      <c r="R168" s="17" t="n"/>
      <c r="S168" s="17" t="n"/>
      <c r="T168" s="27" t="n"/>
      <c r="U168" s="27" t="n"/>
      <c r="V168" s="10" t="n"/>
    </row>
    <row r="169">
      <c r="A169" s="16" t="n"/>
      <c r="B169" s="17" t="n"/>
      <c r="C169" s="17" t="n"/>
      <c r="D169" s="10" t="n"/>
      <c r="E169" s="10" t="n"/>
      <c r="F169" s="17" t="n"/>
      <c r="G169" s="19" t="n"/>
      <c r="H169" s="16" t="n"/>
      <c r="I169" s="16" t="n"/>
      <c r="J169" s="16" t="n"/>
      <c r="K169" s="26" t="n"/>
      <c r="L169" s="26" t="n"/>
      <c r="M169" s="16" t="n"/>
      <c r="N169" s="9" t="n"/>
      <c r="O169" s="16" t="n"/>
      <c r="P169" s="16" t="n"/>
      <c r="Q169" s="24" t="n"/>
      <c r="R169" s="17" t="n"/>
      <c r="S169" s="17" t="n"/>
      <c r="T169" s="27" t="n"/>
      <c r="U169" s="27" t="n"/>
      <c r="V169" s="10" t="n"/>
    </row>
    <row r="170">
      <c r="A170" s="16" t="n"/>
      <c r="B170" s="17" t="n"/>
      <c r="C170" s="17" t="n"/>
      <c r="D170" s="10" t="n"/>
      <c r="E170" s="10" t="n"/>
      <c r="F170" s="17" t="n"/>
      <c r="G170" s="19" t="n"/>
      <c r="H170" s="16" t="n"/>
      <c r="I170" s="16" t="n"/>
      <c r="J170" s="16" t="n"/>
      <c r="K170" s="26" t="n"/>
      <c r="L170" s="26" t="n"/>
      <c r="M170" s="16" t="n"/>
      <c r="N170" s="9" t="n"/>
      <c r="O170" s="16" t="n"/>
      <c r="P170" s="16" t="n"/>
      <c r="Q170" s="24" t="n"/>
      <c r="R170" s="17" t="n"/>
      <c r="S170" s="17" t="n"/>
      <c r="T170" s="27" t="n"/>
      <c r="U170" s="27" t="n"/>
      <c r="V170" s="10" t="n"/>
    </row>
    <row r="171">
      <c r="A171" s="16" t="n"/>
      <c r="B171" s="17" t="n"/>
      <c r="C171" s="17" t="n"/>
      <c r="D171" s="10" t="n"/>
      <c r="E171" s="10" t="n"/>
      <c r="F171" s="17" t="n"/>
      <c r="G171" s="19" t="n"/>
      <c r="H171" s="16" t="n"/>
      <c r="I171" s="16" t="n"/>
      <c r="J171" s="16" t="n"/>
      <c r="K171" s="26" t="n"/>
      <c r="L171" s="26" t="n"/>
      <c r="M171" s="16" t="n"/>
      <c r="N171" s="9" t="n"/>
      <c r="O171" s="16" t="n"/>
      <c r="P171" s="16" t="n"/>
      <c r="Q171" s="24" t="n"/>
      <c r="R171" s="17" t="n"/>
      <c r="S171" s="17" t="n"/>
      <c r="T171" s="27" t="n"/>
      <c r="U171" s="27" t="n"/>
      <c r="V171" s="10" t="n"/>
    </row>
    <row r="172">
      <c r="A172" s="16" t="n"/>
      <c r="B172" s="17" t="n"/>
      <c r="C172" s="17" t="n"/>
      <c r="D172" s="10" t="n"/>
      <c r="E172" s="10" t="n"/>
      <c r="F172" s="17" t="n"/>
      <c r="G172" s="19" t="n"/>
      <c r="H172" s="16" t="n"/>
      <c r="I172" s="16" t="n"/>
      <c r="J172" s="16" t="n"/>
      <c r="K172" s="26" t="n"/>
      <c r="L172" s="26" t="n"/>
      <c r="M172" s="16" t="n"/>
      <c r="N172" s="9" t="n"/>
      <c r="O172" s="16" t="n"/>
      <c r="P172" s="16" t="n"/>
      <c r="Q172" s="24" t="n"/>
      <c r="R172" s="17" t="n"/>
      <c r="S172" s="17" t="n"/>
      <c r="T172" s="27" t="n"/>
      <c r="U172" s="27" t="n"/>
      <c r="V172" s="10" t="n"/>
    </row>
    <row r="173">
      <c r="A173" s="16" t="n"/>
      <c r="B173" s="17" t="n"/>
      <c r="C173" s="17" t="n"/>
      <c r="D173" s="10" t="n"/>
      <c r="E173" s="10" t="n"/>
      <c r="F173" s="17" t="n"/>
      <c r="G173" s="19" t="n"/>
      <c r="H173" s="16" t="n"/>
      <c r="I173" s="16" t="n"/>
      <c r="J173" s="16" t="n"/>
      <c r="K173" s="26" t="n"/>
      <c r="L173" s="26" t="n"/>
      <c r="M173" s="16" t="n"/>
      <c r="N173" s="9" t="n"/>
      <c r="O173" s="16" t="n"/>
      <c r="P173" s="16" t="n"/>
      <c r="Q173" s="24" t="n"/>
      <c r="R173" s="17" t="n"/>
      <c r="S173" s="17" t="n"/>
      <c r="T173" s="27" t="n"/>
      <c r="U173" s="27" t="n"/>
      <c r="V173" s="10" t="n"/>
    </row>
    <row r="174">
      <c r="A174" s="16" t="n"/>
      <c r="B174" s="17" t="n"/>
      <c r="C174" s="17" t="n"/>
      <c r="D174" s="10" t="n"/>
      <c r="E174" s="10" t="n"/>
      <c r="F174" s="17" t="n"/>
      <c r="G174" s="19" t="n"/>
      <c r="H174" s="16" t="n"/>
      <c r="I174" s="16" t="n"/>
      <c r="J174" s="16" t="n"/>
      <c r="K174" s="26" t="n"/>
      <c r="L174" s="26" t="n"/>
      <c r="M174" s="16" t="n"/>
      <c r="N174" s="9" t="n"/>
      <c r="O174" s="16" t="n"/>
      <c r="P174" s="16" t="n"/>
      <c r="Q174" s="24" t="n"/>
      <c r="R174" s="17" t="n"/>
      <c r="S174" s="17" t="n"/>
      <c r="T174" s="27" t="n"/>
      <c r="U174" s="27" t="n"/>
      <c r="V174" s="10" t="n"/>
    </row>
    <row r="175">
      <c r="A175" s="16" t="n"/>
      <c r="B175" s="17" t="n"/>
      <c r="C175" s="17" t="n"/>
      <c r="D175" s="10" t="n"/>
      <c r="E175" s="10" t="n"/>
      <c r="F175" s="17" t="n"/>
      <c r="G175" s="19" t="n"/>
      <c r="H175" s="16" t="n"/>
      <c r="I175" s="16" t="n"/>
      <c r="J175" s="16" t="n"/>
      <c r="K175" s="26" t="n"/>
      <c r="L175" s="26" t="n"/>
      <c r="M175" s="16" t="n"/>
      <c r="N175" s="9" t="n"/>
      <c r="O175" s="16" t="n"/>
      <c r="P175" s="16" t="n"/>
      <c r="Q175" s="24" t="n"/>
      <c r="R175" s="17" t="n"/>
      <c r="S175" s="17" t="n"/>
      <c r="T175" s="27" t="n"/>
      <c r="U175" s="27" t="n"/>
      <c r="V175" s="10" t="n"/>
    </row>
    <row r="176">
      <c r="A176" s="16" t="n"/>
      <c r="B176" s="17" t="n"/>
      <c r="C176" s="17" t="n"/>
      <c r="D176" s="10" t="n"/>
      <c r="E176" s="10" t="n"/>
      <c r="F176" s="17" t="n"/>
      <c r="G176" s="19" t="n"/>
      <c r="H176" s="16" t="n"/>
      <c r="I176" s="16" t="n"/>
      <c r="J176" s="16" t="n"/>
      <c r="K176" s="26" t="n"/>
      <c r="L176" s="26" t="n"/>
      <c r="M176" s="16" t="n"/>
      <c r="N176" s="9" t="n"/>
      <c r="O176" s="16" t="n"/>
      <c r="P176" s="16" t="n"/>
      <c r="Q176" s="24" t="n"/>
      <c r="R176" s="17" t="n"/>
      <c r="S176" s="17" t="n"/>
      <c r="T176" s="27" t="n"/>
      <c r="U176" s="27" t="n"/>
      <c r="V176" s="10" t="n"/>
    </row>
    <row r="177">
      <c r="A177" s="16" t="n"/>
      <c r="B177" s="17" t="n"/>
      <c r="C177" s="17" t="n"/>
      <c r="D177" s="10" t="n"/>
      <c r="E177" s="10" t="n"/>
      <c r="F177" s="17" t="n"/>
      <c r="G177" s="19" t="n"/>
      <c r="H177" s="16" t="n"/>
      <c r="I177" s="16" t="n"/>
      <c r="J177" s="16" t="n"/>
      <c r="K177" s="26" t="n"/>
      <c r="L177" s="26" t="n"/>
      <c r="M177" s="16" t="n"/>
      <c r="N177" s="9" t="n"/>
      <c r="O177" s="16" t="n"/>
      <c r="P177" s="16" t="n"/>
      <c r="Q177" s="24" t="n"/>
      <c r="R177" s="17" t="n"/>
      <c r="S177" s="17" t="n"/>
      <c r="T177" s="27" t="n"/>
      <c r="U177" s="27" t="n"/>
      <c r="V177" s="10" t="n"/>
    </row>
    <row r="178">
      <c r="A178" s="16" t="n"/>
      <c r="B178" s="17" t="n"/>
      <c r="C178" s="17" t="n"/>
      <c r="D178" s="10" t="n"/>
      <c r="E178" s="10" t="n"/>
      <c r="F178" s="17" t="n"/>
      <c r="G178" s="19" t="n"/>
      <c r="H178" s="16" t="n"/>
      <c r="I178" s="16" t="n"/>
      <c r="J178" s="16" t="n"/>
      <c r="K178" s="26" t="n"/>
      <c r="L178" s="26" t="n"/>
      <c r="M178" s="16" t="n"/>
      <c r="N178" s="9" t="n"/>
      <c r="O178" s="16" t="n"/>
      <c r="P178" s="16" t="n"/>
      <c r="Q178" s="24" t="n"/>
      <c r="R178" s="17" t="n"/>
      <c r="S178" s="17" t="n"/>
      <c r="T178" s="27" t="n"/>
      <c r="U178" s="27" t="n"/>
      <c r="V178" s="10" t="n"/>
    </row>
    <row r="179">
      <c r="A179" s="16" t="n"/>
      <c r="B179" s="17" t="n"/>
      <c r="C179" s="17" t="n"/>
      <c r="D179" s="10" t="n"/>
      <c r="E179" s="10" t="n"/>
      <c r="F179" s="17" t="n"/>
      <c r="G179" s="19" t="n"/>
      <c r="H179" s="16" t="n"/>
      <c r="I179" s="16" t="n"/>
      <c r="J179" s="16" t="n"/>
      <c r="K179" s="26" t="n"/>
      <c r="L179" s="26" t="n"/>
      <c r="M179" s="16" t="n"/>
      <c r="N179" s="9" t="n"/>
      <c r="O179" s="16" t="n"/>
      <c r="P179" s="16" t="n"/>
      <c r="Q179" s="24" t="n"/>
      <c r="R179" s="17" t="n"/>
      <c r="S179" s="17" t="n"/>
      <c r="T179" s="27" t="n"/>
      <c r="U179" s="27" t="n"/>
      <c r="V179" s="10" t="n"/>
    </row>
    <row r="180">
      <c r="A180" s="16" t="n"/>
      <c r="B180" s="17" t="n"/>
      <c r="C180" s="17" t="n"/>
      <c r="D180" s="10" t="n"/>
      <c r="E180" s="10" t="n"/>
      <c r="F180" s="17" t="n"/>
      <c r="G180" s="19" t="n"/>
      <c r="H180" s="16" t="n"/>
      <c r="I180" s="16" t="n"/>
      <c r="J180" s="16" t="n"/>
      <c r="K180" s="26" t="n"/>
      <c r="L180" s="26" t="n"/>
      <c r="M180" s="16" t="n"/>
      <c r="N180" s="9" t="n"/>
      <c r="O180" s="16" t="n"/>
      <c r="P180" s="16" t="n"/>
      <c r="Q180" s="24" t="n"/>
      <c r="R180" s="17" t="n"/>
      <c r="S180" s="17" t="n"/>
      <c r="T180" s="27" t="n"/>
      <c r="U180" s="27" t="n"/>
      <c r="V180" s="10" t="n"/>
    </row>
    <row r="181">
      <c r="A181" s="16" t="n"/>
      <c r="B181" s="17" t="n"/>
      <c r="C181" s="17" t="n"/>
      <c r="D181" s="10" t="n"/>
      <c r="E181" s="10" t="n"/>
      <c r="F181" s="17" t="n"/>
      <c r="G181" s="19" t="n"/>
      <c r="H181" s="16" t="n"/>
      <c r="I181" s="16" t="n"/>
      <c r="J181" s="16" t="n"/>
      <c r="K181" s="26" t="n"/>
      <c r="L181" s="26" t="n"/>
      <c r="M181" s="16" t="n"/>
      <c r="N181" s="9" t="n"/>
      <c r="O181" s="16" t="n"/>
      <c r="P181" s="16" t="n"/>
      <c r="Q181" s="24" t="n"/>
      <c r="R181" s="17" t="n"/>
      <c r="S181" s="17" t="n"/>
      <c r="T181" s="27" t="n"/>
      <c r="U181" s="27" t="n"/>
      <c r="V181" s="10" t="n"/>
    </row>
    <row r="182">
      <c r="A182" s="16" t="n"/>
      <c r="B182" s="17" t="n"/>
      <c r="C182" s="17" t="n"/>
      <c r="D182" s="10" t="n"/>
      <c r="E182" s="10" t="n"/>
      <c r="F182" s="17" t="n"/>
      <c r="G182" s="19" t="n"/>
      <c r="H182" s="16" t="n"/>
      <c r="I182" s="16" t="n"/>
      <c r="J182" s="16" t="n"/>
      <c r="K182" s="26" t="n"/>
      <c r="L182" s="26" t="n"/>
      <c r="M182" s="16" t="n"/>
      <c r="N182" s="9" t="n"/>
      <c r="O182" s="16" t="n"/>
      <c r="P182" s="16" t="n"/>
      <c r="Q182" s="24" t="n"/>
      <c r="R182" s="17" t="n"/>
      <c r="S182" s="17" t="n"/>
      <c r="T182" s="27" t="n"/>
      <c r="U182" s="27" t="n"/>
      <c r="V182" s="10" t="n"/>
    </row>
    <row r="183">
      <c r="A183" s="16" t="n"/>
      <c r="B183" s="17" t="n"/>
      <c r="C183" s="17" t="n"/>
      <c r="D183" s="10" t="n"/>
      <c r="E183" s="10" t="n"/>
      <c r="F183" s="17" t="n"/>
      <c r="G183" s="19" t="n"/>
      <c r="H183" s="16" t="n"/>
      <c r="I183" s="16" t="n"/>
      <c r="J183" s="16" t="n"/>
      <c r="K183" s="26" t="n"/>
      <c r="L183" s="26" t="n"/>
      <c r="M183" s="16" t="n"/>
      <c r="N183" s="9" t="n"/>
      <c r="O183" s="16" t="n"/>
      <c r="P183" s="16" t="n"/>
      <c r="Q183" s="24" t="n"/>
      <c r="R183" s="17" t="n"/>
      <c r="S183" s="17" t="n"/>
      <c r="T183" s="27" t="n"/>
      <c r="U183" s="27" t="n"/>
      <c r="V183" s="10" t="n"/>
    </row>
    <row r="184">
      <c r="A184" s="16" t="n"/>
      <c r="B184" s="17" t="n"/>
      <c r="C184" s="17" t="n"/>
      <c r="D184" s="10" t="n"/>
      <c r="E184" s="10" t="n"/>
      <c r="F184" s="17" t="n"/>
      <c r="G184" s="19" t="n"/>
      <c r="H184" s="16" t="n"/>
      <c r="I184" s="16" t="n"/>
      <c r="J184" s="16" t="n"/>
      <c r="K184" s="26" t="n"/>
      <c r="L184" s="26" t="n"/>
      <c r="M184" s="16" t="n"/>
      <c r="N184" s="9" t="n"/>
      <c r="O184" s="16" t="n"/>
      <c r="P184" s="16" t="n"/>
      <c r="Q184" s="24" t="n"/>
      <c r="R184" s="17" t="n"/>
      <c r="S184" s="17" t="n"/>
      <c r="T184" s="27" t="n"/>
      <c r="U184" s="27" t="n"/>
      <c r="V184" s="10" t="n"/>
    </row>
    <row r="185">
      <c r="A185" s="16" t="n"/>
      <c r="B185" s="17" t="n"/>
      <c r="C185" s="17" t="n"/>
      <c r="D185" s="10" t="n"/>
      <c r="E185" s="10" t="n"/>
      <c r="F185" s="17" t="n"/>
      <c r="G185" s="19" t="n"/>
      <c r="H185" s="16" t="n"/>
      <c r="I185" s="16" t="n"/>
      <c r="J185" s="16" t="n"/>
      <c r="K185" s="26" t="n"/>
      <c r="L185" s="26" t="n"/>
      <c r="M185" s="16" t="n"/>
      <c r="N185" s="9" t="n"/>
      <c r="O185" s="16" t="n"/>
      <c r="P185" s="16" t="n"/>
      <c r="Q185" s="24" t="n"/>
      <c r="R185" s="17" t="n"/>
      <c r="S185" s="17" t="n"/>
      <c r="T185" s="27" t="n"/>
      <c r="U185" s="27" t="n"/>
      <c r="V185" s="10" t="n"/>
    </row>
    <row r="186">
      <c r="A186" s="16" t="n"/>
      <c r="B186" s="17" t="n"/>
      <c r="C186" s="17" t="n"/>
      <c r="D186" s="10" t="n"/>
      <c r="E186" s="10" t="n"/>
      <c r="F186" s="17" t="n"/>
      <c r="G186" s="19" t="n"/>
      <c r="H186" s="16" t="n"/>
      <c r="I186" s="16" t="n"/>
      <c r="J186" s="16" t="n"/>
      <c r="K186" s="26" t="n"/>
      <c r="L186" s="26" t="n"/>
      <c r="M186" s="16" t="n"/>
      <c r="N186" s="9" t="n"/>
      <c r="O186" s="16" t="n"/>
      <c r="P186" s="16" t="n"/>
      <c r="Q186" s="24" t="n"/>
      <c r="R186" s="17" t="n"/>
      <c r="S186" s="17" t="n"/>
      <c r="T186" s="27" t="n"/>
      <c r="U186" s="27" t="n"/>
      <c r="V186" s="10" t="n"/>
    </row>
    <row r="187">
      <c r="A187" s="16" t="n"/>
      <c r="B187" s="17" t="n"/>
      <c r="C187" s="17" t="n"/>
      <c r="D187" s="10" t="n"/>
      <c r="E187" s="10" t="n"/>
      <c r="F187" s="17" t="n"/>
      <c r="G187" s="19" t="n"/>
      <c r="H187" s="16" t="n"/>
      <c r="I187" s="16" t="n"/>
      <c r="J187" s="16" t="n"/>
      <c r="K187" s="26" t="n"/>
      <c r="L187" s="26" t="n"/>
      <c r="M187" s="16" t="n"/>
      <c r="N187" s="9" t="n"/>
      <c r="O187" s="16" t="n"/>
      <c r="P187" s="16" t="n"/>
      <c r="Q187" s="24" t="n"/>
      <c r="R187" s="17" t="n"/>
      <c r="S187" s="17" t="n"/>
      <c r="T187" s="27" t="n"/>
      <c r="U187" s="27" t="n"/>
      <c r="V187" s="10" t="n"/>
    </row>
    <row r="188">
      <c r="A188" s="16" t="n"/>
      <c r="B188" s="17" t="n"/>
      <c r="C188" s="17" t="n"/>
      <c r="D188" s="10" t="n"/>
      <c r="E188" s="10" t="n"/>
      <c r="F188" s="17" t="n"/>
      <c r="G188" s="19" t="n"/>
      <c r="H188" s="16" t="n"/>
      <c r="I188" s="16" t="n"/>
      <c r="J188" s="16" t="n"/>
      <c r="K188" s="26" t="n"/>
      <c r="L188" s="26" t="n"/>
      <c r="M188" s="16" t="n"/>
      <c r="N188" s="9" t="n"/>
      <c r="O188" s="16" t="n"/>
      <c r="P188" s="16" t="n"/>
      <c r="Q188" s="24" t="n"/>
      <c r="R188" s="17" t="n"/>
      <c r="S188" s="17" t="n"/>
      <c r="T188" s="27" t="n"/>
      <c r="U188" s="27" t="n"/>
      <c r="V188" s="10" t="n"/>
    </row>
    <row r="189">
      <c r="A189" s="16" t="n"/>
      <c r="B189" s="17" t="n"/>
      <c r="C189" s="17" t="n"/>
      <c r="D189" s="10" t="n"/>
      <c r="E189" s="10" t="n"/>
      <c r="F189" s="17" t="n"/>
      <c r="G189" s="19" t="n"/>
      <c r="H189" s="16" t="n"/>
      <c r="I189" s="16" t="n"/>
      <c r="J189" s="16" t="n"/>
      <c r="K189" s="26" t="n"/>
      <c r="L189" s="26" t="n"/>
      <c r="M189" s="16" t="n"/>
      <c r="N189" s="9" t="n"/>
      <c r="O189" s="16" t="n"/>
      <c r="P189" s="16" t="n"/>
      <c r="Q189" s="24" t="n"/>
      <c r="R189" s="17" t="n"/>
      <c r="S189" s="17" t="n"/>
      <c r="T189" s="27" t="n"/>
      <c r="U189" s="27" t="n"/>
      <c r="V189" s="10" t="n"/>
    </row>
    <row r="190">
      <c r="A190" s="16" t="n"/>
      <c r="B190" s="17" t="n"/>
      <c r="C190" s="17" t="n"/>
      <c r="D190" s="10" t="n"/>
      <c r="E190" s="10" t="n"/>
      <c r="F190" s="17" t="n"/>
      <c r="G190" s="19" t="n"/>
      <c r="H190" s="16" t="n"/>
      <c r="I190" s="16" t="n"/>
      <c r="J190" s="16" t="n"/>
      <c r="K190" s="26" t="n"/>
      <c r="L190" s="26" t="n"/>
      <c r="M190" s="16" t="n"/>
      <c r="N190" s="9" t="n"/>
      <c r="O190" s="16" t="n"/>
      <c r="P190" s="16" t="n"/>
      <c r="Q190" s="24" t="n"/>
      <c r="R190" s="17" t="n"/>
      <c r="S190" s="17" t="n"/>
      <c r="T190" s="27" t="n"/>
      <c r="U190" s="27" t="n"/>
      <c r="V190" s="10" t="n"/>
    </row>
    <row r="191">
      <c r="A191" s="16" t="n"/>
      <c r="B191" s="17" t="n"/>
      <c r="C191" s="17" t="n"/>
      <c r="D191" s="10" t="n"/>
      <c r="E191" s="10" t="n"/>
      <c r="F191" s="17" t="n"/>
      <c r="G191" s="19" t="n"/>
      <c r="H191" s="16" t="n"/>
      <c r="I191" s="16" t="n"/>
      <c r="J191" s="16" t="n"/>
      <c r="K191" s="26" t="n"/>
      <c r="L191" s="26" t="n"/>
      <c r="M191" s="16" t="n"/>
      <c r="N191" s="9" t="n"/>
      <c r="O191" s="16" t="n"/>
      <c r="P191" s="16" t="n"/>
      <c r="Q191" s="24" t="n"/>
      <c r="R191" s="17" t="n"/>
      <c r="S191" s="17" t="n"/>
      <c r="T191" s="27" t="n"/>
      <c r="U191" s="27" t="n"/>
      <c r="V191" s="10" t="n"/>
    </row>
    <row r="192">
      <c r="A192" s="16" t="n"/>
      <c r="B192" s="17" t="n"/>
      <c r="C192" s="17" t="n"/>
      <c r="D192" s="10" t="n"/>
      <c r="E192" s="10" t="n"/>
      <c r="F192" s="17" t="n"/>
      <c r="G192" s="19" t="n"/>
      <c r="H192" s="16" t="n"/>
      <c r="I192" s="16" t="n"/>
      <c r="J192" s="16" t="n"/>
      <c r="K192" s="26" t="n"/>
      <c r="L192" s="26" t="n"/>
      <c r="M192" s="16" t="n"/>
      <c r="N192" s="9" t="n"/>
      <c r="O192" s="16" t="n"/>
      <c r="P192" s="16" t="n"/>
      <c r="Q192" s="24" t="n"/>
      <c r="R192" s="17" t="n"/>
      <c r="S192" s="17" t="n"/>
      <c r="T192" s="27" t="n"/>
      <c r="U192" s="27" t="n"/>
      <c r="V192" s="10" t="n"/>
    </row>
    <row r="193">
      <c r="A193" s="16" t="n"/>
      <c r="B193" s="17" t="n"/>
      <c r="C193" s="17" t="n"/>
      <c r="D193" s="10" t="n"/>
      <c r="E193" s="10" t="n"/>
      <c r="F193" s="17" t="n"/>
      <c r="G193" s="19" t="n"/>
      <c r="H193" s="16" t="n"/>
      <c r="I193" s="16" t="n"/>
      <c r="J193" s="16" t="n"/>
      <c r="K193" s="26" t="n"/>
      <c r="L193" s="26" t="n"/>
      <c r="M193" s="16" t="n"/>
      <c r="N193" s="9" t="n"/>
      <c r="O193" s="16" t="n"/>
      <c r="P193" s="16" t="n"/>
      <c r="Q193" s="24" t="n"/>
      <c r="R193" s="17" t="n"/>
      <c r="S193" s="17" t="n"/>
      <c r="T193" s="27" t="n"/>
      <c r="U193" s="27" t="n"/>
      <c r="V193" s="10" t="n"/>
    </row>
    <row r="194">
      <c r="A194" s="16" t="n"/>
      <c r="B194" s="17" t="n"/>
      <c r="C194" s="17" t="n"/>
      <c r="D194" s="10" t="n"/>
      <c r="E194" s="10" t="n"/>
      <c r="F194" s="17" t="n"/>
      <c r="G194" s="19" t="n"/>
      <c r="H194" s="16" t="n"/>
      <c r="I194" s="16" t="n"/>
      <c r="J194" s="16" t="n"/>
      <c r="K194" s="26" t="n"/>
      <c r="L194" s="26" t="n"/>
      <c r="M194" s="16" t="n"/>
      <c r="N194" s="9" t="n"/>
      <c r="O194" s="16" t="n"/>
      <c r="P194" s="16" t="n"/>
      <c r="Q194" s="24" t="n"/>
      <c r="R194" s="17" t="n"/>
      <c r="S194" s="17" t="n"/>
      <c r="T194" s="27" t="n"/>
      <c r="U194" s="27" t="n"/>
      <c r="V194" s="10" t="n"/>
    </row>
    <row r="195">
      <c r="A195" s="16" t="n"/>
      <c r="B195" s="17" t="n"/>
      <c r="C195" s="17" t="n"/>
      <c r="D195" s="10" t="n"/>
      <c r="E195" s="10" t="n"/>
      <c r="F195" s="17" t="n"/>
      <c r="G195" s="19" t="n"/>
      <c r="H195" s="16" t="n"/>
      <c r="I195" s="16" t="n"/>
      <c r="J195" s="16" t="n"/>
      <c r="K195" s="26" t="n"/>
      <c r="L195" s="26" t="n"/>
      <c r="M195" s="16" t="n"/>
      <c r="N195" s="9" t="n"/>
      <c r="O195" s="16" t="n"/>
      <c r="P195" s="16" t="n"/>
      <c r="Q195" s="24" t="n"/>
      <c r="R195" s="17" t="n"/>
      <c r="S195" s="17" t="n"/>
      <c r="T195" s="27" t="n"/>
      <c r="U195" s="27" t="n"/>
      <c r="V195" s="10" t="n"/>
    </row>
    <row r="196">
      <c r="A196" s="16" t="n"/>
      <c r="B196" s="17" t="n"/>
      <c r="C196" s="17" t="n"/>
      <c r="D196" s="10" t="n"/>
      <c r="E196" s="10" t="n"/>
      <c r="F196" s="17" t="n"/>
      <c r="G196" s="19" t="n"/>
      <c r="H196" s="16" t="n"/>
      <c r="I196" s="16" t="n"/>
      <c r="J196" s="16" t="n"/>
      <c r="K196" s="26" t="n"/>
      <c r="L196" s="26" t="n"/>
      <c r="M196" s="16" t="n"/>
      <c r="N196" s="9" t="n"/>
      <c r="O196" s="16" t="n"/>
      <c r="P196" s="16" t="n"/>
      <c r="Q196" s="24" t="n"/>
      <c r="R196" s="17" t="n"/>
      <c r="S196" s="17" t="n"/>
      <c r="T196" s="27" t="n"/>
      <c r="U196" s="27" t="n"/>
      <c r="V196" s="10" t="n"/>
    </row>
    <row r="197">
      <c r="A197" s="16" t="n"/>
      <c r="B197" s="17" t="n"/>
      <c r="C197" s="17" t="n"/>
      <c r="D197" s="10" t="n"/>
      <c r="E197" s="10" t="n"/>
      <c r="F197" s="17" t="n"/>
      <c r="G197" s="19" t="n"/>
      <c r="H197" s="16" t="n"/>
      <c r="I197" s="16" t="n"/>
      <c r="J197" s="16" t="n"/>
      <c r="K197" s="26" t="n"/>
      <c r="L197" s="26" t="n"/>
      <c r="M197" s="16" t="n"/>
      <c r="N197" s="9" t="n"/>
      <c r="O197" s="16" t="n"/>
      <c r="P197" s="16" t="n"/>
      <c r="Q197" s="24" t="n"/>
      <c r="R197" s="17" t="n"/>
      <c r="S197" s="17" t="n"/>
      <c r="T197" s="27" t="n"/>
      <c r="U197" s="27" t="n"/>
      <c r="V197" s="10" t="n"/>
    </row>
    <row r="198">
      <c r="A198" s="16" t="n"/>
      <c r="B198" s="17" t="n"/>
      <c r="C198" s="17" t="n"/>
      <c r="D198" s="10" t="n"/>
      <c r="E198" s="10" t="n"/>
      <c r="F198" s="17" t="n"/>
      <c r="G198" s="19" t="n"/>
      <c r="H198" s="16" t="n"/>
      <c r="I198" s="16" t="n"/>
      <c r="J198" s="16" t="n"/>
      <c r="K198" s="26" t="n"/>
      <c r="L198" s="26" t="n"/>
      <c r="M198" s="16" t="n"/>
      <c r="N198" s="9" t="n"/>
      <c r="O198" s="16" t="n"/>
      <c r="P198" s="16" t="n"/>
      <c r="Q198" s="24" t="n"/>
      <c r="R198" s="17" t="n"/>
      <c r="S198" s="17" t="n"/>
      <c r="T198" s="27" t="n"/>
      <c r="U198" s="27" t="n"/>
      <c r="V198" s="10" t="n"/>
    </row>
    <row r="199">
      <c r="A199" s="16" t="n"/>
      <c r="B199" s="17" t="n"/>
      <c r="C199" s="17" t="n"/>
      <c r="D199" s="10" t="n"/>
      <c r="E199" s="10" t="n"/>
      <c r="F199" s="17" t="n"/>
      <c r="G199" s="19" t="n"/>
      <c r="H199" s="16" t="n"/>
      <c r="I199" s="16" t="n"/>
      <c r="J199" s="16" t="n"/>
      <c r="K199" s="26" t="n"/>
      <c r="L199" s="26" t="n"/>
      <c r="M199" s="16" t="n"/>
      <c r="N199" s="9" t="n"/>
      <c r="O199" s="16" t="n"/>
      <c r="P199" s="16" t="n"/>
      <c r="Q199" s="24" t="n"/>
      <c r="R199" s="17" t="n"/>
      <c r="S199" s="17" t="n"/>
      <c r="T199" s="27" t="n"/>
      <c r="U199" s="27" t="n"/>
      <c r="V199" s="10" t="n"/>
    </row>
    <row r="200">
      <c r="A200" s="16" t="n"/>
      <c r="B200" s="17" t="n"/>
      <c r="C200" s="17" t="n"/>
      <c r="D200" s="10" t="n"/>
      <c r="E200" s="10" t="n"/>
      <c r="F200" s="17" t="n"/>
      <c r="G200" s="19" t="n"/>
      <c r="H200" s="16" t="n"/>
      <c r="I200" s="16" t="n"/>
      <c r="J200" s="16" t="n"/>
      <c r="K200" s="26" t="n"/>
      <c r="L200" s="26" t="n"/>
      <c r="M200" s="16" t="n"/>
      <c r="N200" s="9" t="n"/>
      <c r="O200" s="16" t="n"/>
      <c r="P200" s="16" t="n"/>
      <c r="Q200" s="24" t="n"/>
      <c r="R200" s="17" t="n"/>
      <c r="S200" s="17" t="n"/>
      <c r="T200" s="27" t="n"/>
      <c r="U200" s="27" t="n"/>
      <c r="V200" s="10" t="n"/>
    </row>
    <row r="201">
      <c r="A201" s="16" t="n"/>
      <c r="B201" s="17" t="n"/>
      <c r="C201" s="17" t="n"/>
      <c r="D201" s="10" t="n"/>
      <c r="E201" s="10" t="n"/>
      <c r="F201" s="17" t="n"/>
      <c r="G201" s="19" t="n"/>
      <c r="H201" s="16" t="n"/>
      <c r="I201" s="16" t="n"/>
      <c r="J201" s="16" t="n"/>
      <c r="K201" s="26" t="n"/>
      <c r="L201" s="26" t="n"/>
      <c r="M201" s="16" t="n"/>
      <c r="N201" s="9" t="n"/>
      <c r="O201" s="16" t="n"/>
      <c r="P201" s="16" t="n"/>
      <c r="Q201" s="24" t="n"/>
      <c r="R201" s="17" t="n"/>
      <c r="S201" s="17" t="n"/>
      <c r="T201" s="27" t="n"/>
      <c r="U201" s="27" t="n"/>
      <c r="V201" s="10" t="n"/>
    </row>
    <row r="202">
      <c r="A202" s="16" t="n"/>
      <c r="B202" s="17" t="n"/>
      <c r="C202" s="17" t="n"/>
      <c r="D202" s="10" t="n"/>
      <c r="E202" s="10" t="n"/>
      <c r="F202" s="17" t="n"/>
      <c r="G202" s="19" t="n"/>
      <c r="H202" s="16" t="n"/>
      <c r="I202" s="16" t="n"/>
      <c r="J202" s="16" t="n"/>
      <c r="K202" s="26" t="n"/>
      <c r="L202" s="26" t="n"/>
      <c r="M202" s="16" t="n"/>
      <c r="N202" s="9" t="n"/>
      <c r="O202" s="16" t="n"/>
      <c r="P202" s="16" t="n"/>
      <c r="Q202" s="24" t="n"/>
      <c r="R202" s="17" t="n"/>
      <c r="S202" s="17" t="n"/>
      <c r="T202" s="27" t="n"/>
      <c r="U202" s="27" t="n"/>
      <c r="V202" s="10" t="n"/>
    </row>
    <row r="203">
      <c r="A203" s="16" t="n"/>
      <c r="B203" s="17" t="n"/>
      <c r="C203" s="17" t="n"/>
      <c r="D203" s="10" t="n"/>
      <c r="E203" s="10" t="n"/>
      <c r="F203" s="17" t="n"/>
      <c r="G203" s="19" t="n"/>
      <c r="H203" s="16" t="n"/>
      <c r="I203" s="16" t="n"/>
      <c r="J203" s="16" t="n"/>
      <c r="K203" s="26" t="n"/>
      <c r="L203" s="26" t="n"/>
      <c r="M203" s="16" t="n"/>
      <c r="N203" s="9" t="n"/>
      <c r="O203" s="16" t="n"/>
      <c r="P203" s="16" t="n"/>
      <c r="Q203" s="24" t="n"/>
      <c r="R203" s="17" t="n"/>
      <c r="S203" s="17" t="n"/>
      <c r="T203" s="27" t="n"/>
      <c r="U203" s="27" t="n"/>
      <c r="V203" s="10" t="n"/>
    </row>
    <row r="204">
      <c r="A204" s="16" t="n"/>
      <c r="B204" s="17" t="n"/>
      <c r="C204" s="17" t="n"/>
      <c r="D204" s="10" t="n"/>
      <c r="E204" s="10" t="n"/>
      <c r="F204" s="17" t="n"/>
      <c r="G204" s="19" t="n"/>
      <c r="H204" s="16" t="n"/>
      <c r="I204" s="16" t="n"/>
      <c r="J204" s="16" t="n"/>
      <c r="K204" s="26" t="n"/>
      <c r="L204" s="26" t="n"/>
      <c r="M204" s="16" t="n"/>
      <c r="N204" s="9" t="n"/>
      <c r="O204" s="16" t="n"/>
      <c r="P204" s="16" t="n"/>
      <c r="Q204" s="24" t="n"/>
      <c r="R204" s="17" t="n"/>
      <c r="S204" s="17" t="n"/>
      <c r="T204" s="27" t="n"/>
      <c r="U204" s="27" t="n"/>
      <c r="V204" s="10" t="n"/>
    </row>
    <row r="205">
      <c r="A205" s="16" t="n"/>
      <c r="B205" s="17" t="n"/>
      <c r="C205" s="17" t="n"/>
      <c r="D205" s="10" t="n"/>
      <c r="E205" s="10" t="n"/>
      <c r="F205" s="17" t="n"/>
      <c r="G205" s="19" t="n"/>
      <c r="H205" s="16" t="n"/>
      <c r="I205" s="16" t="n"/>
      <c r="J205" s="16" t="n"/>
      <c r="K205" s="26" t="n"/>
      <c r="L205" s="26" t="n"/>
      <c r="M205" s="16" t="n"/>
      <c r="N205" s="9" t="n"/>
      <c r="O205" s="16" t="n"/>
      <c r="P205" s="16" t="n"/>
      <c r="Q205" s="24" t="n"/>
      <c r="R205" s="17" t="n"/>
      <c r="S205" s="17" t="n"/>
      <c r="T205" s="27" t="n"/>
      <c r="U205" s="27" t="n"/>
      <c r="V205" s="10" t="n"/>
    </row>
    <row r="206">
      <c r="A206" s="16" t="n"/>
      <c r="B206" s="17" t="n"/>
      <c r="C206" s="17" t="n"/>
      <c r="D206" s="10" t="n"/>
      <c r="E206" s="10" t="n"/>
      <c r="F206" s="17" t="n"/>
      <c r="G206" s="19" t="n"/>
      <c r="H206" s="16" t="n"/>
      <c r="I206" s="16" t="n"/>
      <c r="J206" s="16" t="n"/>
      <c r="K206" s="26" t="n"/>
      <c r="L206" s="26" t="n"/>
      <c r="M206" s="16" t="n"/>
      <c r="N206" s="9" t="n"/>
      <c r="O206" s="16" t="n"/>
      <c r="P206" s="16" t="n"/>
      <c r="Q206" s="24" t="n"/>
      <c r="R206" s="17" t="n"/>
      <c r="S206" s="17" t="n"/>
      <c r="T206" s="27" t="n"/>
      <c r="U206" s="27" t="n"/>
      <c r="V206" s="10" t="n"/>
    </row>
    <row r="207">
      <c r="A207" s="16" t="n"/>
      <c r="B207" s="17" t="n"/>
      <c r="C207" s="17" t="n"/>
      <c r="D207" s="10" t="n"/>
      <c r="E207" s="10" t="n"/>
      <c r="F207" s="17" t="n"/>
      <c r="G207" s="19" t="n"/>
      <c r="H207" s="16" t="n"/>
      <c r="I207" s="16" t="n"/>
      <c r="J207" s="16" t="n"/>
      <c r="K207" s="26" t="n"/>
      <c r="L207" s="26" t="n"/>
      <c r="M207" s="16" t="n"/>
      <c r="N207" s="9" t="n"/>
      <c r="O207" s="16" t="n"/>
      <c r="P207" s="16" t="n"/>
      <c r="Q207" s="24" t="n"/>
      <c r="R207" s="17" t="n"/>
      <c r="S207" s="17" t="n"/>
      <c r="T207" s="27" t="n"/>
      <c r="U207" s="27" t="n"/>
      <c r="V207" s="10" t="n"/>
    </row>
    <row r="208">
      <c r="A208" s="16" t="n"/>
      <c r="B208" s="17" t="n"/>
      <c r="C208" s="17" t="n"/>
      <c r="D208" s="10" t="n"/>
      <c r="E208" s="10" t="n"/>
      <c r="F208" s="17" t="n"/>
      <c r="G208" s="19" t="n"/>
      <c r="H208" s="16" t="n"/>
      <c r="I208" s="16" t="n"/>
      <c r="J208" s="16" t="n"/>
      <c r="K208" s="26" t="n"/>
      <c r="L208" s="26" t="n"/>
      <c r="M208" s="16" t="n"/>
      <c r="N208" s="9" t="n"/>
      <c r="O208" s="16" t="n"/>
      <c r="P208" s="16" t="n"/>
      <c r="Q208" s="24" t="n"/>
      <c r="R208" s="17" t="n"/>
      <c r="S208" s="17" t="n"/>
      <c r="T208" s="27" t="n"/>
      <c r="U208" s="27" t="n"/>
      <c r="V208" s="10" t="n"/>
    </row>
    <row r="209">
      <c r="A209" s="16" t="n"/>
      <c r="B209" s="17" t="n"/>
      <c r="C209" s="17" t="n"/>
      <c r="D209" s="10" t="n"/>
      <c r="E209" s="10" t="n"/>
      <c r="F209" s="17" t="n"/>
      <c r="G209" s="19" t="n"/>
      <c r="H209" s="16" t="n"/>
      <c r="I209" s="16" t="n"/>
      <c r="J209" s="16" t="n"/>
      <c r="K209" s="26" t="n"/>
      <c r="L209" s="26" t="n"/>
      <c r="M209" s="16" t="n"/>
      <c r="N209" s="9" t="n"/>
      <c r="O209" s="16" t="n"/>
      <c r="P209" s="16" t="n"/>
      <c r="Q209" s="24" t="n"/>
      <c r="R209" s="17" t="n"/>
      <c r="S209" s="17" t="n"/>
      <c r="T209" s="27" t="n"/>
      <c r="U209" s="27" t="n"/>
      <c r="V209" s="10" t="n"/>
    </row>
    <row r="210">
      <c r="A210" s="16" t="n"/>
      <c r="B210" s="17" t="n"/>
      <c r="C210" s="17" t="n"/>
      <c r="D210" s="10" t="n"/>
      <c r="E210" s="10" t="n"/>
      <c r="F210" s="17" t="n"/>
      <c r="G210" s="19" t="n"/>
      <c r="H210" s="16" t="n"/>
      <c r="I210" s="16" t="n"/>
      <c r="J210" s="16" t="n"/>
      <c r="K210" s="26" t="n"/>
      <c r="L210" s="26" t="n"/>
      <c r="M210" s="16" t="n"/>
      <c r="N210" s="9" t="n"/>
      <c r="O210" s="16" t="n"/>
      <c r="P210" s="16" t="n"/>
      <c r="Q210" s="24" t="n"/>
      <c r="R210" s="17" t="n"/>
      <c r="S210" s="17" t="n"/>
      <c r="T210" s="27" t="n"/>
      <c r="U210" s="27" t="n"/>
      <c r="V210" s="10" t="n"/>
    </row>
    <row r="211">
      <c r="A211" s="16" t="n"/>
      <c r="B211" s="17" t="n"/>
      <c r="C211" s="17" t="n"/>
      <c r="D211" s="10" t="n"/>
      <c r="E211" s="10" t="n"/>
      <c r="F211" s="17" t="n"/>
      <c r="G211" s="19" t="n"/>
      <c r="H211" s="16" t="n"/>
      <c r="I211" s="16" t="n"/>
      <c r="J211" s="16" t="n"/>
      <c r="K211" s="26" t="n"/>
      <c r="L211" s="26" t="n"/>
      <c r="M211" s="16" t="n"/>
      <c r="N211" s="9" t="n"/>
      <c r="O211" s="16" t="n"/>
      <c r="P211" s="16" t="n"/>
      <c r="Q211" s="24" t="n"/>
      <c r="R211" s="17" t="n"/>
      <c r="S211" s="17" t="n"/>
      <c r="T211" s="27" t="n"/>
      <c r="U211" s="27" t="n"/>
      <c r="V211" s="10" t="n"/>
    </row>
    <row r="212">
      <c r="A212" s="16" t="n"/>
      <c r="B212" s="17" t="n"/>
      <c r="C212" s="17" t="n"/>
      <c r="D212" s="10" t="n"/>
      <c r="E212" s="10" t="n"/>
      <c r="F212" s="17" t="n"/>
      <c r="G212" s="19" t="n"/>
      <c r="H212" s="16" t="n"/>
      <c r="I212" s="16" t="n"/>
      <c r="J212" s="16" t="n"/>
      <c r="K212" s="26" t="n"/>
      <c r="L212" s="26" t="n"/>
      <c r="M212" s="16" t="n"/>
      <c r="N212" s="9" t="n"/>
      <c r="O212" s="16" t="n"/>
      <c r="P212" s="16" t="n"/>
      <c r="Q212" s="24" t="n"/>
      <c r="R212" s="17" t="n"/>
      <c r="S212" s="17" t="n"/>
      <c r="T212" s="27" t="n"/>
      <c r="U212" s="27" t="n"/>
      <c r="V212" s="10" t="n"/>
    </row>
    <row r="213">
      <c r="A213" s="16" t="n"/>
      <c r="B213" s="17" t="n"/>
      <c r="C213" s="17" t="n"/>
      <c r="D213" s="10" t="n"/>
      <c r="E213" s="10" t="n"/>
      <c r="F213" s="17" t="n"/>
      <c r="G213" s="19" t="n"/>
      <c r="H213" s="16" t="n"/>
      <c r="I213" s="16" t="n"/>
      <c r="J213" s="16" t="n"/>
      <c r="K213" s="26" t="n"/>
      <c r="L213" s="26" t="n"/>
      <c r="M213" s="16" t="n"/>
      <c r="N213" s="9" t="n"/>
      <c r="O213" s="16" t="n"/>
      <c r="P213" s="16" t="n"/>
      <c r="Q213" s="24" t="n"/>
      <c r="R213" s="17" t="n"/>
      <c r="S213" s="17" t="n"/>
      <c r="T213" s="27" t="n"/>
      <c r="U213" s="27" t="n"/>
      <c r="V213" s="10" t="n"/>
    </row>
    <row r="214">
      <c r="A214" s="16" t="n"/>
      <c r="B214" s="17" t="n"/>
      <c r="C214" s="17" t="n"/>
      <c r="D214" s="10" t="n"/>
      <c r="E214" s="10" t="n"/>
      <c r="F214" s="17" t="n"/>
      <c r="G214" s="19" t="n"/>
      <c r="H214" s="16" t="n"/>
      <c r="I214" s="16" t="n"/>
      <c r="J214" s="16" t="n"/>
      <c r="K214" s="26" t="n"/>
      <c r="L214" s="26" t="n"/>
      <c r="M214" s="16" t="n"/>
      <c r="N214" s="9" t="n"/>
      <c r="O214" s="16" t="n"/>
      <c r="P214" s="16" t="n"/>
      <c r="Q214" s="24" t="n"/>
      <c r="R214" s="17" t="n"/>
      <c r="S214" s="17" t="n"/>
      <c r="T214" s="27" t="n"/>
      <c r="U214" s="27" t="n"/>
      <c r="V214" s="10" t="n"/>
    </row>
    <row r="215">
      <c r="A215" s="16" t="n"/>
      <c r="B215" s="17" t="n"/>
      <c r="C215" s="17" t="n"/>
      <c r="D215" s="10" t="n"/>
      <c r="E215" s="10" t="n"/>
      <c r="F215" s="17" t="n"/>
      <c r="G215" s="19" t="n"/>
      <c r="H215" s="16" t="n"/>
      <c r="I215" s="16" t="n"/>
      <c r="J215" s="16" t="n"/>
      <c r="K215" s="26" t="n"/>
      <c r="L215" s="26" t="n"/>
      <c r="M215" s="16" t="n"/>
      <c r="N215" s="9" t="n"/>
      <c r="O215" s="16" t="n"/>
      <c r="P215" s="16" t="n"/>
      <c r="Q215" s="24" t="n"/>
      <c r="R215" s="17" t="n"/>
      <c r="S215" s="17" t="n"/>
      <c r="T215" s="27" t="n"/>
      <c r="U215" s="27" t="n"/>
      <c r="V215" s="10" t="n"/>
    </row>
    <row r="216">
      <c r="A216" s="16" t="n"/>
      <c r="B216" s="17" t="n"/>
      <c r="C216" s="17" t="n"/>
      <c r="D216" s="10" t="n"/>
      <c r="E216" s="10" t="n"/>
      <c r="F216" s="17" t="n"/>
      <c r="G216" s="19" t="n"/>
      <c r="H216" s="16" t="n"/>
      <c r="I216" s="16" t="n"/>
      <c r="J216" s="16" t="n"/>
      <c r="K216" s="26" t="n"/>
      <c r="L216" s="26" t="n"/>
      <c r="M216" s="16" t="n"/>
      <c r="N216" s="9" t="n"/>
      <c r="O216" s="16" t="n"/>
      <c r="P216" s="16" t="n"/>
      <c r="Q216" s="24" t="n"/>
      <c r="R216" s="17" t="n"/>
      <c r="S216" s="17" t="n"/>
      <c r="T216" s="27" t="n"/>
      <c r="U216" s="27" t="n"/>
      <c r="V216" s="10" t="n"/>
    </row>
    <row r="217">
      <c r="A217" s="16" t="n"/>
      <c r="B217" s="17" t="n"/>
      <c r="C217" s="17" t="n"/>
      <c r="D217" s="10" t="n"/>
      <c r="E217" s="10" t="n"/>
      <c r="F217" s="17" t="n"/>
      <c r="G217" s="19" t="n"/>
      <c r="H217" s="16" t="n"/>
      <c r="I217" s="16" t="n"/>
      <c r="J217" s="16" t="n"/>
      <c r="K217" s="26" t="n"/>
      <c r="L217" s="26" t="n"/>
      <c r="M217" s="16" t="n"/>
      <c r="N217" s="9" t="n"/>
      <c r="O217" s="16" t="n"/>
      <c r="P217" s="16" t="n"/>
      <c r="Q217" s="24" t="n"/>
      <c r="R217" s="17" t="n"/>
      <c r="S217" s="17" t="n"/>
      <c r="T217" s="27" t="n"/>
      <c r="U217" s="27" t="n"/>
      <c r="V217" s="10" t="n"/>
    </row>
    <row r="218">
      <c r="A218" s="16" t="n"/>
      <c r="B218" s="17" t="n"/>
      <c r="C218" s="17" t="n"/>
      <c r="D218" s="10" t="n"/>
      <c r="E218" s="10" t="n"/>
      <c r="F218" s="17" t="n"/>
      <c r="G218" s="19" t="n"/>
      <c r="H218" s="16" t="n"/>
      <c r="I218" s="16" t="n"/>
      <c r="J218" s="16" t="n"/>
      <c r="K218" s="26" t="n"/>
      <c r="L218" s="26" t="n"/>
      <c r="M218" s="16" t="n"/>
      <c r="N218" s="9" t="n"/>
      <c r="O218" s="16" t="n"/>
      <c r="P218" s="16" t="n"/>
      <c r="Q218" s="24" t="n"/>
      <c r="R218" s="17" t="n"/>
      <c r="S218" s="17" t="n"/>
      <c r="T218" s="27" t="n"/>
      <c r="U218" s="27" t="n"/>
      <c r="V218" s="10" t="n"/>
    </row>
    <row r="219">
      <c r="A219" s="16" t="n"/>
      <c r="B219" s="17" t="n"/>
      <c r="C219" s="17" t="n"/>
      <c r="D219" s="10" t="n"/>
      <c r="E219" s="10" t="n"/>
      <c r="F219" s="17" t="n"/>
      <c r="G219" s="19" t="n"/>
      <c r="H219" s="16" t="n"/>
      <c r="I219" s="16" t="n"/>
      <c r="J219" s="16" t="n"/>
      <c r="K219" s="26" t="n"/>
      <c r="L219" s="26" t="n"/>
      <c r="M219" s="16" t="n"/>
      <c r="N219" s="9" t="n"/>
      <c r="O219" s="16" t="n"/>
      <c r="P219" s="16" t="n"/>
      <c r="Q219" s="24" t="n"/>
      <c r="R219" s="17" t="n"/>
      <c r="S219" s="17" t="n"/>
      <c r="T219" s="27" t="n"/>
      <c r="U219" s="27" t="n"/>
      <c r="V219" s="10" t="n"/>
    </row>
    <row r="220">
      <c r="A220" s="16" t="n"/>
      <c r="B220" s="17" t="n"/>
      <c r="C220" s="17" t="n"/>
      <c r="D220" s="10" t="n"/>
      <c r="E220" s="10" t="n"/>
      <c r="F220" s="17" t="n"/>
      <c r="G220" s="19" t="n"/>
      <c r="H220" s="16" t="n"/>
      <c r="I220" s="16" t="n"/>
      <c r="J220" s="16" t="n"/>
      <c r="K220" s="26" t="n"/>
      <c r="L220" s="26" t="n"/>
      <c r="M220" s="16" t="n"/>
      <c r="N220" s="9" t="n"/>
      <c r="O220" s="16" t="n"/>
      <c r="P220" s="16" t="n"/>
      <c r="Q220" s="24" t="n"/>
      <c r="R220" s="17" t="n"/>
      <c r="S220" s="17" t="n"/>
      <c r="T220" s="27" t="n"/>
      <c r="U220" s="27" t="n"/>
      <c r="V220" s="10" t="n"/>
    </row>
    <row r="221">
      <c r="A221" s="16" t="n"/>
      <c r="B221" s="17" t="n"/>
      <c r="C221" s="17" t="n"/>
      <c r="D221" s="10" t="n"/>
      <c r="E221" s="10" t="n"/>
      <c r="F221" s="17" t="n"/>
      <c r="G221" s="19" t="n"/>
      <c r="H221" s="16" t="n"/>
      <c r="I221" s="16" t="n"/>
      <c r="J221" s="16" t="n"/>
      <c r="K221" s="26" t="n"/>
      <c r="L221" s="26" t="n"/>
      <c r="M221" s="16" t="n"/>
      <c r="N221" s="9" t="n"/>
      <c r="O221" s="16" t="n"/>
      <c r="P221" s="16" t="n"/>
      <c r="Q221" s="24" t="n"/>
      <c r="R221" s="17" t="n"/>
      <c r="S221" s="17" t="n"/>
      <c r="T221" s="27" t="n"/>
      <c r="U221" s="27" t="n"/>
      <c r="V221" s="10" t="n"/>
    </row>
    <row r="222">
      <c r="A222" s="16" t="n"/>
      <c r="B222" s="17" t="n"/>
      <c r="C222" s="17" t="n"/>
      <c r="D222" s="10" t="n"/>
      <c r="E222" s="10" t="n"/>
      <c r="F222" s="17" t="n"/>
      <c r="G222" s="19" t="n"/>
      <c r="H222" s="16" t="n"/>
      <c r="I222" s="16" t="n"/>
      <c r="J222" s="16" t="n"/>
      <c r="K222" s="26" t="n"/>
      <c r="L222" s="26" t="n"/>
      <c r="M222" s="16" t="n"/>
      <c r="N222" s="9" t="n"/>
      <c r="O222" s="16" t="n"/>
      <c r="P222" s="16" t="n"/>
      <c r="Q222" s="24" t="n"/>
      <c r="R222" s="17" t="n"/>
      <c r="S222" s="17" t="n"/>
      <c r="T222" s="27" t="n"/>
      <c r="U222" s="27" t="n"/>
      <c r="V222" s="10" t="n"/>
    </row>
    <row r="223">
      <c r="A223" s="16" t="n"/>
      <c r="B223" s="17" t="n"/>
      <c r="C223" s="17" t="n"/>
      <c r="D223" s="10" t="n"/>
      <c r="E223" s="10" t="n"/>
      <c r="F223" s="17" t="n"/>
      <c r="G223" s="19" t="n"/>
      <c r="H223" s="16" t="n"/>
      <c r="I223" s="16" t="n"/>
      <c r="J223" s="16" t="n"/>
      <c r="K223" s="26" t="n"/>
      <c r="L223" s="26" t="n"/>
      <c r="M223" s="16" t="n"/>
      <c r="N223" s="9" t="n"/>
      <c r="O223" s="16" t="n"/>
      <c r="P223" s="16" t="n"/>
      <c r="Q223" s="24" t="n"/>
      <c r="R223" s="17" t="n"/>
      <c r="S223" s="17" t="n"/>
      <c r="T223" s="27" t="n"/>
      <c r="U223" s="27" t="n"/>
      <c r="V223" s="10" t="n"/>
    </row>
    <row r="224">
      <c r="A224" s="16" t="n"/>
      <c r="B224" s="17" t="n"/>
      <c r="C224" s="17" t="n"/>
      <c r="D224" s="10" t="n"/>
      <c r="E224" s="10" t="n"/>
      <c r="F224" s="17" t="n"/>
      <c r="G224" s="19" t="n"/>
      <c r="H224" s="16" t="n"/>
      <c r="I224" s="16" t="n"/>
      <c r="J224" s="16" t="n"/>
      <c r="K224" s="26" t="n"/>
      <c r="L224" s="26" t="n"/>
      <c r="M224" s="16" t="n"/>
      <c r="N224" s="9" t="n"/>
      <c r="O224" s="16" t="n"/>
      <c r="P224" s="16" t="n"/>
      <c r="Q224" s="24" t="n"/>
      <c r="R224" s="17" t="n"/>
      <c r="S224" s="17" t="n"/>
      <c r="T224" s="27" t="n"/>
      <c r="U224" s="27" t="n"/>
      <c r="V224" s="10" t="n"/>
    </row>
    <row r="225">
      <c r="A225" s="16" t="n"/>
      <c r="B225" s="17" t="n"/>
      <c r="C225" s="17" t="n"/>
      <c r="D225" s="10" t="n"/>
      <c r="E225" s="10" t="n"/>
      <c r="F225" s="17" t="n"/>
      <c r="G225" s="19" t="n"/>
      <c r="H225" s="16" t="n"/>
      <c r="I225" s="16" t="n"/>
      <c r="J225" s="16" t="n"/>
      <c r="K225" s="26" t="n"/>
      <c r="L225" s="26" t="n"/>
      <c r="M225" s="16" t="n"/>
      <c r="N225" s="9" t="n"/>
      <c r="O225" s="16" t="n"/>
      <c r="P225" s="16" t="n"/>
      <c r="Q225" s="24" t="n"/>
      <c r="R225" s="17" t="n"/>
      <c r="S225" s="17" t="n"/>
      <c r="T225" s="27" t="n"/>
      <c r="U225" s="27" t="n"/>
      <c r="V225" s="10" t="n"/>
    </row>
    <row r="226">
      <c r="A226" s="16" t="n"/>
      <c r="B226" s="17" t="n"/>
      <c r="C226" s="17" t="n"/>
      <c r="D226" s="10" t="n"/>
      <c r="E226" s="10" t="n"/>
      <c r="F226" s="17" t="n"/>
      <c r="G226" s="19" t="n"/>
      <c r="H226" s="16" t="n"/>
      <c r="I226" s="16" t="n"/>
      <c r="J226" s="16" t="n"/>
      <c r="K226" s="26" t="n"/>
      <c r="L226" s="26" t="n"/>
      <c r="M226" s="16" t="n"/>
      <c r="N226" s="9" t="n"/>
      <c r="O226" s="16" t="n"/>
      <c r="P226" s="16" t="n"/>
      <c r="Q226" s="24" t="n"/>
      <c r="R226" s="17" t="n"/>
      <c r="S226" s="17" t="n"/>
      <c r="T226" s="27" t="n"/>
      <c r="U226" s="27" t="n"/>
      <c r="V226" s="10" t="n"/>
    </row>
    <row r="227">
      <c r="A227" s="16" t="n"/>
      <c r="B227" s="17" t="n"/>
      <c r="C227" s="17" t="n"/>
      <c r="D227" s="10" t="n"/>
      <c r="E227" s="10" t="n"/>
      <c r="F227" s="17" t="n"/>
      <c r="G227" s="19" t="n"/>
      <c r="H227" s="16" t="n"/>
      <c r="I227" s="16" t="n"/>
      <c r="J227" s="16" t="n"/>
      <c r="K227" s="26" t="n"/>
      <c r="L227" s="26" t="n"/>
      <c r="M227" s="16" t="n"/>
      <c r="N227" s="9" t="n"/>
      <c r="O227" s="16" t="n"/>
      <c r="P227" s="16" t="n"/>
      <c r="Q227" s="24" t="n"/>
      <c r="R227" s="17" t="n"/>
      <c r="S227" s="17" t="n"/>
      <c r="T227" s="27" t="n"/>
      <c r="U227" s="27" t="n"/>
      <c r="V227" s="10" t="n"/>
    </row>
    <row r="228">
      <c r="A228" s="16" t="n"/>
      <c r="B228" s="17" t="n"/>
      <c r="C228" s="17" t="n"/>
      <c r="D228" s="10" t="n"/>
      <c r="E228" s="10" t="n"/>
      <c r="F228" s="17" t="n"/>
      <c r="G228" s="19" t="n"/>
      <c r="H228" s="16" t="n"/>
      <c r="I228" s="16" t="n"/>
      <c r="J228" s="16" t="n"/>
      <c r="K228" s="26" t="n"/>
      <c r="L228" s="26" t="n"/>
      <c r="M228" s="16" t="n"/>
      <c r="N228" s="9" t="n"/>
      <c r="O228" s="16" t="n"/>
      <c r="P228" s="16" t="n"/>
      <c r="Q228" s="24" t="n"/>
      <c r="R228" s="17" t="n"/>
      <c r="S228" s="17" t="n"/>
      <c r="T228" s="27" t="n"/>
      <c r="U228" s="27" t="n"/>
      <c r="V228" s="10" t="n"/>
    </row>
    <row r="229">
      <c r="A229" s="16" t="n"/>
      <c r="B229" s="17" t="n"/>
      <c r="C229" s="17" t="n"/>
      <c r="D229" s="10" t="n"/>
      <c r="E229" s="10" t="n"/>
      <c r="F229" s="17" t="n"/>
      <c r="G229" s="19" t="n"/>
      <c r="H229" s="16" t="n"/>
      <c r="I229" s="16" t="n"/>
      <c r="J229" s="16" t="n"/>
      <c r="K229" s="26" t="n"/>
      <c r="L229" s="26" t="n"/>
      <c r="M229" s="16" t="n"/>
      <c r="N229" s="9" t="n"/>
      <c r="O229" s="16" t="n"/>
      <c r="P229" s="16" t="n"/>
      <c r="Q229" s="24" t="n"/>
      <c r="R229" s="17" t="n"/>
      <c r="S229" s="17" t="n"/>
      <c r="T229" s="27" t="n"/>
      <c r="U229" s="27" t="n"/>
      <c r="V229" s="10" t="n"/>
    </row>
    <row r="230">
      <c r="A230" s="16" t="n"/>
      <c r="B230" s="17" t="n"/>
      <c r="C230" s="17" t="n"/>
      <c r="D230" s="10" t="n"/>
      <c r="E230" s="10" t="n"/>
      <c r="F230" s="17" t="n"/>
      <c r="G230" s="19" t="n"/>
      <c r="H230" s="16" t="n"/>
      <c r="I230" s="16" t="n"/>
      <c r="J230" s="16" t="n"/>
      <c r="K230" s="26" t="n"/>
      <c r="L230" s="26" t="n"/>
      <c r="M230" s="16" t="n"/>
      <c r="N230" s="9" t="n"/>
      <c r="O230" s="16" t="n"/>
      <c r="P230" s="16" t="n"/>
      <c r="Q230" s="24" t="n"/>
      <c r="R230" s="17" t="n"/>
      <c r="S230" s="17" t="n"/>
      <c r="T230" s="27" t="n"/>
      <c r="U230" s="27" t="n"/>
      <c r="V230" s="10" t="n"/>
    </row>
    <row r="231">
      <c r="A231" s="16" t="n"/>
      <c r="B231" s="17" t="n"/>
      <c r="C231" s="17" t="n"/>
      <c r="D231" s="10" t="n"/>
      <c r="E231" s="10" t="n"/>
      <c r="F231" s="17" t="n"/>
      <c r="G231" s="19" t="n"/>
      <c r="H231" s="16" t="n"/>
      <c r="I231" s="16" t="n"/>
      <c r="J231" s="16" t="n"/>
      <c r="K231" s="26" t="n"/>
      <c r="L231" s="26" t="n"/>
      <c r="M231" s="16" t="n"/>
      <c r="N231" s="9" t="n"/>
      <c r="O231" s="16" t="n"/>
      <c r="P231" s="16" t="n"/>
      <c r="Q231" s="24" t="n"/>
      <c r="R231" s="17" t="n"/>
      <c r="S231" s="17" t="n"/>
      <c r="T231" s="27" t="n"/>
      <c r="U231" s="27" t="n"/>
      <c r="V231" s="10" t="n"/>
    </row>
    <row r="232">
      <c r="A232" s="16" t="n"/>
      <c r="B232" s="17" t="n"/>
      <c r="C232" s="17" t="n"/>
      <c r="D232" s="10" t="n"/>
      <c r="E232" s="10" t="n"/>
      <c r="F232" s="17" t="n"/>
      <c r="G232" s="19" t="n"/>
      <c r="H232" s="16" t="n"/>
      <c r="I232" s="16" t="n"/>
      <c r="J232" s="16" t="n"/>
      <c r="K232" s="26" t="n"/>
      <c r="L232" s="26" t="n"/>
      <c r="M232" s="16" t="n"/>
      <c r="N232" s="9" t="n"/>
      <c r="O232" s="16" t="n"/>
      <c r="P232" s="16" t="n"/>
      <c r="Q232" s="24" t="n"/>
      <c r="R232" s="17" t="n"/>
      <c r="S232" s="17" t="n"/>
      <c r="T232" s="27" t="n"/>
      <c r="U232" s="27" t="n"/>
      <c r="V232" s="10" t="n"/>
    </row>
    <row r="233">
      <c r="A233" s="16" t="n"/>
      <c r="B233" s="17" t="n"/>
      <c r="C233" s="17" t="n"/>
      <c r="D233" s="10" t="n"/>
      <c r="E233" s="10" t="n"/>
      <c r="F233" s="17" t="n"/>
      <c r="G233" s="19" t="n"/>
      <c r="H233" s="16" t="n"/>
      <c r="I233" s="16" t="n"/>
      <c r="J233" s="16" t="n"/>
      <c r="K233" s="26" t="n"/>
      <c r="L233" s="26" t="n"/>
      <c r="M233" s="16" t="n"/>
      <c r="N233" s="9" t="n"/>
      <c r="O233" s="16" t="n"/>
      <c r="P233" s="16" t="n"/>
      <c r="Q233" s="24" t="n"/>
      <c r="R233" s="17" t="n"/>
      <c r="S233" s="17" t="n"/>
      <c r="T233" s="27" t="n"/>
      <c r="U233" s="27" t="n"/>
      <c r="V233" s="10" t="n"/>
    </row>
    <row r="234">
      <c r="A234" s="16" t="n"/>
      <c r="B234" s="17" t="n"/>
      <c r="C234" s="17" t="n"/>
      <c r="D234" s="10" t="n"/>
      <c r="E234" s="10" t="n"/>
      <c r="F234" s="17" t="n"/>
      <c r="G234" s="19" t="n"/>
      <c r="H234" s="16" t="n"/>
      <c r="I234" s="16" t="n"/>
      <c r="J234" s="16" t="n"/>
      <c r="K234" s="26" t="n"/>
      <c r="L234" s="26" t="n"/>
      <c r="M234" s="16" t="n"/>
      <c r="N234" s="9" t="n"/>
      <c r="O234" s="16" t="n"/>
      <c r="P234" s="16" t="n"/>
      <c r="Q234" s="24" t="n"/>
      <c r="R234" s="17" t="n"/>
      <c r="S234" s="17" t="n"/>
      <c r="T234" s="27" t="n"/>
      <c r="U234" s="27" t="n"/>
      <c r="V234" s="10" t="n"/>
    </row>
    <row r="235">
      <c r="A235" s="16" t="n"/>
      <c r="B235" s="17" t="n"/>
      <c r="C235" s="17" t="n"/>
      <c r="D235" s="10" t="n"/>
      <c r="E235" s="10" t="n"/>
      <c r="F235" s="17" t="n"/>
      <c r="G235" s="19" t="n"/>
      <c r="H235" s="16" t="n"/>
      <c r="I235" s="16" t="n"/>
      <c r="J235" s="16" t="n"/>
      <c r="K235" s="26" t="n"/>
      <c r="L235" s="26" t="n"/>
      <c r="M235" s="16" t="n"/>
      <c r="N235" s="9" t="n"/>
      <c r="O235" s="16" t="n"/>
      <c r="P235" s="16" t="n"/>
      <c r="Q235" s="24" t="n"/>
      <c r="R235" s="17" t="n"/>
      <c r="S235" s="17" t="n"/>
      <c r="T235" s="27" t="n"/>
      <c r="U235" s="27" t="n"/>
      <c r="V235" s="10" t="n"/>
    </row>
    <row r="236">
      <c r="A236" s="16" t="n"/>
      <c r="B236" s="17" t="n"/>
      <c r="C236" s="17" t="n"/>
      <c r="D236" s="10" t="n"/>
      <c r="E236" s="10" t="n"/>
      <c r="F236" s="17" t="n"/>
      <c r="G236" s="19" t="n"/>
      <c r="H236" s="16" t="n"/>
      <c r="I236" s="16" t="n"/>
      <c r="J236" s="16" t="n"/>
      <c r="K236" s="26" t="n"/>
      <c r="L236" s="26" t="n"/>
      <c r="M236" s="16" t="n"/>
      <c r="N236" s="9" t="n"/>
      <c r="O236" s="16" t="n"/>
      <c r="P236" s="16" t="n"/>
      <c r="Q236" s="24" t="n"/>
      <c r="R236" s="17" t="n"/>
      <c r="S236" s="17" t="n"/>
      <c r="T236" s="27" t="n"/>
      <c r="U236" s="27" t="n"/>
      <c r="V236" s="10" t="n"/>
    </row>
    <row r="237">
      <c r="A237" s="16" t="n"/>
      <c r="B237" s="17" t="n"/>
      <c r="C237" s="17" t="n"/>
      <c r="D237" s="10" t="n"/>
      <c r="E237" s="10" t="n"/>
      <c r="F237" s="17" t="n"/>
      <c r="G237" s="19" t="n"/>
      <c r="H237" s="16" t="n"/>
      <c r="I237" s="16" t="n"/>
      <c r="J237" s="16" t="n"/>
      <c r="K237" s="26" t="n"/>
      <c r="L237" s="26" t="n"/>
      <c r="M237" s="16" t="n"/>
      <c r="N237" s="9" t="n"/>
      <c r="O237" s="16" t="n"/>
      <c r="P237" s="16" t="n"/>
      <c r="Q237" s="24" t="n"/>
      <c r="R237" s="17" t="n"/>
      <c r="S237" s="17" t="n"/>
      <c r="T237" s="27" t="n"/>
      <c r="U237" s="27" t="n"/>
      <c r="V237" s="10" t="n"/>
    </row>
    <row r="238">
      <c r="A238" s="16" t="n"/>
      <c r="B238" s="17" t="n"/>
      <c r="C238" s="17" t="n"/>
      <c r="D238" s="10" t="n"/>
      <c r="E238" s="10" t="n"/>
      <c r="F238" s="17" t="n"/>
      <c r="G238" s="19" t="n"/>
      <c r="H238" s="16" t="n"/>
      <c r="I238" s="16" t="n"/>
      <c r="J238" s="16" t="n"/>
      <c r="K238" s="26" t="n"/>
      <c r="L238" s="26" t="n"/>
      <c r="M238" s="16" t="n"/>
      <c r="N238" s="9" t="n"/>
      <c r="O238" s="16" t="n"/>
      <c r="P238" s="16" t="n"/>
      <c r="Q238" s="24" t="n"/>
      <c r="R238" s="17" t="n"/>
      <c r="S238" s="17" t="n"/>
      <c r="T238" s="27" t="n"/>
      <c r="U238" s="27" t="n"/>
      <c r="V238" s="10" t="n"/>
    </row>
    <row r="239">
      <c r="A239" s="16" t="n"/>
      <c r="B239" s="17" t="n"/>
      <c r="C239" s="17" t="n"/>
      <c r="D239" s="10" t="n"/>
      <c r="E239" s="10" t="n"/>
      <c r="F239" s="17" t="n"/>
      <c r="G239" s="19" t="n"/>
      <c r="H239" s="16" t="n"/>
      <c r="I239" s="16" t="n"/>
      <c r="J239" s="16" t="n"/>
      <c r="K239" s="26" t="n"/>
      <c r="L239" s="26" t="n"/>
      <c r="M239" s="16" t="n"/>
      <c r="N239" s="9" t="n"/>
      <c r="O239" s="16" t="n"/>
      <c r="P239" s="16" t="n"/>
      <c r="Q239" s="24" t="n"/>
      <c r="R239" s="17" t="n"/>
      <c r="S239" s="17" t="n"/>
      <c r="T239" s="27" t="n"/>
      <c r="U239" s="27" t="n"/>
      <c r="V239" s="10" t="n"/>
    </row>
    <row r="240">
      <c r="A240" s="16" t="n"/>
      <c r="B240" s="17" t="n"/>
      <c r="C240" s="17" t="n"/>
      <c r="D240" s="10" t="n"/>
      <c r="E240" s="10" t="n"/>
      <c r="F240" s="17" t="n"/>
      <c r="G240" s="19" t="n"/>
      <c r="H240" s="16" t="n"/>
      <c r="I240" s="16" t="n"/>
      <c r="J240" s="16" t="n"/>
      <c r="K240" s="26" t="n"/>
      <c r="L240" s="26" t="n"/>
      <c r="M240" s="16" t="n"/>
      <c r="N240" s="9" t="n"/>
      <c r="O240" s="16" t="n"/>
      <c r="P240" s="16" t="n"/>
      <c r="Q240" s="24" t="n"/>
      <c r="R240" s="17" t="n"/>
      <c r="S240" s="17" t="n"/>
      <c r="T240" s="27" t="n"/>
      <c r="U240" s="27" t="n"/>
      <c r="V240" s="10" t="n"/>
    </row>
    <row r="241">
      <c r="A241" s="16" t="n"/>
      <c r="B241" s="17" t="n"/>
      <c r="C241" s="17" t="n"/>
      <c r="D241" s="10" t="n"/>
      <c r="E241" s="10" t="n"/>
      <c r="F241" s="17" t="n"/>
      <c r="G241" s="19" t="n"/>
      <c r="H241" s="16" t="n"/>
      <c r="I241" s="16" t="n"/>
      <c r="J241" s="16" t="n"/>
      <c r="K241" s="26" t="n"/>
      <c r="L241" s="26" t="n"/>
      <c r="M241" s="16" t="n"/>
      <c r="N241" s="9" t="n"/>
      <c r="O241" s="16" t="n"/>
      <c r="P241" s="16" t="n"/>
      <c r="Q241" s="24" t="n"/>
      <c r="R241" s="17" t="n"/>
      <c r="S241" s="17" t="n"/>
      <c r="T241" s="27" t="n"/>
      <c r="U241" s="27" t="n"/>
      <c r="V241" s="10" t="n"/>
    </row>
    <row r="242">
      <c r="A242" s="16" t="n"/>
      <c r="B242" s="17" t="n"/>
      <c r="C242" s="17" t="n"/>
      <c r="D242" s="10" t="n"/>
      <c r="E242" s="10" t="n"/>
      <c r="F242" s="17" t="n"/>
      <c r="G242" s="19" t="n"/>
      <c r="H242" s="16" t="n"/>
      <c r="I242" s="16" t="n"/>
      <c r="J242" s="16" t="n"/>
      <c r="K242" s="26" t="n"/>
      <c r="L242" s="26" t="n"/>
      <c r="M242" s="16" t="n"/>
      <c r="N242" s="9" t="n"/>
      <c r="O242" s="16" t="n"/>
      <c r="P242" s="16" t="n"/>
      <c r="Q242" s="24" t="n"/>
      <c r="R242" s="17" t="n"/>
      <c r="S242" s="17" t="n"/>
      <c r="T242" s="27" t="n"/>
      <c r="U242" s="27" t="n"/>
      <c r="V242" s="10" t="n"/>
    </row>
    <row r="243">
      <c r="A243" s="16" t="n"/>
      <c r="B243" s="17" t="n"/>
      <c r="C243" s="17" t="n"/>
      <c r="D243" s="10" t="n"/>
      <c r="E243" s="10" t="n"/>
      <c r="F243" s="17" t="n"/>
      <c r="G243" s="19" t="n"/>
      <c r="H243" s="16" t="n"/>
      <c r="I243" s="16" t="n"/>
      <c r="J243" s="16" t="n"/>
      <c r="K243" s="26" t="n"/>
      <c r="L243" s="26" t="n"/>
      <c r="M243" s="16" t="n"/>
      <c r="N243" s="9" t="n"/>
      <c r="O243" s="16" t="n"/>
      <c r="P243" s="16" t="n"/>
      <c r="Q243" s="24" t="n"/>
      <c r="R243" s="17" t="n"/>
      <c r="S243" s="17" t="n"/>
      <c r="T243" s="27" t="n"/>
      <c r="U243" s="27" t="n"/>
      <c r="V243" s="10" t="n"/>
    </row>
    <row r="244">
      <c r="A244" s="16" t="n"/>
      <c r="B244" s="17" t="n"/>
      <c r="C244" s="17" t="n"/>
      <c r="D244" s="10" t="n"/>
      <c r="E244" s="10" t="n"/>
      <c r="F244" s="17" t="n"/>
      <c r="G244" s="19" t="n"/>
      <c r="H244" s="16" t="n"/>
      <c r="I244" s="16" t="n"/>
      <c r="J244" s="16" t="n"/>
      <c r="K244" s="26" t="n"/>
      <c r="L244" s="26" t="n"/>
      <c r="M244" s="16" t="n"/>
      <c r="N244" s="9" t="n"/>
      <c r="O244" s="16" t="n"/>
      <c r="P244" s="16" t="n"/>
      <c r="Q244" s="24" t="n"/>
      <c r="R244" s="17" t="n"/>
      <c r="S244" s="17" t="n"/>
      <c r="T244" s="27" t="n"/>
      <c r="U244" s="27" t="n"/>
      <c r="V244" s="10" t="n"/>
    </row>
    <row r="245">
      <c r="A245" s="16" t="n"/>
      <c r="B245" s="17" t="n"/>
      <c r="C245" s="17" t="n"/>
      <c r="D245" s="10" t="n"/>
      <c r="E245" s="10" t="n"/>
      <c r="F245" s="17" t="n"/>
      <c r="G245" s="19" t="n"/>
      <c r="H245" s="16" t="n"/>
      <c r="I245" s="16" t="n"/>
      <c r="J245" s="16" t="n"/>
      <c r="K245" s="26" t="n"/>
      <c r="L245" s="26" t="n"/>
      <c r="M245" s="16" t="n"/>
      <c r="N245" s="9" t="n"/>
      <c r="O245" s="16" t="n"/>
      <c r="P245" s="16" t="n"/>
      <c r="Q245" s="24" t="n"/>
      <c r="R245" s="17" t="n"/>
      <c r="S245" s="17" t="n"/>
      <c r="T245" s="27" t="n"/>
      <c r="U245" s="27" t="n"/>
      <c r="V245" s="10" t="n"/>
    </row>
    <row r="246">
      <c r="A246" s="16" t="n"/>
      <c r="B246" s="17" t="n"/>
      <c r="C246" s="17" t="n"/>
      <c r="D246" s="10" t="n"/>
      <c r="E246" s="10" t="n"/>
      <c r="F246" s="17" t="n"/>
      <c r="G246" s="19" t="n"/>
      <c r="H246" s="16" t="n"/>
      <c r="I246" s="16" t="n"/>
      <c r="J246" s="16" t="n"/>
      <c r="K246" s="26" t="n"/>
      <c r="L246" s="26" t="n"/>
      <c r="M246" s="16" t="n"/>
      <c r="N246" s="9" t="n"/>
      <c r="O246" s="16" t="n"/>
      <c r="P246" s="16" t="n"/>
      <c r="Q246" s="24" t="n"/>
      <c r="R246" s="17" t="n"/>
      <c r="S246" s="17" t="n"/>
      <c r="T246" s="27" t="n"/>
      <c r="U246" s="27" t="n"/>
      <c r="V246" s="10" t="n"/>
    </row>
    <row r="247">
      <c r="A247" s="16" t="n"/>
      <c r="B247" s="17" t="n"/>
      <c r="C247" s="17" t="n"/>
      <c r="D247" s="10" t="n"/>
      <c r="E247" s="10" t="n"/>
      <c r="F247" s="17" t="n"/>
      <c r="G247" s="19" t="n"/>
      <c r="H247" s="16" t="n"/>
      <c r="I247" s="16" t="n"/>
      <c r="J247" s="16" t="n"/>
      <c r="K247" s="26" t="n"/>
      <c r="L247" s="26" t="n"/>
      <c r="M247" s="16" t="n"/>
      <c r="N247" s="9" t="n"/>
      <c r="O247" s="16" t="n"/>
      <c r="P247" s="16" t="n"/>
      <c r="Q247" s="24" t="n"/>
      <c r="R247" s="17" t="n"/>
      <c r="S247" s="17" t="n"/>
      <c r="T247" s="27" t="n"/>
      <c r="U247" s="27" t="n"/>
      <c r="V247" s="10" t="n"/>
    </row>
    <row r="248">
      <c r="A248" s="16" t="n"/>
      <c r="B248" s="17" t="n"/>
      <c r="C248" s="17" t="n"/>
      <c r="D248" s="10" t="n"/>
      <c r="E248" s="10" t="n"/>
      <c r="F248" s="17" t="n"/>
      <c r="G248" s="19" t="n"/>
      <c r="H248" s="16" t="n"/>
      <c r="I248" s="16" t="n"/>
      <c r="J248" s="16" t="n"/>
      <c r="K248" s="26" t="n"/>
      <c r="L248" s="26" t="n"/>
      <c r="M248" s="16" t="n"/>
      <c r="N248" s="9" t="n"/>
      <c r="O248" s="16" t="n"/>
      <c r="P248" s="16" t="n"/>
      <c r="Q248" s="24" t="n"/>
      <c r="R248" s="17" t="n"/>
      <c r="S248" s="17" t="n"/>
      <c r="T248" s="27" t="n"/>
      <c r="U248" s="27" t="n"/>
      <c r="V248" s="10" t="n"/>
    </row>
    <row r="249">
      <c r="A249" s="16" t="n"/>
      <c r="B249" s="17" t="n"/>
      <c r="C249" s="17" t="n"/>
      <c r="D249" s="10" t="n"/>
      <c r="E249" s="10" t="n"/>
      <c r="F249" s="17" t="n"/>
      <c r="G249" s="19" t="n"/>
      <c r="H249" s="16" t="n"/>
      <c r="I249" s="16" t="n"/>
      <c r="J249" s="16" t="n"/>
      <c r="K249" s="26" t="n"/>
      <c r="L249" s="26" t="n"/>
      <c r="M249" s="16" t="n"/>
      <c r="N249" s="9" t="n"/>
      <c r="O249" s="16" t="n"/>
      <c r="P249" s="16" t="n"/>
      <c r="Q249" s="24" t="n"/>
      <c r="R249" s="17" t="n"/>
      <c r="S249" s="17" t="n"/>
      <c r="T249" s="27" t="n"/>
      <c r="U249" s="27" t="n"/>
      <c r="V249" s="10" t="n"/>
    </row>
    <row r="250">
      <c r="A250" s="16" t="n"/>
      <c r="B250" s="17" t="n"/>
      <c r="C250" s="17" t="n"/>
      <c r="D250" s="10" t="n"/>
      <c r="E250" s="10" t="n"/>
      <c r="F250" s="17" t="n"/>
      <c r="G250" s="19" t="n"/>
      <c r="H250" s="16" t="n"/>
      <c r="I250" s="16" t="n"/>
      <c r="J250" s="16" t="n"/>
      <c r="K250" s="26" t="n"/>
      <c r="L250" s="26" t="n"/>
      <c r="M250" s="16" t="n"/>
      <c r="N250" s="9" t="n"/>
      <c r="O250" s="16" t="n"/>
      <c r="P250" s="16" t="n"/>
      <c r="Q250" s="24" t="n"/>
      <c r="R250" s="17" t="n"/>
      <c r="S250" s="17" t="n"/>
      <c r="T250" s="27" t="n"/>
      <c r="U250" s="27" t="n"/>
      <c r="V250" s="10" t="n"/>
    </row>
    <row r="251">
      <c r="A251" s="16" t="n"/>
      <c r="B251" s="17" t="n"/>
      <c r="C251" s="17" t="n"/>
      <c r="D251" s="10" t="n"/>
      <c r="E251" s="10" t="n"/>
      <c r="F251" s="17" t="n"/>
      <c r="G251" s="19" t="n"/>
      <c r="H251" s="16" t="n"/>
      <c r="I251" s="16" t="n"/>
      <c r="J251" s="16" t="n"/>
      <c r="K251" s="26" t="n"/>
      <c r="L251" s="26" t="n"/>
      <c r="M251" s="16" t="n"/>
      <c r="N251" s="9" t="n"/>
      <c r="O251" s="16" t="n"/>
      <c r="P251" s="16" t="n"/>
      <c r="Q251" s="24" t="n"/>
      <c r="R251" s="17" t="n"/>
      <c r="S251" s="17" t="n"/>
      <c r="T251" s="27" t="n"/>
      <c r="U251" s="27" t="n"/>
      <c r="V251" s="10" t="n"/>
    </row>
    <row r="252">
      <c r="A252" s="16" t="n"/>
      <c r="B252" s="17" t="n"/>
      <c r="C252" s="17" t="n"/>
      <c r="D252" s="10" t="n"/>
      <c r="E252" s="10" t="n"/>
      <c r="F252" s="17" t="n"/>
      <c r="G252" s="19" t="n"/>
      <c r="H252" s="16" t="n"/>
      <c r="I252" s="16" t="n"/>
      <c r="J252" s="16" t="n"/>
      <c r="K252" s="26" t="n"/>
      <c r="L252" s="26" t="n"/>
      <c r="M252" s="16" t="n"/>
      <c r="N252" s="9" t="n"/>
      <c r="O252" s="16" t="n"/>
      <c r="P252" s="16" t="n"/>
      <c r="Q252" s="24" t="n"/>
      <c r="R252" s="17" t="n"/>
      <c r="S252" s="17" t="n"/>
      <c r="T252" s="27" t="n"/>
      <c r="U252" s="27" t="n"/>
      <c r="V252" s="10" t="n"/>
    </row>
    <row r="253">
      <c r="A253" s="16" t="n"/>
      <c r="B253" s="17" t="n"/>
      <c r="C253" s="17" t="n"/>
      <c r="D253" s="10" t="n"/>
      <c r="E253" s="10" t="n"/>
      <c r="F253" s="17" t="n"/>
      <c r="G253" s="19" t="n"/>
      <c r="H253" s="16" t="n"/>
      <c r="I253" s="16" t="n"/>
      <c r="J253" s="16" t="n"/>
      <c r="K253" s="26" t="n"/>
      <c r="L253" s="26" t="n"/>
      <c r="M253" s="16" t="n"/>
      <c r="N253" s="9" t="n"/>
      <c r="O253" s="16" t="n"/>
      <c r="P253" s="16" t="n"/>
      <c r="Q253" s="24" t="n"/>
      <c r="R253" s="17" t="n"/>
      <c r="S253" s="17" t="n"/>
      <c r="T253" s="27" t="n"/>
      <c r="U253" s="27" t="n"/>
      <c r="V253" s="10" t="n"/>
    </row>
    <row r="254">
      <c r="A254" s="16" t="n"/>
      <c r="B254" s="17" t="n"/>
      <c r="C254" s="17" t="n"/>
      <c r="D254" s="10" t="n"/>
      <c r="E254" s="10" t="n"/>
      <c r="F254" s="17" t="n"/>
      <c r="G254" s="19" t="n"/>
      <c r="H254" s="16" t="n"/>
      <c r="I254" s="16" t="n"/>
      <c r="J254" s="16" t="n"/>
      <c r="K254" s="26" t="n"/>
      <c r="L254" s="26" t="n"/>
      <c r="M254" s="16" t="n"/>
      <c r="N254" s="9" t="n"/>
      <c r="O254" s="16" t="n"/>
      <c r="P254" s="16" t="n"/>
      <c r="Q254" s="24" t="n"/>
      <c r="R254" s="17" t="n"/>
      <c r="S254" s="17" t="n"/>
      <c r="T254" s="27" t="n"/>
      <c r="U254" s="27" t="n"/>
      <c r="V254" s="10" t="n"/>
    </row>
    <row r="255">
      <c r="A255" s="16" t="n"/>
      <c r="B255" s="17" t="n"/>
      <c r="C255" s="17" t="n"/>
      <c r="D255" s="10" t="n"/>
      <c r="E255" s="10" t="n"/>
      <c r="F255" s="17" t="n"/>
      <c r="G255" s="19" t="n"/>
      <c r="H255" s="16" t="n"/>
      <c r="I255" s="16" t="n"/>
      <c r="J255" s="16" t="n"/>
      <c r="K255" s="26" t="n"/>
      <c r="L255" s="26" t="n"/>
      <c r="M255" s="16" t="n"/>
      <c r="N255" s="9" t="n"/>
      <c r="O255" s="16" t="n"/>
      <c r="P255" s="16" t="n"/>
      <c r="Q255" s="24" t="n"/>
      <c r="R255" s="17" t="n"/>
      <c r="S255" s="17" t="n"/>
      <c r="T255" s="27" t="n"/>
      <c r="U255" s="27" t="n"/>
      <c r="V255" s="10" t="n"/>
    </row>
    <row r="256">
      <c r="A256" s="16" t="n"/>
      <c r="B256" s="17" t="n"/>
      <c r="C256" s="17" t="n"/>
      <c r="D256" s="10" t="n"/>
      <c r="E256" s="10" t="n"/>
      <c r="F256" s="17" t="n"/>
      <c r="G256" s="19" t="n"/>
      <c r="H256" s="16" t="n"/>
      <c r="I256" s="16" t="n"/>
      <c r="J256" s="16" t="n"/>
      <c r="K256" s="26" t="n"/>
      <c r="L256" s="26" t="n"/>
      <c r="M256" s="16" t="n"/>
      <c r="N256" s="9" t="n"/>
      <c r="O256" s="16" t="n"/>
      <c r="P256" s="16" t="n"/>
      <c r="Q256" s="24" t="n"/>
      <c r="R256" s="17" t="n"/>
      <c r="S256" s="17" t="n"/>
      <c r="T256" s="27" t="n"/>
      <c r="U256" s="27" t="n"/>
      <c r="V256" s="10" t="n"/>
    </row>
    <row r="257">
      <c r="A257" s="16" t="n"/>
      <c r="B257" s="17" t="n"/>
      <c r="C257" s="17" t="n"/>
      <c r="D257" s="10" t="n"/>
      <c r="E257" s="10" t="n"/>
      <c r="F257" s="17" t="n"/>
      <c r="G257" s="19" t="n"/>
      <c r="H257" s="16" t="n"/>
      <c r="I257" s="16" t="n"/>
      <c r="J257" s="16" t="n"/>
      <c r="K257" s="26" t="n"/>
      <c r="L257" s="26" t="n"/>
      <c r="M257" s="16" t="n"/>
      <c r="N257" s="9" t="n"/>
      <c r="O257" s="16" t="n"/>
      <c r="P257" s="16" t="n"/>
      <c r="Q257" s="24" t="n"/>
      <c r="R257" s="17" t="n"/>
      <c r="S257" s="17" t="n"/>
      <c r="T257" s="27" t="n"/>
      <c r="U257" s="27" t="n"/>
      <c r="V257" s="10" t="n"/>
    </row>
    <row r="258">
      <c r="A258" s="16" t="n"/>
      <c r="B258" s="17" t="n"/>
      <c r="C258" s="17" t="n"/>
      <c r="D258" s="10" t="n"/>
      <c r="E258" s="10" t="n"/>
      <c r="F258" s="17" t="n"/>
      <c r="G258" s="19" t="n"/>
      <c r="H258" s="16" t="n"/>
      <c r="I258" s="16" t="n"/>
      <c r="J258" s="16" t="n"/>
      <c r="K258" s="26" t="n"/>
      <c r="L258" s="26" t="n"/>
      <c r="M258" s="16" t="n"/>
      <c r="N258" s="9" t="n"/>
      <c r="O258" s="16" t="n"/>
      <c r="P258" s="16" t="n"/>
      <c r="Q258" s="24" t="n"/>
      <c r="R258" s="17" t="n"/>
      <c r="S258" s="17" t="n"/>
      <c r="T258" s="27" t="n"/>
      <c r="U258" s="27" t="n"/>
      <c r="V258" s="10" t="n"/>
    </row>
    <row r="259">
      <c r="A259" s="16" t="n"/>
      <c r="B259" s="17" t="n"/>
      <c r="C259" s="17" t="n"/>
      <c r="D259" s="10" t="n"/>
      <c r="E259" s="10" t="n"/>
      <c r="F259" s="17" t="n"/>
      <c r="G259" s="19" t="n"/>
      <c r="H259" s="16" t="n"/>
      <c r="I259" s="16" t="n"/>
      <c r="J259" s="16" t="n"/>
      <c r="K259" s="26" t="n"/>
      <c r="L259" s="26" t="n"/>
      <c r="M259" s="16" t="n"/>
      <c r="N259" s="9" t="n"/>
      <c r="O259" s="16" t="n"/>
      <c r="P259" s="16" t="n"/>
      <c r="Q259" s="24" t="n"/>
      <c r="R259" s="17" t="n"/>
      <c r="S259" s="17" t="n"/>
      <c r="T259" s="27" t="n"/>
      <c r="U259" s="27" t="n"/>
      <c r="V259" s="10" t="n"/>
    </row>
    <row r="260">
      <c r="A260" s="16" t="n"/>
      <c r="B260" s="17" t="n"/>
      <c r="C260" s="17" t="n"/>
      <c r="D260" s="10" t="n"/>
      <c r="E260" s="10" t="n"/>
      <c r="F260" s="17" t="n"/>
      <c r="G260" s="19" t="n"/>
      <c r="H260" s="16" t="n"/>
      <c r="I260" s="16" t="n"/>
      <c r="J260" s="16" t="n"/>
      <c r="K260" s="26" t="n"/>
      <c r="L260" s="26" t="n"/>
      <c r="M260" s="16" t="n"/>
      <c r="N260" s="9" t="n"/>
      <c r="O260" s="16" t="n"/>
      <c r="P260" s="16" t="n"/>
      <c r="Q260" s="24" t="n"/>
      <c r="R260" s="17" t="n"/>
      <c r="S260" s="17" t="n"/>
      <c r="T260" s="27" t="n"/>
      <c r="U260" s="27" t="n"/>
      <c r="V260" s="10" t="n"/>
    </row>
    <row r="261">
      <c r="A261" s="16" t="n"/>
      <c r="B261" s="17" t="n"/>
      <c r="C261" s="17" t="n"/>
      <c r="D261" s="10" t="n"/>
      <c r="E261" s="10" t="n"/>
      <c r="F261" s="17" t="n"/>
      <c r="G261" s="19" t="n"/>
      <c r="H261" s="16" t="n"/>
      <c r="I261" s="16" t="n"/>
      <c r="J261" s="16" t="n"/>
      <c r="K261" s="26" t="n"/>
      <c r="L261" s="26" t="n"/>
      <c r="M261" s="16" t="n"/>
      <c r="N261" s="9" t="n"/>
      <c r="O261" s="16" t="n"/>
      <c r="P261" s="16" t="n"/>
      <c r="Q261" s="24" t="n"/>
      <c r="R261" s="17" t="n"/>
      <c r="S261" s="17" t="n"/>
      <c r="T261" s="27" t="n"/>
      <c r="U261" s="27" t="n"/>
      <c r="V261" s="10" t="n"/>
    </row>
    <row r="262">
      <c r="A262" s="16" t="n"/>
      <c r="B262" s="17" t="n"/>
      <c r="C262" s="17" t="n"/>
      <c r="D262" s="10" t="n"/>
      <c r="E262" s="10" t="n"/>
      <c r="F262" s="17" t="n"/>
      <c r="G262" s="19" t="n"/>
      <c r="H262" s="16" t="n"/>
      <c r="I262" s="16" t="n"/>
      <c r="J262" s="16" t="n"/>
      <c r="K262" s="26" t="n"/>
      <c r="L262" s="26" t="n"/>
      <c r="M262" s="16" t="n"/>
      <c r="N262" s="9" t="n"/>
      <c r="O262" s="16" t="n"/>
      <c r="P262" s="16" t="n"/>
      <c r="Q262" s="24" t="n"/>
      <c r="R262" s="17" t="n"/>
      <c r="S262" s="17" t="n"/>
      <c r="T262" s="27" t="n"/>
      <c r="U262" s="27" t="n"/>
      <c r="V262" s="10" t="n"/>
    </row>
    <row r="263">
      <c r="A263" s="16" t="n"/>
      <c r="B263" s="17" t="n"/>
      <c r="C263" s="17" t="n"/>
      <c r="D263" s="10" t="n"/>
      <c r="E263" s="10" t="n"/>
      <c r="F263" s="17" t="n"/>
      <c r="G263" s="19" t="n"/>
      <c r="H263" s="16" t="n"/>
      <c r="I263" s="16" t="n"/>
      <c r="J263" s="16" t="n"/>
      <c r="K263" s="26" t="n"/>
      <c r="L263" s="26" t="n"/>
      <c r="M263" s="16" t="n"/>
      <c r="N263" s="9" t="n"/>
      <c r="O263" s="16" t="n"/>
      <c r="P263" s="16" t="n"/>
      <c r="Q263" s="24" t="n"/>
      <c r="R263" s="17" t="n"/>
      <c r="S263" s="17" t="n"/>
      <c r="T263" s="27" t="n"/>
      <c r="U263" s="27" t="n"/>
      <c r="V263" s="10" t="n"/>
    </row>
    <row r="264">
      <c r="A264" s="16" t="n"/>
      <c r="B264" s="17" t="n"/>
      <c r="C264" s="17" t="n"/>
      <c r="D264" s="10" t="n"/>
      <c r="E264" s="10" t="n"/>
      <c r="F264" s="17" t="n"/>
      <c r="G264" s="19" t="n"/>
      <c r="H264" s="16" t="n"/>
      <c r="I264" s="16" t="n"/>
      <c r="J264" s="16" t="n"/>
      <c r="K264" s="26" t="n"/>
      <c r="L264" s="26" t="n"/>
      <c r="M264" s="16" t="n"/>
      <c r="N264" s="9" t="n"/>
      <c r="O264" s="16" t="n"/>
      <c r="P264" s="16" t="n"/>
      <c r="Q264" s="24" t="n"/>
      <c r="R264" s="17" t="n"/>
      <c r="S264" s="17" t="n"/>
      <c r="T264" s="27" t="n"/>
      <c r="U264" s="27" t="n"/>
      <c r="V264" s="10" t="n"/>
    </row>
    <row r="265">
      <c r="A265" s="16" t="n"/>
      <c r="B265" s="17" t="n"/>
      <c r="C265" s="17" t="n"/>
      <c r="D265" s="10" t="n"/>
      <c r="E265" s="10" t="n"/>
      <c r="F265" s="17" t="n"/>
      <c r="G265" s="19" t="n"/>
      <c r="H265" s="16" t="n"/>
      <c r="I265" s="16" t="n"/>
      <c r="J265" s="16" t="n"/>
      <c r="K265" s="26" t="n"/>
      <c r="L265" s="26" t="n"/>
      <c r="M265" s="16" t="n"/>
      <c r="N265" s="9" t="n"/>
      <c r="O265" s="16" t="n"/>
      <c r="P265" s="16" t="n"/>
      <c r="Q265" s="24" t="n"/>
      <c r="R265" s="17" t="n"/>
      <c r="S265" s="17" t="n"/>
      <c r="T265" s="27" t="n"/>
      <c r="U265" s="27" t="n"/>
      <c r="V265" s="10" t="n"/>
    </row>
    <row r="266">
      <c r="A266" s="16" t="n"/>
      <c r="B266" s="17" t="n"/>
      <c r="C266" s="17" t="n"/>
      <c r="D266" s="10" t="n"/>
      <c r="E266" s="10" t="n"/>
      <c r="F266" s="17" t="n"/>
      <c r="G266" s="19" t="n"/>
      <c r="H266" s="16" t="n"/>
      <c r="I266" s="16" t="n"/>
      <c r="J266" s="16" t="n"/>
      <c r="K266" s="26" t="n"/>
      <c r="L266" s="26" t="n"/>
      <c r="M266" s="16" t="n"/>
      <c r="N266" s="9" t="n"/>
      <c r="O266" s="16" t="n"/>
      <c r="P266" s="16" t="n"/>
      <c r="Q266" s="24" t="n"/>
      <c r="R266" s="17" t="n"/>
      <c r="S266" s="17" t="n"/>
      <c r="T266" s="27" t="n"/>
      <c r="U266" s="27" t="n"/>
      <c r="V266" s="10" t="n"/>
    </row>
    <row r="267">
      <c r="A267" s="16" t="n"/>
      <c r="B267" s="17" t="n"/>
      <c r="C267" s="17" t="n"/>
      <c r="D267" s="10" t="n"/>
      <c r="E267" s="10" t="n"/>
      <c r="F267" s="17" t="n"/>
      <c r="G267" s="19" t="n"/>
      <c r="H267" s="16" t="n"/>
      <c r="I267" s="16" t="n"/>
      <c r="J267" s="16" t="n"/>
      <c r="K267" s="26" t="n"/>
      <c r="L267" s="26" t="n"/>
      <c r="M267" s="16" t="n"/>
      <c r="N267" s="9" t="n"/>
      <c r="O267" s="16" t="n"/>
      <c r="P267" s="16" t="n"/>
      <c r="Q267" s="24" t="n"/>
      <c r="R267" s="17" t="n"/>
      <c r="S267" s="17" t="n"/>
      <c r="T267" s="27" t="n"/>
      <c r="U267" s="27" t="n"/>
      <c r="V267" s="10" t="n"/>
    </row>
    <row r="268">
      <c r="A268" s="16" t="n"/>
      <c r="B268" s="17" t="n"/>
      <c r="C268" s="17" t="n"/>
      <c r="D268" s="10" t="n"/>
      <c r="E268" s="10" t="n"/>
      <c r="F268" s="17" t="n"/>
      <c r="G268" s="19" t="n"/>
      <c r="H268" s="16" t="n"/>
      <c r="I268" s="16" t="n"/>
      <c r="J268" s="16" t="n"/>
      <c r="K268" s="26" t="n"/>
      <c r="L268" s="26" t="n"/>
      <c r="M268" s="16" t="n"/>
      <c r="N268" s="9" t="n"/>
      <c r="O268" s="16" t="n"/>
      <c r="P268" s="16" t="n"/>
      <c r="Q268" s="24" t="n"/>
      <c r="R268" s="17" t="n"/>
      <c r="S268" s="17" t="n"/>
      <c r="T268" s="27" t="n"/>
      <c r="U268" s="27" t="n"/>
      <c r="V268" s="10" t="n"/>
    </row>
    <row r="269">
      <c r="A269" s="16" t="n"/>
      <c r="B269" s="17" t="n"/>
      <c r="C269" s="17" t="n"/>
      <c r="D269" s="10" t="n"/>
      <c r="E269" s="10" t="n"/>
      <c r="F269" s="17" t="n"/>
      <c r="G269" s="19" t="n"/>
      <c r="H269" s="16" t="n"/>
      <c r="I269" s="16" t="n"/>
      <c r="J269" s="16" t="n"/>
      <c r="K269" s="26" t="n"/>
      <c r="L269" s="26" t="n"/>
      <c r="M269" s="16" t="n"/>
      <c r="N269" s="9" t="n"/>
      <c r="O269" s="16" t="n"/>
      <c r="P269" s="16" t="n"/>
      <c r="Q269" s="24" t="n"/>
      <c r="R269" s="17" t="n"/>
      <c r="S269" s="17" t="n"/>
      <c r="T269" s="27" t="n"/>
      <c r="U269" s="27" t="n"/>
      <c r="V269" s="10" t="n"/>
    </row>
    <row r="270">
      <c r="A270" s="16" t="n"/>
      <c r="B270" s="17" t="n"/>
      <c r="C270" s="17" t="n"/>
      <c r="D270" s="10" t="n"/>
      <c r="E270" s="10" t="n"/>
      <c r="F270" s="17" t="n"/>
      <c r="G270" s="19" t="n"/>
      <c r="H270" s="16" t="n"/>
      <c r="I270" s="16" t="n"/>
      <c r="J270" s="16" t="n"/>
      <c r="K270" s="26" t="n"/>
      <c r="L270" s="26" t="n"/>
      <c r="M270" s="16" t="n"/>
      <c r="N270" s="9" t="n"/>
      <c r="O270" s="16" t="n"/>
      <c r="P270" s="16" t="n"/>
      <c r="Q270" s="24" t="n"/>
      <c r="R270" s="17" t="n"/>
      <c r="S270" s="17" t="n"/>
      <c r="T270" s="27" t="n"/>
      <c r="U270" s="27" t="n"/>
      <c r="V270" s="10" t="n"/>
    </row>
    <row r="271">
      <c r="A271" s="16" t="n"/>
      <c r="B271" s="17" t="n"/>
      <c r="C271" s="17" t="n"/>
      <c r="D271" s="10" t="n"/>
      <c r="E271" s="10" t="n"/>
      <c r="F271" s="17" t="n"/>
      <c r="G271" s="19" t="n"/>
      <c r="H271" s="16" t="n"/>
      <c r="I271" s="16" t="n"/>
      <c r="J271" s="16" t="n"/>
      <c r="K271" s="26" t="n"/>
      <c r="L271" s="26" t="n"/>
      <c r="M271" s="16" t="n"/>
      <c r="N271" s="9" t="n"/>
      <c r="O271" s="16" t="n"/>
      <c r="P271" s="16" t="n"/>
      <c r="Q271" s="24" t="n"/>
      <c r="R271" s="17" t="n"/>
      <c r="S271" s="17" t="n"/>
      <c r="T271" s="27" t="n"/>
      <c r="U271" s="27" t="n"/>
      <c r="V271" s="10" t="n"/>
    </row>
    <row r="272">
      <c r="A272" s="16" t="n"/>
      <c r="B272" s="17" t="n"/>
      <c r="C272" s="17" t="n"/>
      <c r="D272" s="10" t="n"/>
      <c r="E272" s="10" t="n"/>
      <c r="F272" s="17" t="n"/>
      <c r="G272" s="19" t="n"/>
      <c r="H272" s="16" t="n"/>
      <c r="I272" s="16" t="n"/>
      <c r="J272" s="16" t="n"/>
      <c r="K272" s="26" t="n"/>
      <c r="L272" s="26" t="n"/>
      <c r="M272" s="16" t="n"/>
      <c r="N272" s="9" t="n"/>
      <c r="O272" s="16" t="n"/>
      <c r="P272" s="16" t="n"/>
      <c r="Q272" s="24" t="n"/>
      <c r="R272" s="17" t="n"/>
      <c r="S272" s="17" t="n"/>
      <c r="T272" s="27" t="n"/>
      <c r="U272" s="27" t="n"/>
      <c r="V272" s="10" t="n"/>
    </row>
    <row r="273">
      <c r="A273" s="16" t="n"/>
      <c r="B273" s="17" t="n"/>
      <c r="C273" s="17" t="n"/>
      <c r="D273" s="10" t="n"/>
      <c r="E273" s="10" t="n"/>
      <c r="F273" s="17" t="n"/>
      <c r="G273" s="19" t="n"/>
      <c r="H273" s="16" t="n"/>
      <c r="I273" s="16" t="n"/>
      <c r="J273" s="16" t="n"/>
      <c r="K273" s="26" t="n"/>
      <c r="L273" s="26" t="n"/>
      <c r="M273" s="16" t="n"/>
      <c r="N273" s="9" t="n"/>
      <c r="O273" s="16" t="n"/>
      <c r="P273" s="16" t="n"/>
      <c r="Q273" s="24" t="n"/>
      <c r="R273" s="17" t="n"/>
      <c r="S273" s="17" t="n"/>
      <c r="T273" s="27" t="n"/>
      <c r="U273" s="27" t="n"/>
      <c r="V273" s="10" t="n"/>
    </row>
    <row r="274">
      <c r="A274" s="16" t="n"/>
      <c r="B274" s="17" t="n"/>
      <c r="C274" s="17" t="n"/>
      <c r="D274" s="10" t="n"/>
      <c r="E274" s="10" t="n"/>
      <c r="F274" s="17" t="n"/>
      <c r="G274" s="19" t="n"/>
      <c r="H274" s="16" t="n"/>
      <c r="I274" s="16" t="n"/>
      <c r="J274" s="16" t="n"/>
      <c r="K274" s="26" t="n"/>
      <c r="L274" s="26" t="n"/>
      <c r="M274" s="16" t="n"/>
      <c r="N274" s="9" t="n"/>
      <c r="O274" s="16" t="n"/>
      <c r="P274" s="16" t="n"/>
      <c r="Q274" s="24" t="n"/>
      <c r="R274" s="17" t="n"/>
      <c r="S274" s="17" t="n"/>
      <c r="T274" s="27" t="n"/>
      <c r="U274" s="27" t="n"/>
      <c r="V274" s="10" t="n"/>
    </row>
    <row r="275">
      <c r="A275" s="16" t="n"/>
      <c r="B275" s="17" t="n"/>
      <c r="C275" s="17" t="n"/>
      <c r="D275" s="10" t="n"/>
      <c r="E275" s="10" t="n"/>
      <c r="F275" s="17" t="n"/>
      <c r="G275" s="19" t="n"/>
      <c r="H275" s="16" t="n"/>
      <c r="I275" s="16" t="n"/>
      <c r="J275" s="16" t="n"/>
      <c r="K275" s="26" t="n"/>
      <c r="L275" s="26" t="n"/>
      <c r="M275" s="16" t="n"/>
      <c r="N275" s="9" t="n"/>
      <c r="O275" s="16" t="n"/>
      <c r="P275" s="16" t="n"/>
      <c r="Q275" s="24" t="n"/>
      <c r="R275" s="17" t="n"/>
      <c r="S275" s="17" t="n"/>
      <c r="T275" s="27" t="n"/>
      <c r="U275" s="27" t="n"/>
      <c r="V275" s="10" t="n"/>
    </row>
    <row r="276">
      <c r="A276" s="16" t="n"/>
      <c r="B276" s="17" t="n"/>
      <c r="C276" s="17" t="n"/>
      <c r="D276" s="10" t="n"/>
      <c r="E276" s="10" t="n"/>
      <c r="F276" s="17" t="n"/>
      <c r="G276" s="19" t="n"/>
      <c r="H276" s="16" t="n"/>
      <c r="I276" s="16" t="n"/>
      <c r="J276" s="16" t="n"/>
      <c r="K276" s="26" t="n"/>
      <c r="L276" s="26" t="n"/>
      <c r="M276" s="16" t="n"/>
      <c r="N276" s="9" t="n"/>
      <c r="O276" s="16" t="n"/>
      <c r="P276" s="16" t="n"/>
      <c r="Q276" s="24" t="n"/>
      <c r="R276" s="17" t="n"/>
      <c r="S276" s="17" t="n"/>
      <c r="T276" s="27" t="n"/>
      <c r="U276" s="27" t="n"/>
      <c r="V276" s="10" t="n"/>
    </row>
    <row r="277">
      <c r="A277" s="16" t="n"/>
      <c r="B277" s="17" t="n"/>
      <c r="C277" s="17" t="n"/>
      <c r="D277" s="10" t="n"/>
      <c r="E277" s="10" t="n"/>
      <c r="F277" s="17" t="n"/>
      <c r="G277" s="19" t="n"/>
      <c r="H277" s="16" t="n"/>
      <c r="I277" s="16" t="n"/>
      <c r="J277" s="16" t="n"/>
      <c r="K277" s="26" t="n"/>
      <c r="L277" s="26" t="n"/>
      <c r="M277" s="16" t="n"/>
      <c r="N277" s="9" t="n"/>
      <c r="O277" s="16" t="n"/>
      <c r="P277" s="16" t="n"/>
      <c r="Q277" s="24" t="n"/>
      <c r="R277" s="17" t="n"/>
      <c r="S277" s="17" t="n"/>
      <c r="T277" s="27" t="n"/>
      <c r="U277" s="27" t="n"/>
      <c r="V277" s="10" t="n"/>
    </row>
    <row r="278">
      <c r="A278" s="16" t="n"/>
      <c r="B278" s="17" t="n"/>
      <c r="C278" s="17" t="n"/>
      <c r="D278" s="10" t="n"/>
      <c r="E278" s="10" t="n"/>
      <c r="F278" s="17" t="n"/>
      <c r="G278" s="19" t="n"/>
      <c r="H278" s="16" t="n"/>
      <c r="I278" s="16" t="n"/>
      <c r="J278" s="16" t="n"/>
      <c r="K278" s="26" t="n"/>
      <c r="L278" s="26" t="n"/>
      <c r="M278" s="16" t="n"/>
      <c r="N278" s="9" t="n"/>
      <c r="O278" s="16" t="n"/>
      <c r="P278" s="16" t="n"/>
      <c r="Q278" s="24" t="n"/>
      <c r="R278" s="17" t="n"/>
      <c r="S278" s="17" t="n"/>
      <c r="T278" s="27" t="n"/>
      <c r="U278" s="27" t="n"/>
      <c r="V278" s="10" t="n"/>
    </row>
    <row r="279">
      <c r="A279" s="16" t="n"/>
      <c r="B279" s="17" t="n"/>
      <c r="C279" s="17" t="n"/>
      <c r="D279" s="10" t="n"/>
      <c r="E279" s="10" t="n"/>
      <c r="F279" s="17" t="n"/>
      <c r="G279" s="19" t="n"/>
      <c r="H279" s="16" t="n"/>
      <c r="I279" s="16" t="n"/>
      <c r="J279" s="16" t="n"/>
      <c r="K279" s="26" t="n"/>
      <c r="L279" s="26" t="n"/>
      <c r="M279" s="16" t="n"/>
      <c r="N279" s="9" t="n"/>
      <c r="O279" s="16" t="n"/>
      <c r="P279" s="16" t="n"/>
      <c r="Q279" s="24" t="n"/>
      <c r="R279" s="17" t="n"/>
      <c r="S279" s="17" t="n"/>
      <c r="T279" s="27" t="n"/>
      <c r="U279" s="27" t="n"/>
      <c r="V279" s="10" t="n"/>
    </row>
    <row r="280">
      <c r="A280" s="16" t="n"/>
      <c r="B280" s="17" t="n"/>
      <c r="C280" s="17" t="n"/>
      <c r="D280" s="10" t="n"/>
      <c r="E280" s="10" t="n"/>
      <c r="F280" s="17" t="n"/>
      <c r="G280" s="19" t="n"/>
      <c r="H280" s="16" t="n"/>
      <c r="I280" s="16" t="n"/>
      <c r="J280" s="16" t="n"/>
      <c r="K280" s="26" t="n"/>
      <c r="L280" s="26" t="n"/>
      <c r="M280" s="16" t="n"/>
      <c r="N280" s="9" t="n"/>
      <c r="O280" s="16" t="n"/>
      <c r="P280" s="16" t="n"/>
      <c r="Q280" s="24" t="n"/>
      <c r="R280" s="17" t="n"/>
      <c r="S280" s="17" t="n"/>
      <c r="T280" s="27" t="n"/>
      <c r="U280" s="27" t="n"/>
      <c r="V280" s="10" t="n"/>
    </row>
    <row r="281">
      <c r="A281" s="16" t="n"/>
      <c r="B281" s="17" t="n"/>
      <c r="C281" s="17" t="n"/>
      <c r="D281" s="10" t="n"/>
      <c r="E281" s="10" t="n"/>
      <c r="F281" s="17" t="n"/>
      <c r="G281" s="19" t="n"/>
      <c r="H281" s="16" t="n"/>
      <c r="I281" s="16" t="n"/>
      <c r="J281" s="16" t="n"/>
      <c r="K281" s="26" t="n"/>
      <c r="L281" s="26" t="n"/>
      <c r="M281" s="16" t="n"/>
      <c r="N281" s="9" t="n"/>
      <c r="O281" s="16" t="n"/>
      <c r="P281" s="16" t="n"/>
      <c r="Q281" s="24" t="n"/>
      <c r="R281" s="17" t="n"/>
      <c r="S281" s="17" t="n"/>
      <c r="T281" s="27" t="n"/>
      <c r="U281" s="27" t="n"/>
      <c r="V281" s="10" t="n"/>
    </row>
    <row r="282">
      <c r="A282" s="16" t="n"/>
      <c r="B282" s="17" t="n"/>
      <c r="C282" s="17" t="n"/>
      <c r="D282" s="10" t="n"/>
      <c r="E282" s="10" t="n"/>
      <c r="F282" s="17" t="n"/>
      <c r="G282" s="19" t="n"/>
      <c r="H282" s="16" t="n"/>
      <c r="I282" s="16" t="n"/>
      <c r="J282" s="16" t="n"/>
      <c r="K282" s="26" t="n"/>
      <c r="L282" s="26" t="n"/>
      <c r="M282" s="16" t="n"/>
      <c r="N282" s="9" t="n"/>
      <c r="O282" s="16" t="n"/>
      <c r="P282" s="16" t="n"/>
      <c r="Q282" s="24" t="n"/>
      <c r="R282" s="17" t="n"/>
      <c r="S282" s="17" t="n"/>
      <c r="T282" s="27" t="n"/>
      <c r="U282" s="27" t="n"/>
      <c r="V282" s="10" t="n"/>
    </row>
    <row r="283">
      <c r="A283" s="16" t="n"/>
      <c r="B283" s="17" t="n"/>
      <c r="C283" s="17" t="n"/>
      <c r="D283" s="10" t="n"/>
      <c r="E283" s="10" t="n"/>
      <c r="F283" s="17" t="n"/>
      <c r="G283" s="19" t="n"/>
      <c r="H283" s="16" t="n"/>
      <c r="I283" s="16" t="n"/>
      <c r="J283" s="16" t="n"/>
      <c r="K283" s="26" t="n"/>
      <c r="L283" s="26" t="n"/>
      <c r="M283" s="16" t="n"/>
      <c r="N283" s="9" t="n"/>
      <c r="O283" s="16" t="n"/>
      <c r="P283" s="16" t="n"/>
      <c r="Q283" s="24" t="n"/>
      <c r="R283" s="17" t="n"/>
      <c r="S283" s="17" t="n"/>
      <c r="T283" s="27" t="n"/>
      <c r="U283" s="27" t="n"/>
      <c r="V283" s="10" t="n"/>
    </row>
    <row r="284">
      <c r="A284" s="16" t="n"/>
      <c r="B284" s="17" t="n"/>
      <c r="C284" s="17" t="n"/>
      <c r="D284" s="10" t="n"/>
      <c r="E284" s="10" t="n"/>
      <c r="F284" s="17" t="n"/>
      <c r="G284" s="19" t="n"/>
      <c r="H284" s="16" t="n"/>
      <c r="I284" s="16" t="n"/>
      <c r="J284" s="16" t="n"/>
      <c r="K284" s="26" t="n"/>
      <c r="L284" s="26" t="n"/>
      <c r="M284" s="16" t="n"/>
      <c r="N284" s="9" t="n"/>
      <c r="O284" s="16" t="n"/>
      <c r="P284" s="16" t="n"/>
      <c r="Q284" s="24" t="n"/>
      <c r="R284" s="17" t="n"/>
      <c r="S284" s="17" t="n"/>
      <c r="T284" s="27" t="n"/>
      <c r="U284" s="27" t="n"/>
      <c r="V284" s="10" t="n"/>
    </row>
    <row r="285">
      <c r="A285" s="16" t="n"/>
      <c r="B285" s="17" t="n"/>
      <c r="C285" s="17" t="n"/>
      <c r="D285" s="10" t="n"/>
      <c r="E285" s="10" t="n"/>
      <c r="F285" s="17" t="n"/>
      <c r="G285" s="19" t="n"/>
      <c r="H285" s="16" t="n"/>
      <c r="I285" s="16" t="n"/>
      <c r="J285" s="16" t="n"/>
      <c r="K285" s="26" t="n"/>
      <c r="L285" s="26" t="n"/>
      <c r="M285" s="16" t="n"/>
      <c r="N285" s="9" t="n"/>
      <c r="O285" s="16" t="n"/>
      <c r="P285" s="16" t="n"/>
      <c r="Q285" s="24" t="n"/>
      <c r="R285" s="17" t="n"/>
      <c r="S285" s="17" t="n"/>
      <c r="T285" s="27" t="n"/>
      <c r="U285" s="27" t="n"/>
      <c r="V285" s="10" t="n"/>
    </row>
    <row r="286">
      <c r="A286" s="16" t="n"/>
      <c r="B286" s="17" t="n"/>
      <c r="C286" s="17" t="n"/>
      <c r="D286" s="10" t="n"/>
      <c r="E286" s="10" t="n"/>
      <c r="F286" s="17" t="n"/>
      <c r="G286" s="19" t="n"/>
      <c r="H286" s="16" t="n"/>
      <c r="I286" s="16" t="n"/>
      <c r="J286" s="16" t="n"/>
      <c r="K286" s="26" t="n"/>
      <c r="L286" s="26" t="n"/>
      <c r="M286" s="16" t="n"/>
      <c r="N286" s="9" t="n"/>
      <c r="O286" s="16" t="n"/>
      <c r="P286" s="16" t="n"/>
      <c r="Q286" s="24" t="n"/>
      <c r="R286" s="17" t="n"/>
      <c r="S286" s="17" t="n"/>
      <c r="T286" s="27" t="n"/>
      <c r="U286" s="27" t="n"/>
      <c r="V286" s="10" t="n"/>
    </row>
    <row r="287">
      <c r="A287" s="16" t="n"/>
      <c r="B287" s="17" t="n"/>
      <c r="C287" s="17" t="n"/>
      <c r="D287" s="10" t="n"/>
      <c r="E287" s="10" t="n"/>
      <c r="F287" s="17" t="n"/>
      <c r="G287" s="19" t="n"/>
      <c r="H287" s="16" t="n"/>
      <c r="I287" s="16" t="n"/>
      <c r="J287" s="16" t="n"/>
      <c r="K287" s="26" t="n"/>
      <c r="L287" s="26" t="n"/>
      <c r="M287" s="16" t="n"/>
      <c r="N287" s="9" t="n"/>
      <c r="O287" s="16" t="n"/>
      <c r="P287" s="16" t="n"/>
      <c r="Q287" s="24" t="n"/>
      <c r="R287" s="17" t="n"/>
      <c r="S287" s="17" t="n"/>
      <c r="T287" s="27" t="n"/>
      <c r="U287" s="27" t="n"/>
      <c r="V287" s="10" t="n"/>
    </row>
    <row r="288">
      <c r="A288" s="16" t="n"/>
      <c r="B288" s="17" t="n"/>
      <c r="C288" s="17" t="n"/>
      <c r="D288" s="10" t="n"/>
      <c r="E288" s="10" t="n"/>
      <c r="F288" s="17" t="n"/>
      <c r="G288" s="19" t="n"/>
      <c r="H288" s="16" t="n"/>
      <c r="I288" s="16" t="n"/>
      <c r="J288" s="16" t="n"/>
      <c r="K288" s="26" t="n"/>
      <c r="L288" s="26" t="n"/>
      <c r="M288" s="16" t="n"/>
      <c r="N288" s="9" t="n"/>
      <c r="O288" s="16" t="n"/>
      <c r="P288" s="16" t="n"/>
      <c r="Q288" s="24" t="n"/>
      <c r="R288" s="17" t="n"/>
      <c r="S288" s="17" t="n"/>
      <c r="T288" s="27" t="n"/>
      <c r="U288" s="27" t="n"/>
      <c r="V288" s="10" t="n"/>
    </row>
    <row r="289">
      <c r="A289" s="16" t="n"/>
      <c r="B289" s="17" t="n"/>
      <c r="C289" s="17" t="n"/>
      <c r="D289" s="10" t="n"/>
      <c r="E289" s="10" t="n"/>
      <c r="F289" s="17" t="n"/>
      <c r="G289" s="19" t="n"/>
      <c r="H289" s="16" t="n"/>
      <c r="I289" s="16" t="n"/>
      <c r="J289" s="16" t="n"/>
      <c r="K289" s="26" t="n"/>
      <c r="L289" s="26" t="n"/>
      <c r="M289" s="16" t="n"/>
      <c r="N289" s="9" t="n"/>
      <c r="O289" s="16" t="n"/>
      <c r="P289" s="16" t="n"/>
      <c r="Q289" s="24" t="n"/>
      <c r="R289" s="17" t="n"/>
      <c r="S289" s="17" t="n"/>
      <c r="T289" s="27" t="n"/>
      <c r="U289" s="27" t="n"/>
      <c r="V289" s="10" t="n"/>
    </row>
    <row r="290">
      <c r="A290" s="16" t="n"/>
      <c r="B290" s="17" t="n"/>
      <c r="C290" s="17" t="n"/>
      <c r="D290" s="10" t="n"/>
      <c r="E290" s="10" t="n"/>
      <c r="F290" s="17" t="n"/>
      <c r="G290" s="19" t="n"/>
      <c r="H290" s="16" t="n"/>
      <c r="I290" s="16" t="n"/>
      <c r="J290" s="16" t="n"/>
      <c r="K290" s="26" t="n"/>
      <c r="L290" s="26" t="n"/>
      <c r="M290" s="16" t="n"/>
      <c r="N290" s="9" t="n"/>
      <c r="O290" s="16" t="n"/>
      <c r="P290" s="16" t="n"/>
      <c r="Q290" s="24" t="n"/>
      <c r="R290" s="17" t="n"/>
      <c r="S290" s="17" t="n"/>
      <c r="T290" s="27" t="n"/>
      <c r="U290" s="27" t="n"/>
      <c r="V290" s="10" t="n"/>
    </row>
    <row r="291">
      <c r="A291" s="16" t="n"/>
      <c r="B291" s="17" t="n"/>
      <c r="C291" s="17" t="n"/>
      <c r="D291" s="10" t="n"/>
      <c r="E291" s="10" t="n"/>
      <c r="F291" s="17" t="n"/>
      <c r="G291" s="19" t="n"/>
      <c r="H291" s="16" t="n"/>
      <c r="I291" s="16" t="n"/>
      <c r="J291" s="16" t="n"/>
      <c r="K291" s="26" t="n"/>
      <c r="L291" s="26" t="n"/>
      <c r="M291" s="16" t="n"/>
      <c r="N291" s="9" t="n"/>
      <c r="O291" s="16" t="n"/>
      <c r="P291" s="16" t="n"/>
      <c r="Q291" s="24" t="n"/>
      <c r="R291" s="17" t="n"/>
      <c r="S291" s="17" t="n"/>
      <c r="T291" s="27" t="n"/>
      <c r="U291" s="27" t="n"/>
      <c r="V291" s="10" t="n"/>
    </row>
    <row r="292">
      <c r="A292" s="16" t="n"/>
      <c r="B292" s="17" t="n"/>
      <c r="C292" s="17" t="n"/>
      <c r="D292" s="10" t="n"/>
      <c r="E292" s="10" t="n"/>
      <c r="F292" s="17" t="n"/>
      <c r="G292" s="19" t="n"/>
      <c r="H292" s="16" t="n"/>
      <c r="I292" s="16" t="n"/>
      <c r="J292" s="16" t="n"/>
      <c r="K292" s="26" t="n"/>
      <c r="L292" s="26" t="n"/>
      <c r="M292" s="16" t="n"/>
      <c r="N292" s="9" t="n"/>
      <c r="O292" s="16" t="n"/>
      <c r="P292" s="16" t="n"/>
      <c r="Q292" s="24" t="n"/>
      <c r="R292" s="17" t="n"/>
      <c r="S292" s="17" t="n"/>
      <c r="T292" s="27" t="n"/>
      <c r="U292" s="27" t="n"/>
      <c r="V292" s="10" t="n"/>
    </row>
    <row r="293">
      <c r="A293" s="16" t="n"/>
      <c r="B293" s="17" t="n"/>
      <c r="C293" s="17" t="n"/>
      <c r="D293" s="10" t="n"/>
      <c r="E293" s="10" t="n"/>
      <c r="F293" s="17" t="n"/>
      <c r="G293" s="19" t="n"/>
      <c r="H293" s="16" t="n"/>
      <c r="I293" s="16" t="n"/>
      <c r="J293" s="16" t="n"/>
      <c r="K293" s="26" t="n"/>
      <c r="L293" s="26" t="n"/>
      <c r="M293" s="16" t="n"/>
      <c r="N293" s="9" t="n"/>
      <c r="O293" s="16" t="n"/>
      <c r="P293" s="16" t="n"/>
      <c r="Q293" s="24" t="n"/>
      <c r="R293" s="17" t="n"/>
      <c r="S293" s="17" t="n"/>
      <c r="T293" s="27" t="n"/>
      <c r="U293" s="27" t="n"/>
      <c r="V293" s="10" t="n"/>
    </row>
    <row r="294">
      <c r="A294" s="16" t="n"/>
      <c r="B294" s="17" t="n"/>
      <c r="C294" s="17" t="n"/>
      <c r="D294" s="10" t="n"/>
      <c r="E294" s="10" t="n"/>
      <c r="F294" s="17" t="n"/>
      <c r="G294" s="19" t="n"/>
      <c r="H294" s="16" t="n"/>
      <c r="I294" s="16" t="n"/>
      <c r="J294" s="16" t="n"/>
      <c r="K294" s="26" t="n"/>
      <c r="L294" s="26" t="n"/>
      <c r="M294" s="16" t="n"/>
      <c r="N294" s="9" t="n"/>
      <c r="O294" s="16" t="n"/>
      <c r="P294" s="16" t="n"/>
      <c r="Q294" s="24" t="n"/>
      <c r="R294" s="17" t="n"/>
      <c r="S294" s="17" t="n"/>
      <c r="T294" s="27" t="n"/>
      <c r="U294" s="27" t="n"/>
      <c r="V294" s="10" t="n"/>
    </row>
    <row r="295">
      <c r="A295" s="16" t="n"/>
      <c r="B295" s="17" t="n"/>
      <c r="C295" s="17" t="n"/>
      <c r="D295" s="10" t="n"/>
      <c r="E295" s="10" t="n"/>
      <c r="F295" s="17" t="n"/>
      <c r="G295" s="19" t="n"/>
      <c r="H295" s="16" t="n"/>
      <c r="I295" s="16" t="n"/>
      <c r="J295" s="16" t="n"/>
      <c r="K295" s="26" t="n"/>
      <c r="L295" s="26" t="n"/>
      <c r="M295" s="16" t="n"/>
      <c r="N295" s="9" t="n"/>
      <c r="O295" s="16" t="n"/>
      <c r="P295" s="16" t="n"/>
      <c r="Q295" s="24" t="n"/>
      <c r="R295" s="17" t="n"/>
      <c r="S295" s="17" t="n"/>
      <c r="T295" s="27" t="n"/>
      <c r="U295" s="27" t="n"/>
      <c r="V295" s="10" t="n"/>
    </row>
    <row r="296">
      <c r="A296" s="16" t="n"/>
      <c r="B296" s="17" t="n"/>
      <c r="C296" s="17" t="n"/>
      <c r="D296" s="10" t="n"/>
      <c r="E296" s="10" t="n"/>
      <c r="F296" s="17" t="n"/>
      <c r="G296" s="19" t="n"/>
      <c r="H296" s="16" t="n"/>
      <c r="I296" s="16" t="n"/>
      <c r="J296" s="16" t="n"/>
      <c r="K296" s="26" t="n"/>
      <c r="L296" s="26" t="n"/>
      <c r="M296" s="16" t="n"/>
      <c r="N296" s="9" t="n"/>
      <c r="O296" s="16" t="n"/>
      <c r="P296" s="16" t="n"/>
      <c r="Q296" s="24" t="n"/>
      <c r="R296" s="17" t="n"/>
      <c r="S296" s="17" t="n"/>
      <c r="T296" s="27" t="n"/>
      <c r="U296" s="27" t="n"/>
      <c r="V296" s="10" t="n"/>
    </row>
    <row r="297">
      <c r="A297" s="16" t="n"/>
      <c r="B297" s="17" t="n"/>
      <c r="C297" s="17" t="n"/>
      <c r="D297" s="10" t="n"/>
      <c r="E297" s="10" t="n"/>
      <c r="F297" s="17" t="n"/>
      <c r="G297" s="19" t="n"/>
      <c r="H297" s="16" t="n"/>
      <c r="I297" s="16" t="n"/>
      <c r="J297" s="16" t="n"/>
      <c r="K297" s="26" t="n"/>
      <c r="L297" s="26" t="n"/>
      <c r="M297" s="16" t="n"/>
      <c r="N297" s="9" t="n"/>
      <c r="O297" s="16" t="n"/>
      <c r="P297" s="16" t="n"/>
      <c r="Q297" s="24" t="n"/>
      <c r="R297" s="17" t="n"/>
      <c r="S297" s="17" t="n"/>
      <c r="T297" s="27" t="n"/>
      <c r="U297" s="27" t="n"/>
      <c r="V297" s="10" t="n"/>
    </row>
    <row r="298">
      <c r="A298" s="16" t="n"/>
      <c r="B298" s="17" t="n"/>
      <c r="C298" s="17" t="n"/>
      <c r="D298" s="10" t="n"/>
      <c r="E298" s="10" t="n"/>
      <c r="F298" s="17" t="n"/>
      <c r="G298" s="19" t="n"/>
      <c r="H298" s="16" t="n"/>
      <c r="I298" s="16" t="n"/>
      <c r="J298" s="16" t="n"/>
      <c r="K298" s="26" t="n"/>
      <c r="L298" s="26" t="n"/>
      <c r="M298" s="16" t="n"/>
      <c r="N298" s="9" t="n"/>
      <c r="O298" s="16" t="n"/>
      <c r="P298" s="16" t="n"/>
      <c r="Q298" s="24" t="n"/>
      <c r="R298" s="17" t="n"/>
      <c r="S298" s="17" t="n"/>
      <c r="T298" s="27" t="n"/>
      <c r="U298" s="27" t="n"/>
      <c r="V298" s="10" t="n"/>
    </row>
    <row r="299">
      <c r="A299" s="16" t="n"/>
      <c r="B299" s="17" t="n"/>
      <c r="C299" s="17" t="n"/>
      <c r="D299" s="10" t="n"/>
      <c r="E299" s="10" t="n"/>
      <c r="F299" s="17" t="n"/>
      <c r="G299" s="19" t="n"/>
      <c r="H299" s="16" t="n"/>
      <c r="I299" s="16" t="n"/>
      <c r="J299" s="16" t="n"/>
      <c r="K299" s="26" t="n"/>
      <c r="L299" s="26" t="n"/>
      <c r="M299" s="16" t="n"/>
      <c r="N299" s="9" t="n"/>
      <c r="O299" s="16" t="n"/>
      <c r="P299" s="16" t="n"/>
      <c r="Q299" s="24" t="n"/>
      <c r="R299" s="17" t="n"/>
      <c r="S299" s="17" t="n"/>
      <c r="T299" s="27" t="n"/>
      <c r="U299" s="27" t="n"/>
      <c r="V299" s="10" t="n"/>
    </row>
    <row r="300">
      <c r="A300" s="16" t="n"/>
      <c r="B300" s="17" t="n"/>
      <c r="C300" s="17" t="n"/>
      <c r="D300" s="10" t="n"/>
      <c r="E300" s="10" t="n"/>
      <c r="F300" s="17" t="n"/>
      <c r="G300" s="19" t="n"/>
      <c r="H300" s="16" t="n"/>
      <c r="I300" s="16" t="n"/>
      <c r="J300" s="16" t="n"/>
      <c r="K300" s="26" t="n"/>
      <c r="L300" s="26" t="n"/>
      <c r="M300" s="16" t="n"/>
      <c r="N300" s="9" t="n"/>
      <c r="O300" s="16" t="n"/>
      <c r="P300" s="16" t="n"/>
      <c r="Q300" s="24" t="n"/>
      <c r="R300" s="17" t="n"/>
      <c r="S300" s="17" t="n"/>
      <c r="T300" s="27" t="n"/>
      <c r="U300" s="27" t="n"/>
      <c r="V300" s="10" t="n"/>
    </row>
    <row r="301">
      <c r="A301" s="16" t="n"/>
      <c r="B301" s="17" t="n"/>
      <c r="C301" s="17" t="n"/>
      <c r="D301" s="10" t="n"/>
      <c r="E301" s="10" t="n"/>
      <c r="F301" s="17" t="n"/>
      <c r="G301" s="19" t="n"/>
      <c r="H301" s="16" t="n"/>
      <c r="I301" s="16" t="n"/>
      <c r="J301" s="16" t="n"/>
      <c r="K301" s="26" t="n"/>
      <c r="L301" s="26" t="n"/>
      <c r="M301" s="16" t="n"/>
      <c r="N301" s="9" t="n"/>
      <c r="O301" s="16" t="n"/>
      <c r="P301" s="16" t="n"/>
      <c r="Q301" s="24" t="n"/>
      <c r="R301" s="17" t="n"/>
      <c r="S301" s="17" t="n"/>
      <c r="T301" s="27" t="n"/>
      <c r="U301" s="27" t="n"/>
      <c r="V301" s="10" t="n"/>
    </row>
    <row r="302">
      <c r="A302" s="16" t="n"/>
      <c r="B302" s="17" t="n"/>
      <c r="C302" s="17" t="n"/>
      <c r="D302" s="10" t="n"/>
      <c r="E302" s="10" t="n"/>
      <c r="F302" s="17" t="n"/>
      <c r="G302" s="19" t="n"/>
      <c r="H302" s="16" t="n"/>
      <c r="I302" s="16" t="n"/>
      <c r="J302" s="16" t="n"/>
      <c r="K302" s="26" t="n"/>
      <c r="L302" s="26" t="n"/>
      <c r="M302" s="16" t="n"/>
      <c r="N302" s="9" t="n"/>
      <c r="O302" s="16" t="n"/>
      <c r="P302" s="16" t="n"/>
      <c r="Q302" s="24" t="n"/>
      <c r="R302" s="17" t="n"/>
      <c r="S302" s="17" t="n"/>
      <c r="T302" s="27" t="n"/>
      <c r="U302" s="27" t="n"/>
      <c r="V302" s="10" t="n"/>
    </row>
    <row r="303">
      <c r="A303" s="16" t="n"/>
      <c r="B303" s="17" t="n"/>
      <c r="C303" s="17" t="n"/>
      <c r="D303" s="10" t="n"/>
      <c r="E303" s="10" t="n"/>
      <c r="F303" s="17" t="n"/>
      <c r="G303" s="19" t="n"/>
      <c r="H303" s="16" t="n"/>
      <c r="I303" s="16" t="n"/>
      <c r="J303" s="16" t="n"/>
      <c r="K303" s="26" t="n"/>
      <c r="L303" s="26" t="n"/>
      <c r="M303" s="16" t="n"/>
      <c r="N303" s="9" t="n"/>
      <c r="O303" s="16" t="n"/>
      <c r="P303" s="16" t="n"/>
      <c r="Q303" s="24" t="n"/>
      <c r="R303" s="17" t="n"/>
      <c r="S303" s="17" t="n"/>
      <c r="T303" s="27" t="n"/>
      <c r="U303" s="27" t="n"/>
      <c r="V303" s="10" t="n"/>
    </row>
    <row r="304">
      <c r="A304" s="16" t="n"/>
      <c r="B304" s="17" t="n"/>
      <c r="C304" s="17" t="n"/>
      <c r="D304" s="10" t="n"/>
      <c r="E304" s="10" t="n"/>
      <c r="F304" s="17" t="n"/>
      <c r="G304" s="19" t="n"/>
      <c r="H304" s="16" t="n"/>
      <c r="I304" s="16" t="n"/>
      <c r="J304" s="16" t="n"/>
      <c r="K304" s="26" t="n"/>
      <c r="L304" s="26" t="n"/>
      <c r="M304" s="16" t="n"/>
      <c r="N304" s="9" t="n"/>
      <c r="O304" s="16" t="n"/>
      <c r="P304" s="16" t="n"/>
      <c r="Q304" s="24" t="n"/>
      <c r="R304" s="17" t="n"/>
      <c r="S304" s="17" t="n"/>
      <c r="T304" s="27" t="n"/>
      <c r="U304" s="27" t="n"/>
      <c r="V304" s="10" t="n"/>
    </row>
    <row r="305">
      <c r="A305" s="16" t="n"/>
      <c r="B305" s="17" t="n"/>
      <c r="C305" s="17" t="n"/>
      <c r="D305" s="10" t="n"/>
      <c r="E305" s="10" t="n"/>
      <c r="F305" s="17" t="n"/>
      <c r="G305" s="19" t="n"/>
      <c r="H305" s="16" t="n"/>
      <c r="I305" s="16" t="n"/>
      <c r="J305" s="16" t="n"/>
      <c r="K305" s="26" t="n"/>
      <c r="L305" s="26" t="n"/>
      <c r="M305" s="16" t="n"/>
      <c r="N305" s="9" t="n"/>
      <c r="O305" s="16" t="n"/>
      <c r="P305" s="16" t="n"/>
      <c r="Q305" s="24" t="n"/>
      <c r="R305" s="17" t="n"/>
      <c r="S305" s="17" t="n"/>
      <c r="T305" s="27" t="n"/>
      <c r="U305" s="27" t="n"/>
      <c r="V305" s="1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V305"/>
  <mergeCells count="1">
    <mergeCell ref="A2:V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3">
    <dataValidation sqref="B6:B306" showDropDown="0" showInputMessage="0" showErrorMessage="0" allowBlank="1" errorTitle="Invalid value" error="Pick a value from the list." type="list">
      <formula1>=Lists!$U$2:$U$1000</formula1>
    </dataValidation>
    <dataValidation sqref="F6:F306" showDropDown="0" showInputMessage="0" showErrorMessage="1" allowBlank="1" errorTitle="Invalid value" error="Pick a value from the list." type="list">
      <formula1>=Lists!$S$2:$S$1000</formula1>
    </dataValidation>
    <dataValidation sqref="R6:R306" showDropDown="0" showInputMessage="0" showErrorMessage="1" allowBlank="1" errorTitle="Invalid value" error="Pick a value from the list." type="list">
      <formula1>=Lists!$B$2:$B$60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Z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36" customWidth="1" min="4" max="4"/>
    <col width="8" customWidth="1" min="5" max="5"/>
    <col width="10" customWidth="1" min="6" max="6"/>
    <col width="6" customWidth="1" min="7" max="7"/>
    <col width="12" customWidth="1" min="8" max="8"/>
    <col width="14" customWidth="1" min="9" max="9"/>
    <col width="16" customWidth="1" min="10" max="10"/>
    <col width="12" customWidth="1" min="11" max="11"/>
    <col width="9" customWidth="1" min="12" max="12"/>
    <col width="12" customWidth="1" min="13" max="13"/>
    <col width="12" customWidth="1" min="14" max="14"/>
    <col width="9" customWidth="1" min="15" max="15"/>
    <col width="16" customWidth="1" min="16" max="16"/>
    <col width="22" customWidth="1" min="17" max="17"/>
    <col width="28" customWidth="1" min="18" max="18"/>
    <col width="9" customWidth="1" min="19" max="19"/>
    <col width="9" customWidth="1" min="20" max="20"/>
    <col width="9" customWidth="1" min="21" max="21"/>
    <col width="12" customWidth="1" min="22" max="22"/>
    <col width="10" customWidth="1" min="23" max="23"/>
    <col width="16" customWidth="1" min="24" max="24"/>
    <col width="10" customWidth="1" min="25" max="25"/>
    <col width="24" customWidth="1" min="26" max="26"/>
  </cols>
  <sheetData>
    <row r="1">
      <c r="A1" s="4" t="inlineStr">
        <is>
          <t>Assembly Library (one row per assembly line)</t>
        </is>
      </c>
    </row>
    <row r="2" ht="48" customHeight="1">
      <c r="A2" s="3" t="inlineStr">
        <is>
          <t>Assemblies are versioned; approved versions are immutable. Edits are imported as a NEW draft version for review. Waste: set ONE basis only (factor already includes waste, or fixed %, or assumption reference). Labour needs an explicit productivity basis.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assembly_code</t>
        </is>
      </c>
      <c r="B4" t="inlineStr">
        <is>
          <t>version</t>
        </is>
      </c>
      <c r="C4" t="inlineStr">
        <is>
          <t>status</t>
        </is>
      </c>
      <c r="D4" t="inlineStr">
        <is>
          <t>description</t>
        </is>
      </c>
      <c r="E4" t="inlineStr">
        <is>
          <t>unit</t>
        </is>
      </c>
      <c r="F4" t="inlineStr">
        <is>
          <t>cost_code</t>
        </is>
      </c>
      <c r="G4" t="inlineStr">
        <is>
          <t>line_no</t>
        </is>
      </c>
      <c r="H4" t="inlineStr">
        <is>
          <t>line_type</t>
        </is>
      </c>
      <c r="I4" t="inlineStr">
        <is>
          <t>resource_id</t>
        </is>
      </c>
      <c r="J4" t="inlineStr">
        <is>
          <t>child_assembly_code</t>
        </is>
      </c>
      <c r="K4" t="inlineStr">
        <is>
          <t>factor</t>
        </is>
      </c>
      <c r="L4" t="inlineStr">
        <is>
          <t>factor_unit</t>
        </is>
      </c>
      <c r="M4" t="inlineStr">
        <is>
          <t>factor_includes_waste</t>
        </is>
      </c>
      <c r="N4" t="inlineStr">
        <is>
          <t>waste_basis</t>
        </is>
      </c>
      <c r="O4" t="inlineStr">
        <is>
          <t>waste_value</t>
        </is>
      </c>
      <c r="P4" t="inlineStr">
        <is>
          <t>waste_ref</t>
        </is>
      </c>
      <c r="Q4" t="inlineStr">
        <is>
          <t>productivity_basis</t>
        </is>
      </c>
      <c r="R4" t="inlineStr">
        <is>
          <t>crew</t>
        </is>
      </c>
      <c r="S4" t="inlineStr">
        <is>
          <t>includes_labour</t>
        </is>
      </c>
      <c r="T4" t="inlineStr">
        <is>
          <t>includes_material</t>
        </is>
      </c>
      <c r="U4" t="inlineStr">
        <is>
          <t>includes_plant</t>
        </is>
      </c>
      <c r="V4" t="inlineStr">
        <is>
          <t>utilisation_basis</t>
        </is>
      </c>
      <c r="W4" t="inlineStr">
        <is>
          <t>utilisation_value</t>
        </is>
      </c>
      <c r="X4" t="inlineStr">
        <is>
          <t>utilisation_ref</t>
        </is>
      </c>
      <c r="Y4" t="inlineStr">
        <is>
          <t>confidence</t>
        </is>
      </c>
      <c r="Z4" t="inlineStr">
        <is>
          <t>source</t>
        </is>
      </c>
    </row>
    <row r="5" ht="34" customHeight="1">
      <c r="A5" s="15" t="inlineStr">
        <is>
          <t>Assembly code</t>
        </is>
      </c>
      <c r="B5" s="15" t="inlineStr">
        <is>
          <t>Version</t>
        </is>
      </c>
      <c r="C5" s="15" t="inlineStr">
        <is>
          <t>Status</t>
        </is>
      </c>
      <c r="D5" s="15" t="inlineStr">
        <is>
          <t>Assembly description</t>
        </is>
      </c>
      <c r="E5" s="15" t="inlineStr">
        <is>
          <t>Unit</t>
        </is>
      </c>
      <c r="F5" s="15" t="inlineStr">
        <is>
          <t>Cost code</t>
        </is>
      </c>
      <c r="G5" s="15" t="inlineStr">
        <is>
          <t>Line</t>
        </is>
      </c>
      <c r="H5" s="15" t="inlineStr">
        <is>
          <t>Line type</t>
        </is>
      </c>
      <c r="I5" s="15" t="inlineStr">
        <is>
          <t>Resource ID</t>
        </is>
      </c>
      <c r="J5" s="15" t="inlineStr">
        <is>
          <t>Nested assembly</t>
        </is>
      </c>
      <c r="K5" s="15" t="inlineStr">
        <is>
          <t>Factor / output</t>
        </is>
      </c>
      <c r="L5" s="15" t="inlineStr">
        <is>
          <t>Factor unit</t>
        </is>
      </c>
      <c r="M5" s="15" t="inlineStr">
        <is>
          <t>Factor incl. waste (1/0)</t>
        </is>
      </c>
      <c r="N5" s="15" t="inlineStr">
        <is>
          <t>Waste basis</t>
        </is>
      </c>
      <c r="O5" s="15" t="inlineStr">
        <is>
          <t>Waste %</t>
        </is>
      </c>
      <c r="P5" s="15" t="inlineStr">
        <is>
          <t>Waste assumption ID</t>
        </is>
      </c>
      <c r="Q5" s="15" t="inlineStr">
        <is>
          <t>Productivity basis</t>
        </is>
      </c>
      <c r="R5" s="15" t="inlineStr">
        <is>
          <t>Crew (resource:count;...)</t>
        </is>
      </c>
      <c r="S5" s="15" t="inlineStr">
        <is>
          <t>Sub incl. labour</t>
        </is>
      </c>
      <c r="T5" s="15" t="inlineStr">
        <is>
          <t>Sub incl. material</t>
        </is>
      </c>
      <c r="U5" s="15" t="inlineStr">
        <is>
          <t>Sub incl. plant</t>
        </is>
      </c>
      <c r="V5" s="15" t="inlineStr">
        <is>
          <t>Utilisation basis</t>
        </is>
      </c>
      <c r="W5" s="15" t="inlineStr">
        <is>
          <t>Utilisation %</t>
        </is>
      </c>
      <c r="X5" s="15" t="inlineStr">
        <is>
          <t>Utilisation assumption</t>
        </is>
      </c>
      <c r="Y5" s="15" t="inlineStr">
        <is>
          <t>Confidence</t>
        </is>
      </c>
      <c r="Z5" s="15" t="inlineStr">
        <is>
          <t>Source</t>
        </is>
      </c>
    </row>
    <row r="6">
      <c r="A6" s="17" t="n"/>
      <c r="B6" s="16" t="n"/>
      <c r="C6" s="16" t="n"/>
      <c r="D6" s="10" t="n"/>
      <c r="E6" s="17" t="n"/>
      <c r="F6" s="17" t="n"/>
      <c r="G6" s="16" t="n"/>
      <c r="H6" s="17" t="n"/>
      <c r="I6" s="17" t="n"/>
      <c r="J6" s="17" t="n"/>
      <c r="K6" s="23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6" t="n"/>
      <c r="Z6" s="16" t="n"/>
    </row>
    <row r="7">
      <c r="A7" s="17" t="n"/>
      <c r="B7" s="16" t="n"/>
      <c r="C7" s="16" t="n"/>
      <c r="D7" s="10" t="n"/>
      <c r="E7" s="17" t="n"/>
      <c r="F7" s="17" t="n"/>
      <c r="G7" s="16" t="n"/>
      <c r="H7" s="17" t="n"/>
      <c r="I7" s="17" t="n"/>
      <c r="J7" s="17" t="n"/>
      <c r="K7" s="23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6" t="n"/>
      <c r="Z7" s="16" t="n"/>
    </row>
    <row r="8">
      <c r="A8" s="17" t="n"/>
      <c r="B8" s="16" t="n"/>
      <c r="C8" s="16" t="n"/>
      <c r="D8" s="10" t="n"/>
      <c r="E8" s="17" t="n"/>
      <c r="F8" s="17" t="n"/>
      <c r="G8" s="16" t="n"/>
      <c r="H8" s="17" t="n"/>
      <c r="I8" s="17" t="n"/>
      <c r="J8" s="17" t="n"/>
      <c r="K8" s="23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6" t="n"/>
      <c r="Z8" s="16" t="n"/>
    </row>
    <row r="9">
      <c r="A9" s="17" t="n"/>
      <c r="B9" s="16" t="n"/>
      <c r="C9" s="16" t="n"/>
      <c r="D9" s="10" t="n"/>
      <c r="E9" s="17" t="n"/>
      <c r="F9" s="17" t="n"/>
      <c r="G9" s="16" t="n"/>
      <c r="H9" s="17" t="n"/>
      <c r="I9" s="17" t="n"/>
      <c r="J9" s="17" t="n"/>
      <c r="K9" s="23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6" t="n"/>
      <c r="Z9" s="16" t="n"/>
    </row>
    <row r="10">
      <c r="A10" s="17" t="n"/>
      <c r="B10" s="16" t="n"/>
      <c r="C10" s="16" t="n"/>
      <c r="D10" s="10" t="n"/>
      <c r="E10" s="17" t="n"/>
      <c r="F10" s="17" t="n"/>
      <c r="G10" s="16" t="n"/>
      <c r="H10" s="17" t="n"/>
      <c r="I10" s="17" t="n"/>
      <c r="J10" s="17" t="n"/>
      <c r="K10" s="23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6" t="n"/>
      <c r="Z10" s="16" t="n"/>
    </row>
    <row r="11">
      <c r="A11" s="17" t="n"/>
      <c r="B11" s="16" t="n"/>
      <c r="C11" s="16" t="n"/>
      <c r="D11" s="10" t="n"/>
      <c r="E11" s="17" t="n"/>
      <c r="F11" s="17" t="n"/>
      <c r="G11" s="16" t="n"/>
      <c r="H11" s="17" t="n"/>
      <c r="I11" s="17" t="n"/>
      <c r="J11" s="17" t="n"/>
      <c r="K11" s="23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6" t="n"/>
      <c r="Z11" s="16" t="n"/>
    </row>
    <row r="12">
      <c r="A12" s="17" t="n"/>
      <c r="B12" s="16" t="n"/>
      <c r="C12" s="16" t="n"/>
      <c r="D12" s="10" t="n"/>
      <c r="E12" s="17" t="n"/>
      <c r="F12" s="17" t="n"/>
      <c r="G12" s="16" t="n"/>
      <c r="H12" s="17" t="n"/>
      <c r="I12" s="17" t="n"/>
      <c r="J12" s="17" t="n"/>
      <c r="K12" s="23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6" t="n"/>
      <c r="Z12" s="16" t="n"/>
    </row>
    <row r="13">
      <c r="A13" s="17" t="n"/>
      <c r="B13" s="16" t="n"/>
      <c r="C13" s="16" t="n"/>
      <c r="D13" s="10" t="n"/>
      <c r="E13" s="17" t="n"/>
      <c r="F13" s="17" t="n"/>
      <c r="G13" s="16" t="n"/>
      <c r="H13" s="17" t="n"/>
      <c r="I13" s="17" t="n"/>
      <c r="J13" s="17" t="n"/>
      <c r="K13" s="23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6" t="n"/>
      <c r="Z13" s="16" t="n"/>
    </row>
    <row r="14">
      <c r="A14" s="17" t="n"/>
      <c r="B14" s="16" t="n"/>
      <c r="C14" s="16" t="n"/>
      <c r="D14" s="10" t="n"/>
      <c r="E14" s="17" t="n"/>
      <c r="F14" s="17" t="n"/>
      <c r="G14" s="16" t="n"/>
      <c r="H14" s="17" t="n"/>
      <c r="I14" s="17" t="n"/>
      <c r="J14" s="17" t="n"/>
      <c r="K14" s="23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6" t="n"/>
      <c r="Z14" s="16" t="n"/>
    </row>
    <row r="15">
      <c r="A15" s="17" t="n"/>
      <c r="B15" s="16" t="n"/>
      <c r="C15" s="16" t="n"/>
      <c r="D15" s="10" t="n"/>
      <c r="E15" s="17" t="n"/>
      <c r="F15" s="17" t="n"/>
      <c r="G15" s="16" t="n"/>
      <c r="H15" s="17" t="n"/>
      <c r="I15" s="17" t="n"/>
      <c r="J15" s="17" t="n"/>
      <c r="K15" s="23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6" t="n"/>
      <c r="Z15" s="16" t="n"/>
    </row>
    <row r="16">
      <c r="A16" s="17" t="n"/>
      <c r="B16" s="16" t="n"/>
      <c r="C16" s="16" t="n"/>
      <c r="D16" s="10" t="n"/>
      <c r="E16" s="17" t="n"/>
      <c r="F16" s="17" t="n"/>
      <c r="G16" s="16" t="n"/>
      <c r="H16" s="17" t="n"/>
      <c r="I16" s="17" t="n"/>
      <c r="J16" s="17" t="n"/>
      <c r="K16" s="23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6" t="n"/>
      <c r="Z16" s="16" t="n"/>
    </row>
    <row r="17">
      <c r="A17" s="17" t="n"/>
      <c r="B17" s="16" t="n"/>
      <c r="C17" s="16" t="n"/>
      <c r="D17" s="10" t="n"/>
      <c r="E17" s="17" t="n"/>
      <c r="F17" s="17" t="n"/>
      <c r="G17" s="16" t="n"/>
      <c r="H17" s="17" t="n"/>
      <c r="I17" s="17" t="n"/>
      <c r="J17" s="17" t="n"/>
      <c r="K17" s="23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6" t="n"/>
      <c r="Z17" s="16" t="n"/>
    </row>
    <row r="18">
      <c r="A18" s="17" t="n"/>
      <c r="B18" s="16" t="n"/>
      <c r="C18" s="16" t="n"/>
      <c r="D18" s="10" t="n"/>
      <c r="E18" s="17" t="n"/>
      <c r="F18" s="17" t="n"/>
      <c r="G18" s="16" t="n"/>
      <c r="H18" s="17" t="n"/>
      <c r="I18" s="17" t="n"/>
      <c r="J18" s="17" t="n"/>
      <c r="K18" s="23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6" t="n"/>
      <c r="Z18" s="16" t="n"/>
    </row>
    <row r="19">
      <c r="A19" s="17" t="n"/>
      <c r="B19" s="16" t="n"/>
      <c r="C19" s="16" t="n"/>
      <c r="D19" s="10" t="n"/>
      <c r="E19" s="17" t="n"/>
      <c r="F19" s="17" t="n"/>
      <c r="G19" s="16" t="n"/>
      <c r="H19" s="17" t="n"/>
      <c r="I19" s="17" t="n"/>
      <c r="J19" s="17" t="n"/>
      <c r="K19" s="23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6" t="n"/>
      <c r="Z19" s="16" t="n"/>
    </row>
    <row r="20">
      <c r="A20" s="17" t="n"/>
      <c r="B20" s="16" t="n"/>
      <c r="C20" s="16" t="n"/>
      <c r="D20" s="10" t="n"/>
      <c r="E20" s="17" t="n"/>
      <c r="F20" s="17" t="n"/>
      <c r="G20" s="16" t="n"/>
      <c r="H20" s="17" t="n"/>
      <c r="I20" s="17" t="n"/>
      <c r="J20" s="17" t="n"/>
      <c r="K20" s="23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6" t="n"/>
      <c r="Z20" s="16" t="n"/>
    </row>
    <row r="21">
      <c r="A21" s="17" t="n"/>
      <c r="B21" s="16" t="n"/>
      <c r="C21" s="16" t="n"/>
      <c r="D21" s="10" t="n"/>
      <c r="E21" s="17" t="n"/>
      <c r="F21" s="17" t="n"/>
      <c r="G21" s="16" t="n"/>
      <c r="H21" s="17" t="n"/>
      <c r="I21" s="17" t="n"/>
      <c r="J21" s="17" t="n"/>
      <c r="K21" s="23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6" t="n"/>
      <c r="Z21" s="16" t="n"/>
    </row>
    <row r="22">
      <c r="A22" s="17" t="n"/>
      <c r="B22" s="16" t="n"/>
      <c r="C22" s="16" t="n"/>
      <c r="D22" s="10" t="n"/>
      <c r="E22" s="17" t="n"/>
      <c r="F22" s="17" t="n"/>
      <c r="G22" s="16" t="n"/>
      <c r="H22" s="17" t="n"/>
      <c r="I22" s="17" t="n"/>
      <c r="J22" s="17" t="n"/>
      <c r="K22" s="23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6" t="n"/>
      <c r="Z22" s="16" t="n"/>
    </row>
    <row r="23">
      <c r="A23" s="17" t="n"/>
      <c r="B23" s="16" t="n"/>
      <c r="C23" s="16" t="n"/>
      <c r="D23" s="10" t="n"/>
      <c r="E23" s="17" t="n"/>
      <c r="F23" s="17" t="n"/>
      <c r="G23" s="16" t="n"/>
      <c r="H23" s="17" t="n"/>
      <c r="I23" s="17" t="n"/>
      <c r="J23" s="17" t="n"/>
      <c r="K23" s="23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6" t="n"/>
      <c r="Z23" s="16" t="n"/>
    </row>
    <row r="24">
      <c r="A24" s="17" t="n"/>
      <c r="B24" s="16" t="n"/>
      <c r="C24" s="16" t="n"/>
      <c r="D24" s="10" t="n"/>
      <c r="E24" s="17" t="n"/>
      <c r="F24" s="17" t="n"/>
      <c r="G24" s="16" t="n"/>
      <c r="H24" s="17" t="n"/>
      <c r="I24" s="17" t="n"/>
      <c r="J24" s="17" t="n"/>
      <c r="K24" s="23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6" t="n"/>
      <c r="Z24" s="16" t="n"/>
    </row>
    <row r="25">
      <c r="A25" s="17" t="n"/>
      <c r="B25" s="16" t="n"/>
      <c r="C25" s="16" t="n"/>
      <c r="D25" s="10" t="n"/>
      <c r="E25" s="17" t="n"/>
      <c r="F25" s="17" t="n"/>
      <c r="G25" s="16" t="n"/>
      <c r="H25" s="17" t="n"/>
      <c r="I25" s="17" t="n"/>
      <c r="J25" s="17" t="n"/>
      <c r="K25" s="23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6" t="n"/>
      <c r="Z25" s="16" t="n"/>
    </row>
    <row r="26">
      <c r="A26" s="17" t="n"/>
      <c r="B26" s="16" t="n"/>
      <c r="C26" s="16" t="n"/>
      <c r="D26" s="10" t="n"/>
      <c r="E26" s="17" t="n"/>
      <c r="F26" s="17" t="n"/>
      <c r="G26" s="16" t="n"/>
      <c r="H26" s="17" t="n"/>
      <c r="I26" s="17" t="n"/>
      <c r="J26" s="17" t="n"/>
      <c r="K26" s="23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6" t="n"/>
      <c r="Z26" s="16" t="n"/>
    </row>
    <row r="27">
      <c r="A27" s="17" t="n"/>
      <c r="B27" s="16" t="n"/>
      <c r="C27" s="16" t="n"/>
      <c r="D27" s="10" t="n"/>
      <c r="E27" s="17" t="n"/>
      <c r="F27" s="17" t="n"/>
      <c r="G27" s="16" t="n"/>
      <c r="H27" s="17" t="n"/>
      <c r="I27" s="17" t="n"/>
      <c r="J27" s="17" t="n"/>
      <c r="K27" s="23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6" t="n"/>
      <c r="Z27" s="16" t="n"/>
    </row>
    <row r="28">
      <c r="A28" s="17" t="n"/>
      <c r="B28" s="16" t="n"/>
      <c r="C28" s="16" t="n"/>
      <c r="D28" s="10" t="n"/>
      <c r="E28" s="17" t="n"/>
      <c r="F28" s="17" t="n"/>
      <c r="G28" s="16" t="n"/>
      <c r="H28" s="17" t="n"/>
      <c r="I28" s="17" t="n"/>
      <c r="J28" s="17" t="n"/>
      <c r="K28" s="23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6" t="n"/>
      <c r="Z28" s="16" t="n"/>
    </row>
    <row r="29">
      <c r="A29" s="17" t="n"/>
      <c r="B29" s="16" t="n"/>
      <c r="C29" s="16" t="n"/>
      <c r="D29" s="10" t="n"/>
      <c r="E29" s="17" t="n"/>
      <c r="F29" s="17" t="n"/>
      <c r="G29" s="16" t="n"/>
      <c r="H29" s="17" t="n"/>
      <c r="I29" s="17" t="n"/>
      <c r="J29" s="17" t="n"/>
      <c r="K29" s="23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6" t="n"/>
      <c r="Z29" s="16" t="n"/>
    </row>
    <row r="30">
      <c r="A30" s="17" t="n"/>
      <c r="B30" s="16" t="n"/>
      <c r="C30" s="16" t="n"/>
      <c r="D30" s="10" t="n"/>
      <c r="E30" s="17" t="n"/>
      <c r="F30" s="17" t="n"/>
      <c r="G30" s="16" t="n"/>
      <c r="H30" s="17" t="n"/>
      <c r="I30" s="17" t="n"/>
      <c r="J30" s="17" t="n"/>
      <c r="K30" s="23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6" t="n"/>
      <c r="Z30" s="16" t="n"/>
    </row>
    <row r="31">
      <c r="A31" s="17" t="n"/>
      <c r="B31" s="16" t="n"/>
      <c r="C31" s="16" t="n"/>
      <c r="D31" s="10" t="n"/>
      <c r="E31" s="17" t="n"/>
      <c r="F31" s="17" t="n"/>
      <c r="G31" s="16" t="n"/>
      <c r="H31" s="17" t="n"/>
      <c r="I31" s="17" t="n"/>
      <c r="J31" s="17" t="n"/>
      <c r="K31" s="23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6" t="n"/>
      <c r="Z31" s="16" t="n"/>
    </row>
    <row r="32">
      <c r="A32" s="17" t="n"/>
      <c r="B32" s="16" t="n"/>
      <c r="C32" s="16" t="n"/>
      <c r="D32" s="10" t="n"/>
      <c r="E32" s="17" t="n"/>
      <c r="F32" s="17" t="n"/>
      <c r="G32" s="16" t="n"/>
      <c r="H32" s="17" t="n"/>
      <c r="I32" s="17" t="n"/>
      <c r="J32" s="17" t="n"/>
      <c r="K32" s="23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6" t="n"/>
      <c r="Z32" s="16" t="n"/>
    </row>
    <row r="33">
      <c r="A33" s="17" t="n"/>
      <c r="B33" s="16" t="n"/>
      <c r="C33" s="16" t="n"/>
      <c r="D33" s="10" t="n"/>
      <c r="E33" s="17" t="n"/>
      <c r="F33" s="17" t="n"/>
      <c r="G33" s="16" t="n"/>
      <c r="H33" s="17" t="n"/>
      <c r="I33" s="17" t="n"/>
      <c r="J33" s="17" t="n"/>
      <c r="K33" s="23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6" t="n"/>
      <c r="Z33" s="16" t="n"/>
    </row>
    <row r="34">
      <c r="A34" s="17" t="n"/>
      <c r="B34" s="16" t="n"/>
      <c r="C34" s="16" t="n"/>
      <c r="D34" s="10" t="n"/>
      <c r="E34" s="17" t="n"/>
      <c r="F34" s="17" t="n"/>
      <c r="G34" s="16" t="n"/>
      <c r="H34" s="17" t="n"/>
      <c r="I34" s="17" t="n"/>
      <c r="J34" s="17" t="n"/>
      <c r="K34" s="23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6" t="n"/>
      <c r="Z34" s="16" t="n"/>
    </row>
    <row r="35">
      <c r="A35" s="17" t="n"/>
      <c r="B35" s="16" t="n"/>
      <c r="C35" s="16" t="n"/>
      <c r="D35" s="10" t="n"/>
      <c r="E35" s="17" t="n"/>
      <c r="F35" s="17" t="n"/>
      <c r="G35" s="16" t="n"/>
      <c r="H35" s="17" t="n"/>
      <c r="I35" s="17" t="n"/>
      <c r="J35" s="17" t="n"/>
      <c r="K35" s="23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6" t="n"/>
      <c r="Z35" s="16" t="n"/>
    </row>
    <row r="36">
      <c r="A36" s="17" t="n"/>
      <c r="B36" s="16" t="n"/>
      <c r="C36" s="16" t="n"/>
      <c r="D36" s="10" t="n"/>
      <c r="E36" s="17" t="n"/>
      <c r="F36" s="17" t="n"/>
      <c r="G36" s="16" t="n"/>
      <c r="H36" s="17" t="n"/>
      <c r="I36" s="17" t="n"/>
      <c r="J36" s="17" t="n"/>
      <c r="K36" s="23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6" t="n"/>
      <c r="Z36" s="16" t="n"/>
    </row>
    <row r="37">
      <c r="A37" s="17" t="n"/>
      <c r="B37" s="16" t="n"/>
      <c r="C37" s="16" t="n"/>
      <c r="D37" s="10" t="n"/>
      <c r="E37" s="17" t="n"/>
      <c r="F37" s="17" t="n"/>
      <c r="G37" s="16" t="n"/>
      <c r="H37" s="17" t="n"/>
      <c r="I37" s="17" t="n"/>
      <c r="J37" s="17" t="n"/>
      <c r="K37" s="23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6" t="n"/>
      <c r="Z37" s="16" t="n"/>
    </row>
    <row r="38">
      <c r="A38" s="17" t="n"/>
      <c r="B38" s="16" t="n"/>
      <c r="C38" s="16" t="n"/>
      <c r="D38" s="10" t="n"/>
      <c r="E38" s="17" t="n"/>
      <c r="F38" s="17" t="n"/>
      <c r="G38" s="16" t="n"/>
      <c r="H38" s="17" t="n"/>
      <c r="I38" s="17" t="n"/>
      <c r="J38" s="17" t="n"/>
      <c r="K38" s="23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6" t="n"/>
      <c r="Z38" s="16" t="n"/>
    </row>
    <row r="39">
      <c r="A39" s="17" t="n"/>
      <c r="B39" s="16" t="n"/>
      <c r="C39" s="16" t="n"/>
      <c r="D39" s="10" t="n"/>
      <c r="E39" s="17" t="n"/>
      <c r="F39" s="17" t="n"/>
      <c r="G39" s="16" t="n"/>
      <c r="H39" s="17" t="n"/>
      <c r="I39" s="17" t="n"/>
      <c r="J39" s="17" t="n"/>
      <c r="K39" s="23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6" t="n"/>
      <c r="Z39" s="16" t="n"/>
    </row>
    <row r="40">
      <c r="A40" s="17" t="n"/>
      <c r="B40" s="16" t="n"/>
      <c r="C40" s="16" t="n"/>
      <c r="D40" s="10" t="n"/>
      <c r="E40" s="17" t="n"/>
      <c r="F40" s="17" t="n"/>
      <c r="G40" s="16" t="n"/>
      <c r="H40" s="17" t="n"/>
      <c r="I40" s="17" t="n"/>
      <c r="J40" s="17" t="n"/>
      <c r="K40" s="23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6" t="n"/>
      <c r="Z40" s="16" t="n"/>
    </row>
    <row r="41">
      <c r="A41" s="17" t="n"/>
      <c r="B41" s="16" t="n"/>
      <c r="C41" s="16" t="n"/>
      <c r="D41" s="10" t="n"/>
      <c r="E41" s="17" t="n"/>
      <c r="F41" s="17" t="n"/>
      <c r="G41" s="16" t="n"/>
      <c r="H41" s="17" t="n"/>
      <c r="I41" s="17" t="n"/>
      <c r="J41" s="17" t="n"/>
      <c r="K41" s="23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6" t="n"/>
      <c r="Z41" s="16" t="n"/>
    </row>
    <row r="42">
      <c r="A42" s="17" t="n"/>
      <c r="B42" s="16" t="n"/>
      <c r="C42" s="16" t="n"/>
      <c r="D42" s="10" t="n"/>
      <c r="E42" s="17" t="n"/>
      <c r="F42" s="17" t="n"/>
      <c r="G42" s="16" t="n"/>
      <c r="H42" s="17" t="n"/>
      <c r="I42" s="17" t="n"/>
      <c r="J42" s="17" t="n"/>
      <c r="K42" s="23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6" t="n"/>
      <c r="Z42" s="16" t="n"/>
    </row>
    <row r="43">
      <c r="A43" s="17" t="n"/>
      <c r="B43" s="16" t="n"/>
      <c r="C43" s="16" t="n"/>
      <c r="D43" s="10" t="n"/>
      <c r="E43" s="17" t="n"/>
      <c r="F43" s="17" t="n"/>
      <c r="G43" s="16" t="n"/>
      <c r="H43" s="17" t="n"/>
      <c r="I43" s="17" t="n"/>
      <c r="J43" s="17" t="n"/>
      <c r="K43" s="23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6" t="n"/>
      <c r="Z43" s="16" t="n"/>
    </row>
    <row r="44">
      <c r="A44" s="17" t="n"/>
      <c r="B44" s="16" t="n"/>
      <c r="C44" s="16" t="n"/>
      <c r="D44" s="10" t="n"/>
      <c r="E44" s="17" t="n"/>
      <c r="F44" s="17" t="n"/>
      <c r="G44" s="16" t="n"/>
      <c r="H44" s="17" t="n"/>
      <c r="I44" s="17" t="n"/>
      <c r="J44" s="17" t="n"/>
      <c r="K44" s="23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6" t="n"/>
      <c r="Z44" s="16" t="n"/>
    </row>
    <row r="45">
      <c r="A45" s="17" t="n"/>
      <c r="B45" s="16" t="n"/>
      <c r="C45" s="16" t="n"/>
      <c r="D45" s="10" t="n"/>
      <c r="E45" s="17" t="n"/>
      <c r="F45" s="17" t="n"/>
      <c r="G45" s="16" t="n"/>
      <c r="H45" s="17" t="n"/>
      <c r="I45" s="17" t="n"/>
      <c r="J45" s="17" t="n"/>
      <c r="K45" s="23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6" t="n"/>
      <c r="Z45" s="16" t="n"/>
    </row>
    <row r="46">
      <c r="A46" s="17" t="n"/>
      <c r="B46" s="16" t="n"/>
      <c r="C46" s="16" t="n"/>
      <c r="D46" s="10" t="n"/>
      <c r="E46" s="17" t="n"/>
      <c r="F46" s="17" t="n"/>
      <c r="G46" s="16" t="n"/>
      <c r="H46" s="17" t="n"/>
      <c r="I46" s="17" t="n"/>
      <c r="J46" s="17" t="n"/>
      <c r="K46" s="23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6" t="n"/>
      <c r="Z46" s="16" t="n"/>
    </row>
    <row r="47">
      <c r="A47" s="17" t="n"/>
      <c r="B47" s="16" t="n"/>
      <c r="C47" s="16" t="n"/>
      <c r="D47" s="10" t="n"/>
      <c r="E47" s="17" t="n"/>
      <c r="F47" s="17" t="n"/>
      <c r="G47" s="16" t="n"/>
      <c r="H47" s="17" t="n"/>
      <c r="I47" s="17" t="n"/>
      <c r="J47" s="17" t="n"/>
      <c r="K47" s="23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6" t="n"/>
      <c r="Z47" s="16" t="n"/>
    </row>
    <row r="48">
      <c r="A48" s="17" t="n"/>
      <c r="B48" s="16" t="n"/>
      <c r="C48" s="16" t="n"/>
      <c r="D48" s="10" t="n"/>
      <c r="E48" s="17" t="n"/>
      <c r="F48" s="17" t="n"/>
      <c r="G48" s="16" t="n"/>
      <c r="H48" s="17" t="n"/>
      <c r="I48" s="17" t="n"/>
      <c r="J48" s="17" t="n"/>
      <c r="K48" s="23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6" t="n"/>
      <c r="Z48" s="16" t="n"/>
    </row>
    <row r="49">
      <c r="A49" s="17" t="n"/>
      <c r="B49" s="16" t="n"/>
      <c r="C49" s="16" t="n"/>
      <c r="D49" s="10" t="n"/>
      <c r="E49" s="17" t="n"/>
      <c r="F49" s="17" t="n"/>
      <c r="G49" s="16" t="n"/>
      <c r="H49" s="17" t="n"/>
      <c r="I49" s="17" t="n"/>
      <c r="J49" s="17" t="n"/>
      <c r="K49" s="23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6" t="n"/>
      <c r="Z49" s="16" t="n"/>
    </row>
    <row r="50">
      <c r="A50" s="17" t="n"/>
      <c r="B50" s="16" t="n"/>
      <c r="C50" s="16" t="n"/>
      <c r="D50" s="10" t="n"/>
      <c r="E50" s="17" t="n"/>
      <c r="F50" s="17" t="n"/>
      <c r="G50" s="16" t="n"/>
      <c r="H50" s="17" t="n"/>
      <c r="I50" s="17" t="n"/>
      <c r="J50" s="17" t="n"/>
      <c r="K50" s="23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6" t="n"/>
      <c r="Z50" s="16" t="n"/>
    </row>
    <row r="51">
      <c r="A51" s="17" t="n"/>
      <c r="B51" s="16" t="n"/>
      <c r="C51" s="16" t="n"/>
      <c r="D51" s="10" t="n"/>
      <c r="E51" s="17" t="n"/>
      <c r="F51" s="17" t="n"/>
      <c r="G51" s="16" t="n"/>
      <c r="H51" s="17" t="n"/>
      <c r="I51" s="17" t="n"/>
      <c r="J51" s="17" t="n"/>
      <c r="K51" s="23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6" t="n"/>
      <c r="Z51" s="16" t="n"/>
    </row>
    <row r="52">
      <c r="A52" s="17" t="n"/>
      <c r="B52" s="16" t="n"/>
      <c r="C52" s="16" t="n"/>
      <c r="D52" s="10" t="n"/>
      <c r="E52" s="17" t="n"/>
      <c r="F52" s="17" t="n"/>
      <c r="G52" s="16" t="n"/>
      <c r="H52" s="17" t="n"/>
      <c r="I52" s="17" t="n"/>
      <c r="J52" s="17" t="n"/>
      <c r="K52" s="23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6" t="n"/>
      <c r="Z52" s="16" t="n"/>
    </row>
    <row r="53">
      <c r="A53" s="17" t="n"/>
      <c r="B53" s="16" t="n"/>
      <c r="C53" s="16" t="n"/>
      <c r="D53" s="10" t="n"/>
      <c r="E53" s="17" t="n"/>
      <c r="F53" s="17" t="n"/>
      <c r="G53" s="16" t="n"/>
      <c r="H53" s="17" t="n"/>
      <c r="I53" s="17" t="n"/>
      <c r="J53" s="17" t="n"/>
      <c r="K53" s="23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6" t="n"/>
      <c r="Z53" s="16" t="n"/>
    </row>
    <row r="54">
      <c r="A54" s="17" t="n"/>
      <c r="B54" s="16" t="n"/>
      <c r="C54" s="16" t="n"/>
      <c r="D54" s="10" t="n"/>
      <c r="E54" s="17" t="n"/>
      <c r="F54" s="17" t="n"/>
      <c r="G54" s="16" t="n"/>
      <c r="H54" s="17" t="n"/>
      <c r="I54" s="17" t="n"/>
      <c r="J54" s="17" t="n"/>
      <c r="K54" s="23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6" t="n"/>
      <c r="Z54" s="16" t="n"/>
    </row>
    <row r="55">
      <c r="A55" s="17" t="n"/>
      <c r="B55" s="16" t="n"/>
      <c r="C55" s="16" t="n"/>
      <c r="D55" s="10" t="n"/>
      <c r="E55" s="17" t="n"/>
      <c r="F55" s="17" t="n"/>
      <c r="G55" s="16" t="n"/>
      <c r="H55" s="17" t="n"/>
      <c r="I55" s="17" t="n"/>
      <c r="J55" s="17" t="n"/>
      <c r="K55" s="23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6" t="n"/>
      <c r="Z55" s="16" t="n"/>
    </row>
    <row r="56">
      <c r="A56" s="17" t="n"/>
      <c r="B56" s="16" t="n"/>
      <c r="C56" s="16" t="n"/>
      <c r="D56" s="10" t="n"/>
      <c r="E56" s="17" t="n"/>
      <c r="F56" s="17" t="n"/>
      <c r="G56" s="16" t="n"/>
      <c r="H56" s="17" t="n"/>
      <c r="I56" s="17" t="n"/>
      <c r="J56" s="17" t="n"/>
      <c r="K56" s="23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6" t="n"/>
      <c r="Z56" s="16" t="n"/>
    </row>
    <row r="57">
      <c r="A57" s="17" t="n"/>
      <c r="B57" s="16" t="n"/>
      <c r="C57" s="16" t="n"/>
      <c r="D57" s="10" t="n"/>
      <c r="E57" s="17" t="n"/>
      <c r="F57" s="17" t="n"/>
      <c r="G57" s="16" t="n"/>
      <c r="H57" s="17" t="n"/>
      <c r="I57" s="17" t="n"/>
      <c r="J57" s="17" t="n"/>
      <c r="K57" s="23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6" t="n"/>
      <c r="Z57" s="16" t="n"/>
    </row>
    <row r="58">
      <c r="A58" s="17" t="n"/>
      <c r="B58" s="16" t="n"/>
      <c r="C58" s="16" t="n"/>
      <c r="D58" s="10" t="n"/>
      <c r="E58" s="17" t="n"/>
      <c r="F58" s="17" t="n"/>
      <c r="G58" s="16" t="n"/>
      <c r="H58" s="17" t="n"/>
      <c r="I58" s="17" t="n"/>
      <c r="J58" s="17" t="n"/>
      <c r="K58" s="23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6" t="n"/>
      <c r="Z58" s="16" t="n"/>
    </row>
    <row r="59">
      <c r="A59" s="17" t="n"/>
      <c r="B59" s="16" t="n"/>
      <c r="C59" s="16" t="n"/>
      <c r="D59" s="10" t="n"/>
      <c r="E59" s="17" t="n"/>
      <c r="F59" s="17" t="n"/>
      <c r="G59" s="16" t="n"/>
      <c r="H59" s="17" t="n"/>
      <c r="I59" s="17" t="n"/>
      <c r="J59" s="17" t="n"/>
      <c r="K59" s="23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6" t="n"/>
      <c r="Z59" s="16" t="n"/>
    </row>
    <row r="60">
      <c r="A60" s="17" t="n"/>
      <c r="B60" s="16" t="n"/>
      <c r="C60" s="16" t="n"/>
      <c r="D60" s="10" t="n"/>
      <c r="E60" s="17" t="n"/>
      <c r="F60" s="17" t="n"/>
      <c r="G60" s="16" t="n"/>
      <c r="H60" s="17" t="n"/>
      <c r="I60" s="17" t="n"/>
      <c r="J60" s="17" t="n"/>
      <c r="K60" s="23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6" t="n"/>
      <c r="Z60" s="16" t="n"/>
    </row>
    <row r="61">
      <c r="A61" s="17" t="n"/>
      <c r="B61" s="16" t="n"/>
      <c r="C61" s="16" t="n"/>
      <c r="D61" s="10" t="n"/>
      <c r="E61" s="17" t="n"/>
      <c r="F61" s="17" t="n"/>
      <c r="G61" s="16" t="n"/>
      <c r="H61" s="17" t="n"/>
      <c r="I61" s="17" t="n"/>
      <c r="J61" s="17" t="n"/>
      <c r="K61" s="23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6" t="n"/>
      <c r="Z61" s="16" t="n"/>
    </row>
    <row r="62">
      <c r="A62" s="17" t="n"/>
      <c r="B62" s="16" t="n"/>
      <c r="C62" s="16" t="n"/>
      <c r="D62" s="10" t="n"/>
      <c r="E62" s="17" t="n"/>
      <c r="F62" s="17" t="n"/>
      <c r="G62" s="16" t="n"/>
      <c r="H62" s="17" t="n"/>
      <c r="I62" s="17" t="n"/>
      <c r="J62" s="17" t="n"/>
      <c r="K62" s="23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6" t="n"/>
      <c r="Z62" s="16" t="n"/>
    </row>
    <row r="63">
      <c r="A63" s="17" t="n"/>
      <c r="B63" s="16" t="n"/>
      <c r="C63" s="16" t="n"/>
      <c r="D63" s="10" t="n"/>
      <c r="E63" s="17" t="n"/>
      <c r="F63" s="17" t="n"/>
      <c r="G63" s="16" t="n"/>
      <c r="H63" s="17" t="n"/>
      <c r="I63" s="17" t="n"/>
      <c r="J63" s="17" t="n"/>
      <c r="K63" s="23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6" t="n"/>
      <c r="Z63" s="16" t="n"/>
    </row>
    <row r="64">
      <c r="A64" s="17" t="n"/>
      <c r="B64" s="16" t="n"/>
      <c r="C64" s="16" t="n"/>
      <c r="D64" s="10" t="n"/>
      <c r="E64" s="17" t="n"/>
      <c r="F64" s="17" t="n"/>
      <c r="G64" s="16" t="n"/>
      <c r="H64" s="17" t="n"/>
      <c r="I64" s="17" t="n"/>
      <c r="J64" s="17" t="n"/>
      <c r="K64" s="23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6" t="n"/>
      <c r="Z64" s="16" t="n"/>
    </row>
    <row r="65">
      <c r="A65" s="17" t="n"/>
      <c r="B65" s="16" t="n"/>
      <c r="C65" s="16" t="n"/>
      <c r="D65" s="10" t="n"/>
      <c r="E65" s="17" t="n"/>
      <c r="F65" s="17" t="n"/>
      <c r="G65" s="16" t="n"/>
      <c r="H65" s="17" t="n"/>
      <c r="I65" s="17" t="n"/>
      <c r="J65" s="17" t="n"/>
      <c r="K65" s="23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6" t="n"/>
      <c r="Z65" s="16" t="n"/>
    </row>
    <row r="66">
      <c r="A66" s="17" t="n"/>
      <c r="B66" s="16" t="n"/>
      <c r="C66" s="16" t="n"/>
      <c r="D66" s="10" t="n"/>
      <c r="E66" s="17" t="n"/>
      <c r="F66" s="17" t="n"/>
      <c r="G66" s="16" t="n"/>
      <c r="H66" s="17" t="n"/>
      <c r="I66" s="17" t="n"/>
      <c r="J66" s="17" t="n"/>
      <c r="K66" s="23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6" t="n"/>
      <c r="Z66" s="16" t="n"/>
    </row>
    <row r="67">
      <c r="A67" s="17" t="n"/>
      <c r="B67" s="16" t="n"/>
      <c r="C67" s="16" t="n"/>
      <c r="D67" s="10" t="n"/>
      <c r="E67" s="17" t="n"/>
      <c r="F67" s="17" t="n"/>
      <c r="G67" s="16" t="n"/>
      <c r="H67" s="17" t="n"/>
      <c r="I67" s="17" t="n"/>
      <c r="J67" s="17" t="n"/>
      <c r="K67" s="23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6" t="n"/>
      <c r="Z67" s="16" t="n"/>
    </row>
    <row r="68">
      <c r="A68" s="17" t="n"/>
      <c r="B68" s="16" t="n"/>
      <c r="C68" s="16" t="n"/>
      <c r="D68" s="10" t="n"/>
      <c r="E68" s="17" t="n"/>
      <c r="F68" s="17" t="n"/>
      <c r="G68" s="16" t="n"/>
      <c r="H68" s="17" t="n"/>
      <c r="I68" s="17" t="n"/>
      <c r="J68" s="17" t="n"/>
      <c r="K68" s="23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6" t="n"/>
      <c r="Z68" s="16" t="n"/>
    </row>
    <row r="69">
      <c r="A69" s="17" t="n"/>
      <c r="B69" s="16" t="n"/>
      <c r="C69" s="16" t="n"/>
      <c r="D69" s="10" t="n"/>
      <c r="E69" s="17" t="n"/>
      <c r="F69" s="17" t="n"/>
      <c r="G69" s="16" t="n"/>
      <c r="H69" s="17" t="n"/>
      <c r="I69" s="17" t="n"/>
      <c r="J69" s="17" t="n"/>
      <c r="K69" s="23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6" t="n"/>
      <c r="Z69" s="16" t="n"/>
    </row>
    <row r="70">
      <c r="A70" s="17" t="n"/>
      <c r="B70" s="16" t="n"/>
      <c r="C70" s="16" t="n"/>
      <c r="D70" s="10" t="n"/>
      <c r="E70" s="17" t="n"/>
      <c r="F70" s="17" t="n"/>
      <c r="G70" s="16" t="n"/>
      <c r="H70" s="17" t="n"/>
      <c r="I70" s="17" t="n"/>
      <c r="J70" s="17" t="n"/>
      <c r="K70" s="23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6" t="n"/>
      <c r="Z70" s="16" t="n"/>
    </row>
    <row r="71">
      <c r="A71" s="17" t="n"/>
      <c r="B71" s="16" t="n"/>
      <c r="C71" s="16" t="n"/>
      <c r="D71" s="10" t="n"/>
      <c r="E71" s="17" t="n"/>
      <c r="F71" s="17" t="n"/>
      <c r="G71" s="16" t="n"/>
      <c r="H71" s="17" t="n"/>
      <c r="I71" s="17" t="n"/>
      <c r="J71" s="17" t="n"/>
      <c r="K71" s="23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6" t="n"/>
      <c r="Z71" s="16" t="n"/>
    </row>
    <row r="72">
      <c r="A72" s="17" t="n"/>
      <c r="B72" s="16" t="n"/>
      <c r="C72" s="16" t="n"/>
      <c r="D72" s="10" t="n"/>
      <c r="E72" s="17" t="n"/>
      <c r="F72" s="17" t="n"/>
      <c r="G72" s="16" t="n"/>
      <c r="H72" s="17" t="n"/>
      <c r="I72" s="17" t="n"/>
      <c r="J72" s="17" t="n"/>
      <c r="K72" s="23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6" t="n"/>
      <c r="Z72" s="16" t="n"/>
    </row>
    <row r="73">
      <c r="A73" s="17" t="n"/>
      <c r="B73" s="16" t="n"/>
      <c r="C73" s="16" t="n"/>
      <c r="D73" s="10" t="n"/>
      <c r="E73" s="17" t="n"/>
      <c r="F73" s="17" t="n"/>
      <c r="G73" s="16" t="n"/>
      <c r="H73" s="17" t="n"/>
      <c r="I73" s="17" t="n"/>
      <c r="J73" s="17" t="n"/>
      <c r="K73" s="23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6" t="n"/>
      <c r="Z73" s="16" t="n"/>
    </row>
    <row r="74">
      <c r="A74" s="17" t="n"/>
      <c r="B74" s="16" t="n"/>
      <c r="C74" s="16" t="n"/>
      <c r="D74" s="10" t="n"/>
      <c r="E74" s="17" t="n"/>
      <c r="F74" s="17" t="n"/>
      <c r="G74" s="16" t="n"/>
      <c r="H74" s="17" t="n"/>
      <c r="I74" s="17" t="n"/>
      <c r="J74" s="17" t="n"/>
      <c r="K74" s="23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6" t="n"/>
      <c r="Z74" s="16" t="n"/>
    </row>
    <row r="75">
      <c r="A75" s="17" t="n"/>
      <c r="B75" s="16" t="n"/>
      <c r="C75" s="16" t="n"/>
      <c r="D75" s="10" t="n"/>
      <c r="E75" s="17" t="n"/>
      <c r="F75" s="17" t="n"/>
      <c r="G75" s="16" t="n"/>
      <c r="H75" s="17" t="n"/>
      <c r="I75" s="17" t="n"/>
      <c r="J75" s="17" t="n"/>
      <c r="K75" s="23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6" t="n"/>
      <c r="Z75" s="16" t="n"/>
    </row>
    <row r="76">
      <c r="A76" s="17" t="n"/>
      <c r="B76" s="16" t="n"/>
      <c r="C76" s="16" t="n"/>
      <c r="D76" s="10" t="n"/>
      <c r="E76" s="17" t="n"/>
      <c r="F76" s="17" t="n"/>
      <c r="G76" s="16" t="n"/>
      <c r="H76" s="17" t="n"/>
      <c r="I76" s="17" t="n"/>
      <c r="J76" s="17" t="n"/>
      <c r="K76" s="23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6" t="n"/>
      <c r="Z76" s="16" t="n"/>
    </row>
    <row r="77">
      <c r="A77" s="17" t="n"/>
      <c r="B77" s="16" t="n"/>
      <c r="C77" s="16" t="n"/>
      <c r="D77" s="10" t="n"/>
      <c r="E77" s="17" t="n"/>
      <c r="F77" s="17" t="n"/>
      <c r="G77" s="16" t="n"/>
      <c r="H77" s="17" t="n"/>
      <c r="I77" s="17" t="n"/>
      <c r="J77" s="17" t="n"/>
      <c r="K77" s="23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6" t="n"/>
      <c r="Z77" s="16" t="n"/>
    </row>
    <row r="78">
      <c r="A78" s="17" t="n"/>
      <c r="B78" s="16" t="n"/>
      <c r="C78" s="16" t="n"/>
      <c r="D78" s="10" t="n"/>
      <c r="E78" s="17" t="n"/>
      <c r="F78" s="17" t="n"/>
      <c r="G78" s="16" t="n"/>
      <c r="H78" s="17" t="n"/>
      <c r="I78" s="17" t="n"/>
      <c r="J78" s="17" t="n"/>
      <c r="K78" s="23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6" t="n"/>
      <c r="Z78" s="16" t="n"/>
    </row>
    <row r="79">
      <c r="A79" s="17" t="n"/>
      <c r="B79" s="16" t="n"/>
      <c r="C79" s="16" t="n"/>
      <c r="D79" s="10" t="n"/>
      <c r="E79" s="17" t="n"/>
      <c r="F79" s="17" t="n"/>
      <c r="G79" s="16" t="n"/>
      <c r="H79" s="17" t="n"/>
      <c r="I79" s="17" t="n"/>
      <c r="J79" s="17" t="n"/>
      <c r="K79" s="23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6" t="n"/>
      <c r="Z79" s="16" t="n"/>
    </row>
    <row r="80">
      <c r="A80" s="17" t="n"/>
      <c r="B80" s="16" t="n"/>
      <c r="C80" s="16" t="n"/>
      <c r="D80" s="10" t="n"/>
      <c r="E80" s="17" t="n"/>
      <c r="F80" s="17" t="n"/>
      <c r="G80" s="16" t="n"/>
      <c r="H80" s="17" t="n"/>
      <c r="I80" s="17" t="n"/>
      <c r="J80" s="17" t="n"/>
      <c r="K80" s="23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6" t="n"/>
      <c r="Z80" s="16" t="n"/>
    </row>
    <row r="81">
      <c r="A81" s="17" t="n"/>
      <c r="B81" s="16" t="n"/>
      <c r="C81" s="16" t="n"/>
      <c r="D81" s="10" t="n"/>
      <c r="E81" s="17" t="n"/>
      <c r="F81" s="17" t="n"/>
      <c r="G81" s="16" t="n"/>
      <c r="H81" s="17" t="n"/>
      <c r="I81" s="17" t="n"/>
      <c r="J81" s="17" t="n"/>
      <c r="K81" s="23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6" t="n"/>
      <c r="Z81" s="16" t="n"/>
    </row>
    <row r="82">
      <c r="A82" s="17" t="n"/>
      <c r="B82" s="16" t="n"/>
      <c r="C82" s="16" t="n"/>
      <c r="D82" s="10" t="n"/>
      <c r="E82" s="17" t="n"/>
      <c r="F82" s="17" t="n"/>
      <c r="G82" s="16" t="n"/>
      <c r="H82" s="17" t="n"/>
      <c r="I82" s="17" t="n"/>
      <c r="J82" s="17" t="n"/>
      <c r="K82" s="23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6" t="n"/>
      <c r="Z82" s="16" t="n"/>
    </row>
    <row r="83">
      <c r="A83" s="17" t="n"/>
      <c r="B83" s="16" t="n"/>
      <c r="C83" s="16" t="n"/>
      <c r="D83" s="10" t="n"/>
      <c r="E83" s="17" t="n"/>
      <c r="F83" s="17" t="n"/>
      <c r="G83" s="16" t="n"/>
      <c r="H83" s="17" t="n"/>
      <c r="I83" s="17" t="n"/>
      <c r="J83" s="17" t="n"/>
      <c r="K83" s="23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6" t="n"/>
      <c r="Z83" s="16" t="n"/>
    </row>
    <row r="84">
      <c r="A84" s="17" t="n"/>
      <c r="B84" s="16" t="n"/>
      <c r="C84" s="16" t="n"/>
      <c r="D84" s="10" t="n"/>
      <c r="E84" s="17" t="n"/>
      <c r="F84" s="17" t="n"/>
      <c r="G84" s="16" t="n"/>
      <c r="H84" s="17" t="n"/>
      <c r="I84" s="17" t="n"/>
      <c r="J84" s="17" t="n"/>
      <c r="K84" s="23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6" t="n"/>
      <c r="Z84" s="16" t="n"/>
    </row>
    <row r="85">
      <c r="A85" s="17" t="n"/>
      <c r="B85" s="16" t="n"/>
      <c r="C85" s="16" t="n"/>
      <c r="D85" s="10" t="n"/>
      <c r="E85" s="17" t="n"/>
      <c r="F85" s="17" t="n"/>
      <c r="G85" s="16" t="n"/>
      <c r="H85" s="17" t="n"/>
      <c r="I85" s="17" t="n"/>
      <c r="J85" s="17" t="n"/>
      <c r="K85" s="23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6" t="n"/>
      <c r="Z85" s="16" t="n"/>
    </row>
    <row r="86">
      <c r="A86" s="17" t="n"/>
      <c r="B86" s="16" t="n"/>
      <c r="C86" s="16" t="n"/>
      <c r="D86" s="10" t="n"/>
      <c r="E86" s="17" t="n"/>
      <c r="F86" s="17" t="n"/>
      <c r="G86" s="16" t="n"/>
      <c r="H86" s="17" t="n"/>
      <c r="I86" s="17" t="n"/>
      <c r="J86" s="17" t="n"/>
      <c r="K86" s="23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6" t="n"/>
      <c r="Z86" s="16" t="n"/>
    </row>
    <row r="87">
      <c r="A87" s="17" t="n"/>
      <c r="B87" s="16" t="n"/>
      <c r="C87" s="16" t="n"/>
      <c r="D87" s="10" t="n"/>
      <c r="E87" s="17" t="n"/>
      <c r="F87" s="17" t="n"/>
      <c r="G87" s="16" t="n"/>
      <c r="H87" s="17" t="n"/>
      <c r="I87" s="17" t="n"/>
      <c r="J87" s="17" t="n"/>
      <c r="K87" s="23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6" t="n"/>
      <c r="Z87" s="16" t="n"/>
    </row>
    <row r="88">
      <c r="A88" s="17" t="n"/>
      <c r="B88" s="16" t="n"/>
      <c r="C88" s="16" t="n"/>
      <c r="D88" s="10" t="n"/>
      <c r="E88" s="17" t="n"/>
      <c r="F88" s="17" t="n"/>
      <c r="G88" s="16" t="n"/>
      <c r="H88" s="17" t="n"/>
      <c r="I88" s="17" t="n"/>
      <c r="J88" s="17" t="n"/>
      <c r="K88" s="23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6" t="n"/>
      <c r="Z88" s="16" t="n"/>
    </row>
    <row r="89">
      <c r="A89" s="17" t="n"/>
      <c r="B89" s="16" t="n"/>
      <c r="C89" s="16" t="n"/>
      <c r="D89" s="10" t="n"/>
      <c r="E89" s="17" t="n"/>
      <c r="F89" s="17" t="n"/>
      <c r="G89" s="16" t="n"/>
      <c r="H89" s="17" t="n"/>
      <c r="I89" s="17" t="n"/>
      <c r="J89" s="17" t="n"/>
      <c r="K89" s="23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6" t="n"/>
      <c r="Z89" s="16" t="n"/>
    </row>
    <row r="90">
      <c r="A90" s="17" t="n"/>
      <c r="B90" s="16" t="n"/>
      <c r="C90" s="16" t="n"/>
      <c r="D90" s="10" t="n"/>
      <c r="E90" s="17" t="n"/>
      <c r="F90" s="17" t="n"/>
      <c r="G90" s="16" t="n"/>
      <c r="H90" s="17" t="n"/>
      <c r="I90" s="17" t="n"/>
      <c r="J90" s="17" t="n"/>
      <c r="K90" s="23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6" t="n"/>
      <c r="Z90" s="16" t="n"/>
    </row>
    <row r="91">
      <c r="A91" s="17" t="n"/>
      <c r="B91" s="16" t="n"/>
      <c r="C91" s="16" t="n"/>
      <c r="D91" s="10" t="n"/>
      <c r="E91" s="17" t="n"/>
      <c r="F91" s="17" t="n"/>
      <c r="G91" s="16" t="n"/>
      <c r="H91" s="17" t="n"/>
      <c r="I91" s="17" t="n"/>
      <c r="J91" s="17" t="n"/>
      <c r="K91" s="23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6" t="n"/>
      <c r="Z91" s="16" t="n"/>
    </row>
    <row r="92">
      <c r="A92" s="17" t="n"/>
      <c r="B92" s="16" t="n"/>
      <c r="C92" s="16" t="n"/>
      <c r="D92" s="10" t="n"/>
      <c r="E92" s="17" t="n"/>
      <c r="F92" s="17" t="n"/>
      <c r="G92" s="16" t="n"/>
      <c r="H92" s="17" t="n"/>
      <c r="I92" s="17" t="n"/>
      <c r="J92" s="17" t="n"/>
      <c r="K92" s="23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6" t="n"/>
      <c r="Z92" s="16" t="n"/>
    </row>
    <row r="93">
      <c r="A93" s="17" t="n"/>
      <c r="B93" s="16" t="n"/>
      <c r="C93" s="16" t="n"/>
      <c r="D93" s="10" t="n"/>
      <c r="E93" s="17" t="n"/>
      <c r="F93" s="17" t="n"/>
      <c r="G93" s="16" t="n"/>
      <c r="H93" s="17" t="n"/>
      <c r="I93" s="17" t="n"/>
      <c r="J93" s="17" t="n"/>
      <c r="K93" s="23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6" t="n"/>
      <c r="Z93" s="16" t="n"/>
    </row>
    <row r="94">
      <c r="A94" s="17" t="n"/>
      <c r="B94" s="16" t="n"/>
      <c r="C94" s="16" t="n"/>
      <c r="D94" s="10" t="n"/>
      <c r="E94" s="17" t="n"/>
      <c r="F94" s="17" t="n"/>
      <c r="G94" s="16" t="n"/>
      <c r="H94" s="17" t="n"/>
      <c r="I94" s="17" t="n"/>
      <c r="J94" s="17" t="n"/>
      <c r="K94" s="23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6" t="n"/>
      <c r="Z94" s="16" t="n"/>
    </row>
    <row r="95">
      <c r="A95" s="17" t="n"/>
      <c r="B95" s="16" t="n"/>
      <c r="C95" s="16" t="n"/>
      <c r="D95" s="10" t="n"/>
      <c r="E95" s="17" t="n"/>
      <c r="F95" s="17" t="n"/>
      <c r="G95" s="16" t="n"/>
      <c r="H95" s="17" t="n"/>
      <c r="I95" s="17" t="n"/>
      <c r="J95" s="17" t="n"/>
      <c r="K95" s="23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6" t="n"/>
      <c r="Z95" s="16" t="n"/>
    </row>
    <row r="96">
      <c r="A96" s="17" t="n"/>
      <c r="B96" s="16" t="n"/>
      <c r="C96" s="16" t="n"/>
      <c r="D96" s="10" t="n"/>
      <c r="E96" s="17" t="n"/>
      <c r="F96" s="17" t="n"/>
      <c r="G96" s="16" t="n"/>
      <c r="H96" s="17" t="n"/>
      <c r="I96" s="17" t="n"/>
      <c r="J96" s="17" t="n"/>
      <c r="K96" s="23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6" t="n"/>
      <c r="Z96" s="16" t="n"/>
    </row>
    <row r="97">
      <c r="A97" s="17" t="n"/>
      <c r="B97" s="16" t="n"/>
      <c r="C97" s="16" t="n"/>
      <c r="D97" s="10" t="n"/>
      <c r="E97" s="17" t="n"/>
      <c r="F97" s="17" t="n"/>
      <c r="G97" s="16" t="n"/>
      <c r="H97" s="17" t="n"/>
      <c r="I97" s="17" t="n"/>
      <c r="J97" s="17" t="n"/>
      <c r="K97" s="23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6" t="n"/>
      <c r="Z97" s="16" t="n"/>
    </row>
    <row r="98">
      <c r="A98" s="17" t="n"/>
      <c r="B98" s="16" t="n"/>
      <c r="C98" s="16" t="n"/>
      <c r="D98" s="10" t="n"/>
      <c r="E98" s="17" t="n"/>
      <c r="F98" s="17" t="n"/>
      <c r="G98" s="16" t="n"/>
      <c r="H98" s="17" t="n"/>
      <c r="I98" s="17" t="n"/>
      <c r="J98" s="17" t="n"/>
      <c r="K98" s="23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6" t="n"/>
      <c r="Z98" s="16" t="n"/>
    </row>
    <row r="99">
      <c r="A99" s="17" t="n"/>
      <c r="B99" s="16" t="n"/>
      <c r="C99" s="16" t="n"/>
      <c r="D99" s="10" t="n"/>
      <c r="E99" s="17" t="n"/>
      <c r="F99" s="17" t="n"/>
      <c r="G99" s="16" t="n"/>
      <c r="H99" s="17" t="n"/>
      <c r="I99" s="17" t="n"/>
      <c r="J99" s="17" t="n"/>
      <c r="K99" s="23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6" t="n"/>
      <c r="Z99" s="16" t="n"/>
    </row>
    <row r="100">
      <c r="A100" s="17" t="n"/>
      <c r="B100" s="16" t="n"/>
      <c r="C100" s="16" t="n"/>
      <c r="D100" s="10" t="n"/>
      <c r="E100" s="17" t="n"/>
      <c r="F100" s="17" t="n"/>
      <c r="G100" s="16" t="n"/>
      <c r="H100" s="17" t="n"/>
      <c r="I100" s="17" t="n"/>
      <c r="J100" s="17" t="n"/>
      <c r="K100" s="23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6" t="n"/>
      <c r="Z100" s="16" t="n"/>
    </row>
    <row r="101">
      <c r="A101" s="17" t="n"/>
      <c r="B101" s="16" t="n"/>
      <c r="C101" s="16" t="n"/>
      <c r="D101" s="10" t="n"/>
      <c r="E101" s="17" t="n"/>
      <c r="F101" s="17" t="n"/>
      <c r="G101" s="16" t="n"/>
      <c r="H101" s="17" t="n"/>
      <c r="I101" s="17" t="n"/>
      <c r="J101" s="17" t="n"/>
      <c r="K101" s="23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6" t="n"/>
      <c r="Z101" s="16" t="n"/>
    </row>
    <row r="102">
      <c r="A102" s="17" t="n"/>
      <c r="B102" s="16" t="n"/>
      <c r="C102" s="16" t="n"/>
      <c r="D102" s="10" t="n"/>
      <c r="E102" s="17" t="n"/>
      <c r="F102" s="17" t="n"/>
      <c r="G102" s="16" t="n"/>
      <c r="H102" s="17" t="n"/>
      <c r="I102" s="17" t="n"/>
      <c r="J102" s="17" t="n"/>
      <c r="K102" s="23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6" t="n"/>
      <c r="Z102" s="16" t="n"/>
    </row>
    <row r="103">
      <c r="A103" s="17" t="n"/>
      <c r="B103" s="16" t="n"/>
      <c r="C103" s="16" t="n"/>
      <c r="D103" s="10" t="n"/>
      <c r="E103" s="17" t="n"/>
      <c r="F103" s="17" t="n"/>
      <c r="G103" s="16" t="n"/>
      <c r="H103" s="17" t="n"/>
      <c r="I103" s="17" t="n"/>
      <c r="J103" s="17" t="n"/>
      <c r="K103" s="23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6" t="n"/>
      <c r="Z103" s="16" t="n"/>
    </row>
    <row r="104">
      <c r="A104" s="17" t="n"/>
      <c r="B104" s="16" t="n"/>
      <c r="C104" s="16" t="n"/>
      <c r="D104" s="10" t="n"/>
      <c r="E104" s="17" t="n"/>
      <c r="F104" s="17" t="n"/>
      <c r="G104" s="16" t="n"/>
      <c r="H104" s="17" t="n"/>
      <c r="I104" s="17" t="n"/>
      <c r="J104" s="17" t="n"/>
      <c r="K104" s="23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6" t="n"/>
      <c r="Z104" s="16" t="n"/>
    </row>
    <row r="105">
      <c r="A105" s="17" t="n"/>
      <c r="B105" s="16" t="n"/>
      <c r="C105" s="16" t="n"/>
      <c r="D105" s="10" t="n"/>
      <c r="E105" s="17" t="n"/>
      <c r="F105" s="17" t="n"/>
      <c r="G105" s="16" t="n"/>
      <c r="H105" s="17" t="n"/>
      <c r="I105" s="17" t="n"/>
      <c r="J105" s="17" t="n"/>
      <c r="K105" s="23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6" t="n"/>
      <c r="Z105" s="16" t="n"/>
    </row>
    <row r="106">
      <c r="A106" s="17" t="n"/>
      <c r="B106" s="16" t="n"/>
      <c r="C106" s="16" t="n"/>
      <c r="D106" s="10" t="n"/>
      <c r="E106" s="17" t="n"/>
      <c r="F106" s="17" t="n"/>
      <c r="G106" s="16" t="n"/>
      <c r="H106" s="17" t="n"/>
      <c r="I106" s="17" t="n"/>
      <c r="J106" s="17" t="n"/>
      <c r="K106" s="23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6" t="n"/>
      <c r="Z106" s="16" t="n"/>
    </row>
    <row r="107">
      <c r="A107" s="17" t="n"/>
      <c r="B107" s="16" t="n"/>
      <c r="C107" s="16" t="n"/>
      <c r="D107" s="10" t="n"/>
      <c r="E107" s="17" t="n"/>
      <c r="F107" s="17" t="n"/>
      <c r="G107" s="16" t="n"/>
      <c r="H107" s="17" t="n"/>
      <c r="I107" s="17" t="n"/>
      <c r="J107" s="17" t="n"/>
      <c r="K107" s="23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6" t="n"/>
      <c r="Z107" s="16" t="n"/>
    </row>
    <row r="108">
      <c r="A108" s="17" t="n"/>
      <c r="B108" s="16" t="n"/>
      <c r="C108" s="16" t="n"/>
      <c r="D108" s="10" t="n"/>
      <c r="E108" s="17" t="n"/>
      <c r="F108" s="17" t="n"/>
      <c r="G108" s="16" t="n"/>
      <c r="H108" s="17" t="n"/>
      <c r="I108" s="17" t="n"/>
      <c r="J108" s="17" t="n"/>
      <c r="K108" s="23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6" t="n"/>
      <c r="Z108" s="16" t="n"/>
    </row>
    <row r="109">
      <c r="A109" s="17" t="n"/>
      <c r="B109" s="16" t="n"/>
      <c r="C109" s="16" t="n"/>
      <c r="D109" s="10" t="n"/>
      <c r="E109" s="17" t="n"/>
      <c r="F109" s="17" t="n"/>
      <c r="G109" s="16" t="n"/>
      <c r="H109" s="17" t="n"/>
      <c r="I109" s="17" t="n"/>
      <c r="J109" s="17" t="n"/>
      <c r="K109" s="23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6" t="n"/>
      <c r="Z109" s="16" t="n"/>
    </row>
    <row r="110">
      <c r="A110" s="17" t="n"/>
      <c r="B110" s="16" t="n"/>
      <c r="C110" s="16" t="n"/>
      <c r="D110" s="10" t="n"/>
      <c r="E110" s="17" t="n"/>
      <c r="F110" s="17" t="n"/>
      <c r="G110" s="16" t="n"/>
      <c r="H110" s="17" t="n"/>
      <c r="I110" s="17" t="n"/>
      <c r="J110" s="17" t="n"/>
      <c r="K110" s="23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6" t="n"/>
      <c r="Z110" s="16" t="n"/>
    </row>
    <row r="111">
      <c r="A111" s="17" t="n"/>
      <c r="B111" s="16" t="n"/>
      <c r="C111" s="16" t="n"/>
      <c r="D111" s="10" t="n"/>
      <c r="E111" s="17" t="n"/>
      <c r="F111" s="17" t="n"/>
      <c r="G111" s="16" t="n"/>
      <c r="H111" s="17" t="n"/>
      <c r="I111" s="17" t="n"/>
      <c r="J111" s="17" t="n"/>
      <c r="K111" s="23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6" t="n"/>
      <c r="Z111" s="16" t="n"/>
    </row>
    <row r="112">
      <c r="A112" s="17" t="n"/>
      <c r="B112" s="16" t="n"/>
      <c r="C112" s="16" t="n"/>
      <c r="D112" s="10" t="n"/>
      <c r="E112" s="17" t="n"/>
      <c r="F112" s="17" t="n"/>
      <c r="G112" s="16" t="n"/>
      <c r="H112" s="17" t="n"/>
      <c r="I112" s="17" t="n"/>
      <c r="J112" s="17" t="n"/>
      <c r="K112" s="23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6" t="n"/>
      <c r="Z112" s="16" t="n"/>
    </row>
    <row r="113">
      <c r="A113" s="17" t="n"/>
      <c r="B113" s="16" t="n"/>
      <c r="C113" s="16" t="n"/>
      <c r="D113" s="10" t="n"/>
      <c r="E113" s="17" t="n"/>
      <c r="F113" s="17" t="n"/>
      <c r="G113" s="16" t="n"/>
      <c r="H113" s="17" t="n"/>
      <c r="I113" s="17" t="n"/>
      <c r="J113" s="17" t="n"/>
      <c r="K113" s="23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6" t="n"/>
      <c r="Z113" s="16" t="n"/>
    </row>
    <row r="114">
      <c r="A114" s="17" t="n"/>
      <c r="B114" s="16" t="n"/>
      <c r="C114" s="16" t="n"/>
      <c r="D114" s="10" t="n"/>
      <c r="E114" s="17" t="n"/>
      <c r="F114" s="17" t="n"/>
      <c r="G114" s="16" t="n"/>
      <c r="H114" s="17" t="n"/>
      <c r="I114" s="17" t="n"/>
      <c r="J114" s="17" t="n"/>
      <c r="K114" s="23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6" t="n"/>
      <c r="Z114" s="16" t="n"/>
    </row>
    <row r="115">
      <c r="A115" s="17" t="n"/>
      <c r="B115" s="16" t="n"/>
      <c r="C115" s="16" t="n"/>
      <c r="D115" s="10" t="n"/>
      <c r="E115" s="17" t="n"/>
      <c r="F115" s="17" t="n"/>
      <c r="G115" s="16" t="n"/>
      <c r="H115" s="17" t="n"/>
      <c r="I115" s="17" t="n"/>
      <c r="J115" s="17" t="n"/>
      <c r="K115" s="23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6" t="n"/>
      <c r="Z115" s="16" t="n"/>
    </row>
    <row r="116">
      <c r="A116" s="17" t="n"/>
      <c r="B116" s="16" t="n"/>
      <c r="C116" s="16" t="n"/>
      <c r="D116" s="10" t="n"/>
      <c r="E116" s="17" t="n"/>
      <c r="F116" s="17" t="n"/>
      <c r="G116" s="16" t="n"/>
      <c r="H116" s="17" t="n"/>
      <c r="I116" s="17" t="n"/>
      <c r="J116" s="17" t="n"/>
      <c r="K116" s="23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6" t="n"/>
      <c r="Z116" s="16" t="n"/>
    </row>
    <row r="117">
      <c r="A117" s="17" t="n"/>
      <c r="B117" s="16" t="n"/>
      <c r="C117" s="16" t="n"/>
      <c r="D117" s="10" t="n"/>
      <c r="E117" s="17" t="n"/>
      <c r="F117" s="17" t="n"/>
      <c r="G117" s="16" t="n"/>
      <c r="H117" s="17" t="n"/>
      <c r="I117" s="17" t="n"/>
      <c r="J117" s="17" t="n"/>
      <c r="K117" s="23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6" t="n"/>
      <c r="Z117" s="16" t="n"/>
    </row>
    <row r="118">
      <c r="A118" s="17" t="n"/>
      <c r="B118" s="16" t="n"/>
      <c r="C118" s="16" t="n"/>
      <c r="D118" s="10" t="n"/>
      <c r="E118" s="17" t="n"/>
      <c r="F118" s="17" t="n"/>
      <c r="G118" s="16" t="n"/>
      <c r="H118" s="17" t="n"/>
      <c r="I118" s="17" t="n"/>
      <c r="J118" s="17" t="n"/>
      <c r="K118" s="23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6" t="n"/>
      <c r="Z118" s="16" t="n"/>
    </row>
    <row r="119">
      <c r="A119" s="17" t="n"/>
      <c r="B119" s="16" t="n"/>
      <c r="C119" s="16" t="n"/>
      <c r="D119" s="10" t="n"/>
      <c r="E119" s="17" t="n"/>
      <c r="F119" s="17" t="n"/>
      <c r="G119" s="16" t="n"/>
      <c r="H119" s="17" t="n"/>
      <c r="I119" s="17" t="n"/>
      <c r="J119" s="17" t="n"/>
      <c r="K119" s="23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6" t="n"/>
      <c r="Z119" s="16" t="n"/>
    </row>
    <row r="120">
      <c r="A120" s="17" t="n"/>
      <c r="B120" s="16" t="n"/>
      <c r="C120" s="16" t="n"/>
      <c r="D120" s="10" t="n"/>
      <c r="E120" s="17" t="n"/>
      <c r="F120" s="17" t="n"/>
      <c r="G120" s="16" t="n"/>
      <c r="H120" s="17" t="n"/>
      <c r="I120" s="17" t="n"/>
      <c r="J120" s="17" t="n"/>
      <c r="K120" s="23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6" t="n"/>
      <c r="Z120" s="16" t="n"/>
    </row>
    <row r="121">
      <c r="A121" s="17" t="n"/>
      <c r="B121" s="16" t="n"/>
      <c r="C121" s="16" t="n"/>
      <c r="D121" s="10" t="n"/>
      <c r="E121" s="17" t="n"/>
      <c r="F121" s="17" t="n"/>
      <c r="G121" s="16" t="n"/>
      <c r="H121" s="17" t="n"/>
      <c r="I121" s="17" t="n"/>
      <c r="J121" s="17" t="n"/>
      <c r="K121" s="23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6" t="n"/>
      <c r="Z121" s="16" t="n"/>
    </row>
    <row r="122">
      <c r="A122" s="17" t="n"/>
      <c r="B122" s="16" t="n"/>
      <c r="C122" s="16" t="n"/>
      <c r="D122" s="10" t="n"/>
      <c r="E122" s="17" t="n"/>
      <c r="F122" s="17" t="n"/>
      <c r="G122" s="16" t="n"/>
      <c r="H122" s="17" t="n"/>
      <c r="I122" s="17" t="n"/>
      <c r="J122" s="17" t="n"/>
      <c r="K122" s="23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6" t="n"/>
      <c r="Z122" s="16" t="n"/>
    </row>
    <row r="123">
      <c r="A123" s="17" t="n"/>
      <c r="B123" s="16" t="n"/>
      <c r="C123" s="16" t="n"/>
      <c r="D123" s="10" t="n"/>
      <c r="E123" s="17" t="n"/>
      <c r="F123" s="17" t="n"/>
      <c r="G123" s="16" t="n"/>
      <c r="H123" s="17" t="n"/>
      <c r="I123" s="17" t="n"/>
      <c r="J123" s="17" t="n"/>
      <c r="K123" s="23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6" t="n"/>
      <c r="Z123" s="16" t="n"/>
    </row>
    <row r="124">
      <c r="A124" s="17" t="n"/>
      <c r="B124" s="16" t="n"/>
      <c r="C124" s="16" t="n"/>
      <c r="D124" s="10" t="n"/>
      <c r="E124" s="17" t="n"/>
      <c r="F124" s="17" t="n"/>
      <c r="G124" s="16" t="n"/>
      <c r="H124" s="17" t="n"/>
      <c r="I124" s="17" t="n"/>
      <c r="J124" s="17" t="n"/>
      <c r="K124" s="23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6" t="n"/>
      <c r="Z124" s="16" t="n"/>
    </row>
    <row r="125">
      <c r="A125" s="17" t="n"/>
      <c r="B125" s="16" t="n"/>
      <c r="C125" s="16" t="n"/>
      <c r="D125" s="10" t="n"/>
      <c r="E125" s="17" t="n"/>
      <c r="F125" s="17" t="n"/>
      <c r="G125" s="16" t="n"/>
      <c r="H125" s="17" t="n"/>
      <c r="I125" s="17" t="n"/>
      <c r="J125" s="17" t="n"/>
      <c r="K125" s="23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6" t="n"/>
      <c r="Z125" s="16" t="n"/>
    </row>
    <row r="126">
      <c r="A126" s="17" t="n"/>
      <c r="B126" s="16" t="n"/>
      <c r="C126" s="16" t="n"/>
      <c r="D126" s="10" t="n"/>
      <c r="E126" s="17" t="n"/>
      <c r="F126" s="17" t="n"/>
      <c r="G126" s="16" t="n"/>
      <c r="H126" s="17" t="n"/>
      <c r="I126" s="17" t="n"/>
      <c r="J126" s="17" t="n"/>
      <c r="K126" s="23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6" t="n"/>
      <c r="Z126" s="16" t="n"/>
    </row>
    <row r="127">
      <c r="A127" s="17" t="n"/>
      <c r="B127" s="16" t="n"/>
      <c r="C127" s="16" t="n"/>
      <c r="D127" s="10" t="n"/>
      <c r="E127" s="17" t="n"/>
      <c r="F127" s="17" t="n"/>
      <c r="G127" s="16" t="n"/>
      <c r="H127" s="17" t="n"/>
      <c r="I127" s="17" t="n"/>
      <c r="J127" s="17" t="n"/>
      <c r="K127" s="23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6" t="n"/>
      <c r="Z127" s="16" t="n"/>
    </row>
    <row r="128">
      <c r="A128" s="17" t="n"/>
      <c r="B128" s="16" t="n"/>
      <c r="C128" s="16" t="n"/>
      <c r="D128" s="10" t="n"/>
      <c r="E128" s="17" t="n"/>
      <c r="F128" s="17" t="n"/>
      <c r="G128" s="16" t="n"/>
      <c r="H128" s="17" t="n"/>
      <c r="I128" s="17" t="n"/>
      <c r="J128" s="17" t="n"/>
      <c r="K128" s="23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6" t="n"/>
      <c r="Z128" s="16" t="n"/>
    </row>
    <row r="129">
      <c r="A129" s="17" t="n"/>
      <c r="B129" s="16" t="n"/>
      <c r="C129" s="16" t="n"/>
      <c r="D129" s="10" t="n"/>
      <c r="E129" s="17" t="n"/>
      <c r="F129" s="17" t="n"/>
      <c r="G129" s="16" t="n"/>
      <c r="H129" s="17" t="n"/>
      <c r="I129" s="17" t="n"/>
      <c r="J129" s="17" t="n"/>
      <c r="K129" s="23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6" t="n"/>
      <c r="Z129" s="16" t="n"/>
    </row>
    <row r="130">
      <c r="A130" s="17" t="n"/>
      <c r="B130" s="16" t="n"/>
      <c r="C130" s="16" t="n"/>
      <c r="D130" s="10" t="n"/>
      <c r="E130" s="17" t="n"/>
      <c r="F130" s="17" t="n"/>
      <c r="G130" s="16" t="n"/>
      <c r="H130" s="17" t="n"/>
      <c r="I130" s="17" t="n"/>
      <c r="J130" s="17" t="n"/>
      <c r="K130" s="23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6" t="n"/>
      <c r="Z130" s="16" t="n"/>
    </row>
    <row r="131">
      <c r="A131" s="17" t="n"/>
      <c r="B131" s="16" t="n"/>
      <c r="C131" s="16" t="n"/>
      <c r="D131" s="10" t="n"/>
      <c r="E131" s="17" t="n"/>
      <c r="F131" s="17" t="n"/>
      <c r="G131" s="16" t="n"/>
      <c r="H131" s="17" t="n"/>
      <c r="I131" s="17" t="n"/>
      <c r="J131" s="17" t="n"/>
      <c r="K131" s="23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6" t="n"/>
      <c r="Z131" s="16" t="n"/>
    </row>
    <row r="132">
      <c r="A132" s="17" t="n"/>
      <c r="B132" s="16" t="n"/>
      <c r="C132" s="16" t="n"/>
      <c r="D132" s="10" t="n"/>
      <c r="E132" s="17" t="n"/>
      <c r="F132" s="17" t="n"/>
      <c r="G132" s="16" t="n"/>
      <c r="H132" s="17" t="n"/>
      <c r="I132" s="17" t="n"/>
      <c r="J132" s="17" t="n"/>
      <c r="K132" s="23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6" t="n"/>
      <c r="Z132" s="16" t="n"/>
    </row>
    <row r="133">
      <c r="A133" s="17" t="n"/>
      <c r="B133" s="16" t="n"/>
      <c r="C133" s="16" t="n"/>
      <c r="D133" s="10" t="n"/>
      <c r="E133" s="17" t="n"/>
      <c r="F133" s="17" t="n"/>
      <c r="G133" s="16" t="n"/>
      <c r="H133" s="17" t="n"/>
      <c r="I133" s="17" t="n"/>
      <c r="J133" s="17" t="n"/>
      <c r="K133" s="23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6" t="n"/>
      <c r="Z133" s="16" t="n"/>
    </row>
    <row r="134">
      <c r="A134" s="17" t="n"/>
      <c r="B134" s="16" t="n"/>
      <c r="C134" s="16" t="n"/>
      <c r="D134" s="10" t="n"/>
      <c r="E134" s="17" t="n"/>
      <c r="F134" s="17" t="n"/>
      <c r="G134" s="16" t="n"/>
      <c r="H134" s="17" t="n"/>
      <c r="I134" s="17" t="n"/>
      <c r="J134" s="17" t="n"/>
      <c r="K134" s="23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6" t="n"/>
      <c r="Z134" s="16" t="n"/>
    </row>
    <row r="135">
      <c r="A135" s="17" t="n"/>
      <c r="B135" s="16" t="n"/>
      <c r="C135" s="16" t="n"/>
      <c r="D135" s="10" t="n"/>
      <c r="E135" s="17" t="n"/>
      <c r="F135" s="17" t="n"/>
      <c r="G135" s="16" t="n"/>
      <c r="H135" s="17" t="n"/>
      <c r="I135" s="17" t="n"/>
      <c r="J135" s="17" t="n"/>
      <c r="K135" s="23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6" t="n"/>
      <c r="Z135" s="16" t="n"/>
    </row>
    <row r="136">
      <c r="A136" s="17" t="n"/>
      <c r="B136" s="16" t="n"/>
      <c r="C136" s="16" t="n"/>
      <c r="D136" s="10" t="n"/>
      <c r="E136" s="17" t="n"/>
      <c r="F136" s="17" t="n"/>
      <c r="G136" s="16" t="n"/>
      <c r="H136" s="17" t="n"/>
      <c r="I136" s="17" t="n"/>
      <c r="J136" s="17" t="n"/>
      <c r="K136" s="23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6" t="n"/>
      <c r="Z136" s="16" t="n"/>
    </row>
    <row r="137">
      <c r="A137" s="17" t="n"/>
      <c r="B137" s="16" t="n"/>
      <c r="C137" s="16" t="n"/>
      <c r="D137" s="10" t="n"/>
      <c r="E137" s="17" t="n"/>
      <c r="F137" s="17" t="n"/>
      <c r="G137" s="16" t="n"/>
      <c r="H137" s="17" t="n"/>
      <c r="I137" s="17" t="n"/>
      <c r="J137" s="17" t="n"/>
      <c r="K137" s="23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6" t="n"/>
      <c r="Z137" s="16" t="n"/>
    </row>
    <row r="138">
      <c r="A138" s="17" t="n"/>
      <c r="B138" s="16" t="n"/>
      <c r="C138" s="16" t="n"/>
      <c r="D138" s="10" t="n"/>
      <c r="E138" s="17" t="n"/>
      <c r="F138" s="17" t="n"/>
      <c r="G138" s="16" t="n"/>
      <c r="H138" s="17" t="n"/>
      <c r="I138" s="17" t="n"/>
      <c r="J138" s="17" t="n"/>
      <c r="K138" s="23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6" t="n"/>
      <c r="Z138" s="16" t="n"/>
    </row>
    <row r="139">
      <c r="A139" s="17" t="n"/>
      <c r="B139" s="16" t="n"/>
      <c r="C139" s="16" t="n"/>
      <c r="D139" s="10" t="n"/>
      <c r="E139" s="17" t="n"/>
      <c r="F139" s="17" t="n"/>
      <c r="G139" s="16" t="n"/>
      <c r="H139" s="17" t="n"/>
      <c r="I139" s="17" t="n"/>
      <c r="J139" s="17" t="n"/>
      <c r="K139" s="23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6" t="n"/>
      <c r="Z139" s="16" t="n"/>
    </row>
    <row r="140">
      <c r="A140" s="17" t="n"/>
      <c r="B140" s="16" t="n"/>
      <c r="C140" s="16" t="n"/>
      <c r="D140" s="10" t="n"/>
      <c r="E140" s="17" t="n"/>
      <c r="F140" s="17" t="n"/>
      <c r="G140" s="16" t="n"/>
      <c r="H140" s="17" t="n"/>
      <c r="I140" s="17" t="n"/>
      <c r="J140" s="17" t="n"/>
      <c r="K140" s="23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6" t="n"/>
      <c r="Z140" s="16" t="n"/>
    </row>
    <row r="141">
      <c r="A141" s="17" t="n"/>
      <c r="B141" s="16" t="n"/>
      <c r="C141" s="16" t="n"/>
      <c r="D141" s="10" t="n"/>
      <c r="E141" s="17" t="n"/>
      <c r="F141" s="17" t="n"/>
      <c r="G141" s="16" t="n"/>
      <c r="H141" s="17" t="n"/>
      <c r="I141" s="17" t="n"/>
      <c r="J141" s="17" t="n"/>
      <c r="K141" s="23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6" t="n"/>
      <c r="Z141" s="16" t="n"/>
    </row>
    <row r="142">
      <c r="A142" s="17" t="n"/>
      <c r="B142" s="16" t="n"/>
      <c r="C142" s="16" t="n"/>
      <c r="D142" s="10" t="n"/>
      <c r="E142" s="17" t="n"/>
      <c r="F142" s="17" t="n"/>
      <c r="G142" s="16" t="n"/>
      <c r="H142" s="17" t="n"/>
      <c r="I142" s="17" t="n"/>
      <c r="J142" s="17" t="n"/>
      <c r="K142" s="23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6" t="n"/>
      <c r="Z142" s="16" t="n"/>
    </row>
    <row r="143">
      <c r="A143" s="17" t="n"/>
      <c r="B143" s="16" t="n"/>
      <c r="C143" s="16" t="n"/>
      <c r="D143" s="10" t="n"/>
      <c r="E143" s="17" t="n"/>
      <c r="F143" s="17" t="n"/>
      <c r="G143" s="16" t="n"/>
      <c r="H143" s="17" t="n"/>
      <c r="I143" s="17" t="n"/>
      <c r="J143" s="17" t="n"/>
      <c r="K143" s="23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6" t="n"/>
      <c r="Z143" s="16" t="n"/>
    </row>
    <row r="144">
      <c r="A144" s="17" t="n"/>
      <c r="B144" s="16" t="n"/>
      <c r="C144" s="16" t="n"/>
      <c r="D144" s="10" t="n"/>
      <c r="E144" s="17" t="n"/>
      <c r="F144" s="17" t="n"/>
      <c r="G144" s="16" t="n"/>
      <c r="H144" s="17" t="n"/>
      <c r="I144" s="17" t="n"/>
      <c r="J144" s="17" t="n"/>
      <c r="K144" s="23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6" t="n"/>
      <c r="Z144" s="16" t="n"/>
    </row>
    <row r="145">
      <c r="A145" s="17" t="n"/>
      <c r="B145" s="16" t="n"/>
      <c r="C145" s="16" t="n"/>
      <c r="D145" s="10" t="n"/>
      <c r="E145" s="17" t="n"/>
      <c r="F145" s="17" t="n"/>
      <c r="G145" s="16" t="n"/>
      <c r="H145" s="17" t="n"/>
      <c r="I145" s="17" t="n"/>
      <c r="J145" s="17" t="n"/>
      <c r="K145" s="23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6" t="n"/>
      <c r="Z145" s="16" t="n"/>
    </row>
    <row r="146">
      <c r="A146" s="17" t="n"/>
      <c r="B146" s="16" t="n"/>
      <c r="C146" s="16" t="n"/>
      <c r="D146" s="10" t="n"/>
      <c r="E146" s="17" t="n"/>
      <c r="F146" s="17" t="n"/>
      <c r="G146" s="16" t="n"/>
      <c r="H146" s="17" t="n"/>
      <c r="I146" s="17" t="n"/>
      <c r="J146" s="17" t="n"/>
      <c r="K146" s="23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6" t="n"/>
      <c r="Z146" s="16" t="n"/>
    </row>
    <row r="147">
      <c r="A147" s="17" t="n"/>
      <c r="B147" s="16" t="n"/>
      <c r="C147" s="16" t="n"/>
      <c r="D147" s="10" t="n"/>
      <c r="E147" s="17" t="n"/>
      <c r="F147" s="17" t="n"/>
      <c r="G147" s="16" t="n"/>
      <c r="H147" s="17" t="n"/>
      <c r="I147" s="17" t="n"/>
      <c r="J147" s="17" t="n"/>
      <c r="K147" s="23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6" t="n"/>
      <c r="Z147" s="16" t="n"/>
    </row>
    <row r="148">
      <c r="A148" s="17" t="n"/>
      <c r="B148" s="16" t="n"/>
      <c r="C148" s="16" t="n"/>
      <c r="D148" s="10" t="n"/>
      <c r="E148" s="17" t="n"/>
      <c r="F148" s="17" t="n"/>
      <c r="G148" s="16" t="n"/>
      <c r="H148" s="17" t="n"/>
      <c r="I148" s="17" t="n"/>
      <c r="J148" s="17" t="n"/>
      <c r="K148" s="23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6" t="n"/>
      <c r="Z148" s="16" t="n"/>
    </row>
    <row r="149">
      <c r="A149" s="17" t="n"/>
      <c r="B149" s="16" t="n"/>
      <c r="C149" s="16" t="n"/>
      <c r="D149" s="10" t="n"/>
      <c r="E149" s="17" t="n"/>
      <c r="F149" s="17" t="n"/>
      <c r="G149" s="16" t="n"/>
      <c r="H149" s="17" t="n"/>
      <c r="I149" s="17" t="n"/>
      <c r="J149" s="17" t="n"/>
      <c r="K149" s="23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6" t="n"/>
      <c r="Z149" s="16" t="n"/>
    </row>
    <row r="150">
      <c r="A150" s="17" t="n"/>
      <c r="B150" s="16" t="n"/>
      <c r="C150" s="16" t="n"/>
      <c r="D150" s="10" t="n"/>
      <c r="E150" s="17" t="n"/>
      <c r="F150" s="17" t="n"/>
      <c r="G150" s="16" t="n"/>
      <c r="H150" s="17" t="n"/>
      <c r="I150" s="17" t="n"/>
      <c r="J150" s="17" t="n"/>
      <c r="K150" s="23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6" t="n"/>
      <c r="Z150" s="16" t="n"/>
    </row>
    <row r="151">
      <c r="A151" s="17" t="n"/>
      <c r="B151" s="16" t="n"/>
      <c r="C151" s="16" t="n"/>
      <c r="D151" s="10" t="n"/>
      <c r="E151" s="17" t="n"/>
      <c r="F151" s="17" t="n"/>
      <c r="G151" s="16" t="n"/>
      <c r="H151" s="17" t="n"/>
      <c r="I151" s="17" t="n"/>
      <c r="J151" s="17" t="n"/>
      <c r="K151" s="23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6" t="n"/>
      <c r="Z151" s="16" t="n"/>
    </row>
    <row r="152">
      <c r="A152" s="17" t="n"/>
      <c r="B152" s="16" t="n"/>
      <c r="C152" s="16" t="n"/>
      <c r="D152" s="10" t="n"/>
      <c r="E152" s="17" t="n"/>
      <c r="F152" s="17" t="n"/>
      <c r="G152" s="16" t="n"/>
      <c r="H152" s="17" t="n"/>
      <c r="I152" s="17" t="n"/>
      <c r="J152" s="17" t="n"/>
      <c r="K152" s="23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6" t="n"/>
      <c r="Z152" s="16" t="n"/>
    </row>
    <row r="153">
      <c r="A153" s="17" t="n"/>
      <c r="B153" s="16" t="n"/>
      <c r="C153" s="16" t="n"/>
      <c r="D153" s="10" t="n"/>
      <c r="E153" s="17" t="n"/>
      <c r="F153" s="17" t="n"/>
      <c r="G153" s="16" t="n"/>
      <c r="H153" s="17" t="n"/>
      <c r="I153" s="17" t="n"/>
      <c r="J153" s="17" t="n"/>
      <c r="K153" s="23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6" t="n"/>
      <c r="Z153" s="16" t="n"/>
    </row>
    <row r="154">
      <c r="A154" s="17" t="n"/>
      <c r="B154" s="16" t="n"/>
      <c r="C154" s="16" t="n"/>
      <c r="D154" s="10" t="n"/>
      <c r="E154" s="17" t="n"/>
      <c r="F154" s="17" t="n"/>
      <c r="G154" s="16" t="n"/>
      <c r="H154" s="17" t="n"/>
      <c r="I154" s="17" t="n"/>
      <c r="J154" s="17" t="n"/>
      <c r="K154" s="23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6" t="n"/>
      <c r="Z154" s="16" t="n"/>
    </row>
    <row r="155">
      <c r="A155" s="17" t="n"/>
      <c r="B155" s="16" t="n"/>
      <c r="C155" s="16" t="n"/>
      <c r="D155" s="10" t="n"/>
      <c r="E155" s="17" t="n"/>
      <c r="F155" s="17" t="n"/>
      <c r="G155" s="16" t="n"/>
      <c r="H155" s="17" t="n"/>
      <c r="I155" s="17" t="n"/>
      <c r="J155" s="17" t="n"/>
      <c r="K155" s="23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6" t="n"/>
      <c r="Z155" s="16" t="n"/>
    </row>
    <row r="156">
      <c r="A156" s="17" t="n"/>
      <c r="B156" s="16" t="n"/>
      <c r="C156" s="16" t="n"/>
      <c r="D156" s="10" t="n"/>
      <c r="E156" s="17" t="n"/>
      <c r="F156" s="17" t="n"/>
      <c r="G156" s="16" t="n"/>
      <c r="H156" s="17" t="n"/>
      <c r="I156" s="17" t="n"/>
      <c r="J156" s="17" t="n"/>
      <c r="K156" s="23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6" t="n"/>
      <c r="Z156" s="16" t="n"/>
    </row>
    <row r="157">
      <c r="A157" s="17" t="n"/>
      <c r="B157" s="16" t="n"/>
      <c r="C157" s="16" t="n"/>
      <c r="D157" s="10" t="n"/>
      <c r="E157" s="17" t="n"/>
      <c r="F157" s="17" t="n"/>
      <c r="G157" s="16" t="n"/>
      <c r="H157" s="17" t="n"/>
      <c r="I157" s="17" t="n"/>
      <c r="J157" s="17" t="n"/>
      <c r="K157" s="23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6" t="n"/>
      <c r="Z157" s="16" t="n"/>
    </row>
    <row r="158">
      <c r="A158" s="17" t="n"/>
      <c r="B158" s="16" t="n"/>
      <c r="C158" s="16" t="n"/>
      <c r="D158" s="10" t="n"/>
      <c r="E158" s="17" t="n"/>
      <c r="F158" s="17" t="n"/>
      <c r="G158" s="16" t="n"/>
      <c r="H158" s="17" t="n"/>
      <c r="I158" s="17" t="n"/>
      <c r="J158" s="17" t="n"/>
      <c r="K158" s="23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6" t="n"/>
      <c r="Z158" s="16" t="n"/>
    </row>
    <row r="159">
      <c r="A159" s="17" t="n"/>
      <c r="B159" s="16" t="n"/>
      <c r="C159" s="16" t="n"/>
      <c r="D159" s="10" t="n"/>
      <c r="E159" s="17" t="n"/>
      <c r="F159" s="17" t="n"/>
      <c r="G159" s="16" t="n"/>
      <c r="H159" s="17" t="n"/>
      <c r="I159" s="17" t="n"/>
      <c r="J159" s="17" t="n"/>
      <c r="K159" s="23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6" t="n"/>
      <c r="Z159" s="16" t="n"/>
    </row>
    <row r="160">
      <c r="A160" s="17" t="n"/>
      <c r="B160" s="16" t="n"/>
      <c r="C160" s="16" t="n"/>
      <c r="D160" s="10" t="n"/>
      <c r="E160" s="17" t="n"/>
      <c r="F160" s="17" t="n"/>
      <c r="G160" s="16" t="n"/>
      <c r="H160" s="17" t="n"/>
      <c r="I160" s="17" t="n"/>
      <c r="J160" s="17" t="n"/>
      <c r="K160" s="23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6" t="n"/>
      <c r="Z160" s="16" t="n"/>
    </row>
    <row r="161">
      <c r="A161" s="17" t="n"/>
      <c r="B161" s="16" t="n"/>
      <c r="C161" s="16" t="n"/>
      <c r="D161" s="10" t="n"/>
      <c r="E161" s="17" t="n"/>
      <c r="F161" s="17" t="n"/>
      <c r="G161" s="16" t="n"/>
      <c r="H161" s="17" t="n"/>
      <c r="I161" s="17" t="n"/>
      <c r="J161" s="17" t="n"/>
      <c r="K161" s="23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6" t="n"/>
      <c r="Z161" s="16" t="n"/>
    </row>
    <row r="162">
      <c r="A162" s="17" t="n"/>
      <c r="B162" s="16" t="n"/>
      <c r="C162" s="16" t="n"/>
      <c r="D162" s="10" t="n"/>
      <c r="E162" s="17" t="n"/>
      <c r="F162" s="17" t="n"/>
      <c r="G162" s="16" t="n"/>
      <c r="H162" s="17" t="n"/>
      <c r="I162" s="17" t="n"/>
      <c r="J162" s="17" t="n"/>
      <c r="K162" s="23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6" t="n"/>
      <c r="Z162" s="16" t="n"/>
    </row>
    <row r="163">
      <c r="A163" s="17" t="n"/>
      <c r="B163" s="16" t="n"/>
      <c r="C163" s="16" t="n"/>
      <c r="D163" s="10" t="n"/>
      <c r="E163" s="17" t="n"/>
      <c r="F163" s="17" t="n"/>
      <c r="G163" s="16" t="n"/>
      <c r="H163" s="17" t="n"/>
      <c r="I163" s="17" t="n"/>
      <c r="J163" s="17" t="n"/>
      <c r="K163" s="23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6" t="n"/>
      <c r="Z163" s="16" t="n"/>
    </row>
    <row r="164">
      <c r="A164" s="17" t="n"/>
      <c r="B164" s="16" t="n"/>
      <c r="C164" s="16" t="n"/>
      <c r="D164" s="10" t="n"/>
      <c r="E164" s="17" t="n"/>
      <c r="F164" s="17" t="n"/>
      <c r="G164" s="16" t="n"/>
      <c r="H164" s="17" t="n"/>
      <c r="I164" s="17" t="n"/>
      <c r="J164" s="17" t="n"/>
      <c r="K164" s="23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6" t="n"/>
      <c r="Z164" s="16" t="n"/>
    </row>
    <row r="165">
      <c r="A165" s="17" t="n"/>
      <c r="B165" s="16" t="n"/>
      <c r="C165" s="16" t="n"/>
      <c r="D165" s="10" t="n"/>
      <c r="E165" s="17" t="n"/>
      <c r="F165" s="17" t="n"/>
      <c r="G165" s="16" t="n"/>
      <c r="H165" s="17" t="n"/>
      <c r="I165" s="17" t="n"/>
      <c r="J165" s="17" t="n"/>
      <c r="K165" s="23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6" t="n"/>
      <c r="Z165" s="16" t="n"/>
    </row>
    <row r="166">
      <c r="A166" s="17" t="n"/>
      <c r="B166" s="16" t="n"/>
      <c r="C166" s="16" t="n"/>
      <c r="D166" s="10" t="n"/>
      <c r="E166" s="17" t="n"/>
      <c r="F166" s="17" t="n"/>
      <c r="G166" s="16" t="n"/>
      <c r="H166" s="17" t="n"/>
      <c r="I166" s="17" t="n"/>
      <c r="J166" s="17" t="n"/>
      <c r="K166" s="23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6" t="n"/>
      <c r="Z166" s="16" t="n"/>
    </row>
    <row r="167">
      <c r="A167" s="17" t="n"/>
      <c r="B167" s="16" t="n"/>
      <c r="C167" s="16" t="n"/>
      <c r="D167" s="10" t="n"/>
      <c r="E167" s="17" t="n"/>
      <c r="F167" s="17" t="n"/>
      <c r="G167" s="16" t="n"/>
      <c r="H167" s="17" t="n"/>
      <c r="I167" s="17" t="n"/>
      <c r="J167" s="17" t="n"/>
      <c r="K167" s="23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6" t="n"/>
      <c r="Z167" s="16" t="n"/>
    </row>
    <row r="168">
      <c r="A168" s="17" t="n"/>
      <c r="B168" s="16" t="n"/>
      <c r="C168" s="16" t="n"/>
      <c r="D168" s="10" t="n"/>
      <c r="E168" s="17" t="n"/>
      <c r="F168" s="17" t="n"/>
      <c r="G168" s="16" t="n"/>
      <c r="H168" s="17" t="n"/>
      <c r="I168" s="17" t="n"/>
      <c r="J168" s="17" t="n"/>
      <c r="K168" s="23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6" t="n"/>
      <c r="Z168" s="16" t="n"/>
    </row>
    <row r="169">
      <c r="A169" s="17" t="n"/>
      <c r="B169" s="16" t="n"/>
      <c r="C169" s="16" t="n"/>
      <c r="D169" s="10" t="n"/>
      <c r="E169" s="17" t="n"/>
      <c r="F169" s="17" t="n"/>
      <c r="G169" s="16" t="n"/>
      <c r="H169" s="17" t="n"/>
      <c r="I169" s="17" t="n"/>
      <c r="J169" s="17" t="n"/>
      <c r="K169" s="23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6" t="n"/>
      <c r="Z169" s="16" t="n"/>
    </row>
    <row r="170">
      <c r="A170" s="17" t="n"/>
      <c r="B170" s="16" t="n"/>
      <c r="C170" s="16" t="n"/>
      <c r="D170" s="10" t="n"/>
      <c r="E170" s="17" t="n"/>
      <c r="F170" s="17" t="n"/>
      <c r="G170" s="16" t="n"/>
      <c r="H170" s="17" t="n"/>
      <c r="I170" s="17" t="n"/>
      <c r="J170" s="17" t="n"/>
      <c r="K170" s="23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6" t="n"/>
      <c r="Z170" s="16" t="n"/>
    </row>
    <row r="171">
      <c r="A171" s="17" t="n"/>
      <c r="B171" s="16" t="n"/>
      <c r="C171" s="16" t="n"/>
      <c r="D171" s="10" t="n"/>
      <c r="E171" s="17" t="n"/>
      <c r="F171" s="17" t="n"/>
      <c r="G171" s="16" t="n"/>
      <c r="H171" s="17" t="n"/>
      <c r="I171" s="17" t="n"/>
      <c r="J171" s="17" t="n"/>
      <c r="K171" s="23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6" t="n"/>
      <c r="Z171" s="16" t="n"/>
    </row>
    <row r="172">
      <c r="A172" s="17" t="n"/>
      <c r="B172" s="16" t="n"/>
      <c r="C172" s="16" t="n"/>
      <c r="D172" s="10" t="n"/>
      <c r="E172" s="17" t="n"/>
      <c r="F172" s="17" t="n"/>
      <c r="G172" s="16" t="n"/>
      <c r="H172" s="17" t="n"/>
      <c r="I172" s="17" t="n"/>
      <c r="J172" s="17" t="n"/>
      <c r="K172" s="23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6" t="n"/>
      <c r="Z172" s="16" t="n"/>
    </row>
    <row r="173">
      <c r="A173" s="17" t="n"/>
      <c r="B173" s="16" t="n"/>
      <c r="C173" s="16" t="n"/>
      <c r="D173" s="10" t="n"/>
      <c r="E173" s="17" t="n"/>
      <c r="F173" s="17" t="n"/>
      <c r="G173" s="16" t="n"/>
      <c r="H173" s="17" t="n"/>
      <c r="I173" s="17" t="n"/>
      <c r="J173" s="17" t="n"/>
      <c r="K173" s="23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6" t="n"/>
      <c r="Z173" s="16" t="n"/>
    </row>
    <row r="174">
      <c r="A174" s="17" t="n"/>
      <c r="B174" s="16" t="n"/>
      <c r="C174" s="16" t="n"/>
      <c r="D174" s="10" t="n"/>
      <c r="E174" s="17" t="n"/>
      <c r="F174" s="17" t="n"/>
      <c r="G174" s="16" t="n"/>
      <c r="H174" s="17" t="n"/>
      <c r="I174" s="17" t="n"/>
      <c r="J174" s="17" t="n"/>
      <c r="K174" s="23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6" t="n"/>
      <c r="Z174" s="16" t="n"/>
    </row>
    <row r="175">
      <c r="A175" s="17" t="n"/>
      <c r="B175" s="16" t="n"/>
      <c r="C175" s="16" t="n"/>
      <c r="D175" s="10" t="n"/>
      <c r="E175" s="17" t="n"/>
      <c r="F175" s="17" t="n"/>
      <c r="G175" s="16" t="n"/>
      <c r="H175" s="17" t="n"/>
      <c r="I175" s="17" t="n"/>
      <c r="J175" s="17" t="n"/>
      <c r="K175" s="23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6" t="n"/>
      <c r="Z175" s="16" t="n"/>
    </row>
    <row r="176">
      <c r="A176" s="17" t="n"/>
      <c r="B176" s="16" t="n"/>
      <c r="C176" s="16" t="n"/>
      <c r="D176" s="10" t="n"/>
      <c r="E176" s="17" t="n"/>
      <c r="F176" s="17" t="n"/>
      <c r="G176" s="16" t="n"/>
      <c r="H176" s="17" t="n"/>
      <c r="I176" s="17" t="n"/>
      <c r="J176" s="17" t="n"/>
      <c r="K176" s="23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6" t="n"/>
      <c r="Z176" s="16" t="n"/>
    </row>
    <row r="177">
      <c r="A177" s="17" t="n"/>
      <c r="B177" s="16" t="n"/>
      <c r="C177" s="16" t="n"/>
      <c r="D177" s="10" t="n"/>
      <c r="E177" s="17" t="n"/>
      <c r="F177" s="17" t="n"/>
      <c r="G177" s="16" t="n"/>
      <c r="H177" s="17" t="n"/>
      <c r="I177" s="17" t="n"/>
      <c r="J177" s="17" t="n"/>
      <c r="K177" s="23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6" t="n"/>
      <c r="Z177" s="16" t="n"/>
    </row>
    <row r="178">
      <c r="A178" s="17" t="n"/>
      <c r="B178" s="16" t="n"/>
      <c r="C178" s="16" t="n"/>
      <c r="D178" s="10" t="n"/>
      <c r="E178" s="17" t="n"/>
      <c r="F178" s="17" t="n"/>
      <c r="G178" s="16" t="n"/>
      <c r="H178" s="17" t="n"/>
      <c r="I178" s="17" t="n"/>
      <c r="J178" s="17" t="n"/>
      <c r="K178" s="23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6" t="n"/>
      <c r="Z178" s="16" t="n"/>
    </row>
    <row r="179">
      <c r="A179" s="17" t="n"/>
      <c r="B179" s="16" t="n"/>
      <c r="C179" s="16" t="n"/>
      <c r="D179" s="10" t="n"/>
      <c r="E179" s="17" t="n"/>
      <c r="F179" s="17" t="n"/>
      <c r="G179" s="16" t="n"/>
      <c r="H179" s="17" t="n"/>
      <c r="I179" s="17" t="n"/>
      <c r="J179" s="17" t="n"/>
      <c r="K179" s="23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6" t="n"/>
      <c r="Z179" s="16" t="n"/>
    </row>
    <row r="180">
      <c r="A180" s="17" t="n"/>
      <c r="B180" s="16" t="n"/>
      <c r="C180" s="16" t="n"/>
      <c r="D180" s="10" t="n"/>
      <c r="E180" s="17" t="n"/>
      <c r="F180" s="17" t="n"/>
      <c r="G180" s="16" t="n"/>
      <c r="H180" s="17" t="n"/>
      <c r="I180" s="17" t="n"/>
      <c r="J180" s="17" t="n"/>
      <c r="K180" s="23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6" t="n"/>
      <c r="Z180" s="16" t="n"/>
    </row>
    <row r="181">
      <c r="A181" s="17" t="n"/>
      <c r="B181" s="16" t="n"/>
      <c r="C181" s="16" t="n"/>
      <c r="D181" s="10" t="n"/>
      <c r="E181" s="17" t="n"/>
      <c r="F181" s="17" t="n"/>
      <c r="G181" s="16" t="n"/>
      <c r="H181" s="17" t="n"/>
      <c r="I181" s="17" t="n"/>
      <c r="J181" s="17" t="n"/>
      <c r="K181" s="23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6" t="n"/>
      <c r="Z181" s="16" t="n"/>
    </row>
    <row r="182">
      <c r="A182" s="17" t="n"/>
      <c r="B182" s="16" t="n"/>
      <c r="C182" s="16" t="n"/>
      <c r="D182" s="10" t="n"/>
      <c r="E182" s="17" t="n"/>
      <c r="F182" s="17" t="n"/>
      <c r="G182" s="16" t="n"/>
      <c r="H182" s="17" t="n"/>
      <c r="I182" s="17" t="n"/>
      <c r="J182" s="17" t="n"/>
      <c r="K182" s="23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6" t="n"/>
      <c r="Z182" s="16" t="n"/>
    </row>
    <row r="183">
      <c r="A183" s="17" t="n"/>
      <c r="B183" s="16" t="n"/>
      <c r="C183" s="16" t="n"/>
      <c r="D183" s="10" t="n"/>
      <c r="E183" s="17" t="n"/>
      <c r="F183" s="17" t="n"/>
      <c r="G183" s="16" t="n"/>
      <c r="H183" s="17" t="n"/>
      <c r="I183" s="17" t="n"/>
      <c r="J183" s="17" t="n"/>
      <c r="K183" s="23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6" t="n"/>
      <c r="Z183" s="16" t="n"/>
    </row>
    <row r="184">
      <c r="A184" s="17" t="n"/>
      <c r="B184" s="16" t="n"/>
      <c r="C184" s="16" t="n"/>
      <c r="D184" s="10" t="n"/>
      <c r="E184" s="17" t="n"/>
      <c r="F184" s="17" t="n"/>
      <c r="G184" s="16" t="n"/>
      <c r="H184" s="17" t="n"/>
      <c r="I184" s="17" t="n"/>
      <c r="J184" s="17" t="n"/>
      <c r="K184" s="23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6" t="n"/>
      <c r="Z184" s="16" t="n"/>
    </row>
    <row r="185">
      <c r="A185" s="17" t="n"/>
      <c r="B185" s="16" t="n"/>
      <c r="C185" s="16" t="n"/>
      <c r="D185" s="10" t="n"/>
      <c r="E185" s="17" t="n"/>
      <c r="F185" s="17" t="n"/>
      <c r="G185" s="16" t="n"/>
      <c r="H185" s="17" t="n"/>
      <c r="I185" s="17" t="n"/>
      <c r="J185" s="17" t="n"/>
      <c r="K185" s="23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6" t="n"/>
      <c r="Z185" s="16" t="n"/>
    </row>
    <row r="186">
      <c r="A186" s="17" t="n"/>
      <c r="B186" s="16" t="n"/>
      <c r="C186" s="16" t="n"/>
      <c r="D186" s="10" t="n"/>
      <c r="E186" s="17" t="n"/>
      <c r="F186" s="17" t="n"/>
      <c r="G186" s="16" t="n"/>
      <c r="H186" s="17" t="n"/>
      <c r="I186" s="17" t="n"/>
      <c r="J186" s="17" t="n"/>
      <c r="K186" s="23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6" t="n"/>
      <c r="Z186" s="16" t="n"/>
    </row>
    <row r="187">
      <c r="A187" s="17" t="n"/>
      <c r="B187" s="16" t="n"/>
      <c r="C187" s="16" t="n"/>
      <c r="D187" s="10" t="n"/>
      <c r="E187" s="17" t="n"/>
      <c r="F187" s="17" t="n"/>
      <c r="G187" s="16" t="n"/>
      <c r="H187" s="17" t="n"/>
      <c r="I187" s="17" t="n"/>
      <c r="J187" s="17" t="n"/>
      <c r="K187" s="23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6" t="n"/>
      <c r="Z187" s="16" t="n"/>
    </row>
    <row r="188">
      <c r="A188" s="17" t="n"/>
      <c r="B188" s="16" t="n"/>
      <c r="C188" s="16" t="n"/>
      <c r="D188" s="10" t="n"/>
      <c r="E188" s="17" t="n"/>
      <c r="F188" s="17" t="n"/>
      <c r="G188" s="16" t="n"/>
      <c r="H188" s="17" t="n"/>
      <c r="I188" s="17" t="n"/>
      <c r="J188" s="17" t="n"/>
      <c r="K188" s="23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6" t="n"/>
      <c r="Z188" s="16" t="n"/>
    </row>
    <row r="189">
      <c r="A189" s="17" t="n"/>
      <c r="B189" s="16" t="n"/>
      <c r="C189" s="16" t="n"/>
      <c r="D189" s="10" t="n"/>
      <c r="E189" s="17" t="n"/>
      <c r="F189" s="17" t="n"/>
      <c r="G189" s="16" t="n"/>
      <c r="H189" s="17" t="n"/>
      <c r="I189" s="17" t="n"/>
      <c r="J189" s="17" t="n"/>
      <c r="K189" s="23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6" t="n"/>
      <c r="Z189" s="16" t="n"/>
    </row>
    <row r="190">
      <c r="A190" s="17" t="n"/>
      <c r="B190" s="16" t="n"/>
      <c r="C190" s="16" t="n"/>
      <c r="D190" s="10" t="n"/>
      <c r="E190" s="17" t="n"/>
      <c r="F190" s="17" t="n"/>
      <c r="G190" s="16" t="n"/>
      <c r="H190" s="17" t="n"/>
      <c r="I190" s="17" t="n"/>
      <c r="J190" s="17" t="n"/>
      <c r="K190" s="23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6" t="n"/>
      <c r="Z190" s="16" t="n"/>
    </row>
    <row r="191">
      <c r="A191" s="17" t="n"/>
      <c r="B191" s="16" t="n"/>
      <c r="C191" s="16" t="n"/>
      <c r="D191" s="10" t="n"/>
      <c r="E191" s="17" t="n"/>
      <c r="F191" s="17" t="n"/>
      <c r="G191" s="16" t="n"/>
      <c r="H191" s="17" t="n"/>
      <c r="I191" s="17" t="n"/>
      <c r="J191" s="17" t="n"/>
      <c r="K191" s="23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6" t="n"/>
      <c r="Z191" s="16" t="n"/>
    </row>
    <row r="192">
      <c r="A192" s="17" t="n"/>
      <c r="B192" s="16" t="n"/>
      <c r="C192" s="16" t="n"/>
      <c r="D192" s="10" t="n"/>
      <c r="E192" s="17" t="n"/>
      <c r="F192" s="17" t="n"/>
      <c r="G192" s="16" t="n"/>
      <c r="H192" s="17" t="n"/>
      <c r="I192" s="17" t="n"/>
      <c r="J192" s="17" t="n"/>
      <c r="K192" s="23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6" t="n"/>
      <c r="Z192" s="16" t="n"/>
    </row>
    <row r="193">
      <c r="A193" s="17" t="n"/>
      <c r="B193" s="16" t="n"/>
      <c r="C193" s="16" t="n"/>
      <c r="D193" s="10" t="n"/>
      <c r="E193" s="17" t="n"/>
      <c r="F193" s="17" t="n"/>
      <c r="G193" s="16" t="n"/>
      <c r="H193" s="17" t="n"/>
      <c r="I193" s="17" t="n"/>
      <c r="J193" s="17" t="n"/>
      <c r="K193" s="23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6" t="n"/>
      <c r="Z193" s="16" t="n"/>
    </row>
    <row r="194">
      <c r="A194" s="17" t="n"/>
      <c r="B194" s="16" t="n"/>
      <c r="C194" s="16" t="n"/>
      <c r="D194" s="10" t="n"/>
      <c r="E194" s="17" t="n"/>
      <c r="F194" s="17" t="n"/>
      <c r="G194" s="16" t="n"/>
      <c r="H194" s="17" t="n"/>
      <c r="I194" s="17" t="n"/>
      <c r="J194" s="17" t="n"/>
      <c r="K194" s="23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6" t="n"/>
      <c r="Z194" s="16" t="n"/>
    </row>
    <row r="195">
      <c r="A195" s="17" t="n"/>
      <c r="B195" s="16" t="n"/>
      <c r="C195" s="16" t="n"/>
      <c r="D195" s="10" t="n"/>
      <c r="E195" s="17" t="n"/>
      <c r="F195" s="17" t="n"/>
      <c r="G195" s="16" t="n"/>
      <c r="H195" s="17" t="n"/>
      <c r="I195" s="17" t="n"/>
      <c r="J195" s="17" t="n"/>
      <c r="K195" s="23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6" t="n"/>
      <c r="Z195" s="16" t="n"/>
    </row>
    <row r="196">
      <c r="A196" s="17" t="n"/>
      <c r="B196" s="16" t="n"/>
      <c r="C196" s="16" t="n"/>
      <c r="D196" s="10" t="n"/>
      <c r="E196" s="17" t="n"/>
      <c r="F196" s="17" t="n"/>
      <c r="G196" s="16" t="n"/>
      <c r="H196" s="17" t="n"/>
      <c r="I196" s="17" t="n"/>
      <c r="J196" s="17" t="n"/>
      <c r="K196" s="23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6" t="n"/>
      <c r="Z196" s="16" t="n"/>
    </row>
    <row r="197">
      <c r="A197" s="17" t="n"/>
      <c r="B197" s="16" t="n"/>
      <c r="C197" s="16" t="n"/>
      <c r="D197" s="10" t="n"/>
      <c r="E197" s="17" t="n"/>
      <c r="F197" s="17" t="n"/>
      <c r="G197" s="16" t="n"/>
      <c r="H197" s="17" t="n"/>
      <c r="I197" s="17" t="n"/>
      <c r="J197" s="17" t="n"/>
      <c r="K197" s="23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6" t="n"/>
      <c r="Z197" s="16" t="n"/>
    </row>
    <row r="198">
      <c r="A198" s="17" t="n"/>
      <c r="B198" s="16" t="n"/>
      <c r="C198" s="16" t="n"/>
      <c r="D198" s="10" t="n"/>
      <c r="E198" s="17" t="n"/>
      <c r="F198" s="17" t="n"/>
      <c r="G198" s="16" t="n"/>
      <c r="H198" s="17" t="n"/>
      <c r="I198" s="17" t="n"/>
      <c r="J198" s="17" t="n"/>
      <c r="K198" s="23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6" t="n"/>
      <c r="Z198" s="16" t="n"/>
    </row>
    <row r="199">
      <c r="A199" s="17" t="n"/>
      <c r="B199" s="16" t="n"/>
      <c r="C199" s="16" t="n"/>
      <c r="D199" s="10" t="n"/>
      <c r="E199" s="17" t="n"/>
      <c r="F199" s="17" t="n"/>
      <c r="G199" s="16" t="n"/>
      <c r="H199" s="17" t="n"/>
      <c r="I199" s="17" t="n"/>
      <c r="J199" s="17" t="n"/>
      <c r="K199" s="23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6" t="n"/>
      <c r="Z199" s="16" t="n"/>
    </row>
    <row r="200">
      <c r="A200" s="17" t="n"/>
      <c r="B200" s="16" t="n"/>
      <c r="C200" s="16" t="n"/>
      <c r="D200" s="10" t="n"/>
      <c r="E200" s="17" t="n"/>
      <c r="F200" s="17" t="n"/>
      <c r="G200" s="16" t="n"/>
      <c r="H200" s="17" t="n"/>
      <c r="I200" s="17" t="n"/>
      <c r="J200" s="17" t="n"/>
      <c r="K200" s="23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6" t="n"/>
      <c r="Z200" s="16" t="n"/>
    </row>
    <row r="201">
      <c r="A201" s="17" t="n"/>
      <c r="B201" s="16" t="n"/>
      <c r="C201" s="16" t="n"/>
      <c r="D201" s="10" t="n"/>
      <c r="E201" s="17" t="n"/>
      <c r="F201" s="17" t="n"/>
      <c r="G201" s="16" t="n"/>
      <c r="H201" s="17" t="n"/>
      <c r="I201" s="17" t="n"/>
      <c r="J201" s="17" t="n"/>
      <c r="K201" s="23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6" t="n"/>
      <c r="Z201" s="16" t="n"/>
    </row>
    <row r="202">
      <c r="A202" s="17" t="n"/>
      <c r="B202" s="16" t="n"/>
      <c r="C202" s="16" t="n"/>
      <c r="D202" s="10" t="n"/>
      <c r="E202" s="17" t="n"/>
      <c r="F202" s="17" t="n"/>
      <c r="G202" s="16" t="n"/>
      <c r="H202" s="17" t="n"/>
      <c r="I202" s="17" t="n"/>
      <c r="J202" s="17" t="n"/>
      <c r="K202" s="23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6" t="n"/>
      <c r="Z202" s="16" t="n"/>
    </row>
    <row r="203">
      <c r="A203" s="17" t="n"/>
      <c r="B203" s="16" t="n"/>
      <c r="C203" s="16" t="n"/>
      <c r="D203" s="10" t="n"/>
      <c r="E203" s="17" t="n"/>
      <c r="F203" s="17" t="n"/>
      <c r="G203" s="16" t="n"/>
      <c r="H203" s="17" t="n"/>
      <c r="I203" s="17" t="n"/>
      <c r="J203" s="17" t="n"/>
      <c r="K203" s="23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6" t="n"/>
      <c r="Z203" s="16" t="n"/>
    </row>
    <row r="204">
      <c r="A204" s="17" t="n"/>
      <c r="B204" s="16" t="n"/>
      <c r="C204" s="16" t="n"/>
      <c r="D204" s="10" t="n"/>
      <c r="E204" s="17" t="n"/>
      <c r="F204" s="17" t="n"/>
      <c r="G204" s="16" t="n"/>
      <c r="H204" s="17" t="n"/>
      <c r="I204" s="17" t="n"/>
      <c r="J204" s="17" t="n"/>
      <c r="K204" s="23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6" t="n"/>
      <c r="Z204" s="16" t="n"/>
    </row>
    <row r="205">
      <c r="A205" s="17" t="n"/>
      <c r="B205" s="16" t="n"/>
      <c r="C205" s="16" t="n"/>
      <c r="D205" s="10" t="n"/>
      <c r="E205" s="17" t="n"/>
      <c r="F205" s="17" t="n"/>
      <c r="G205" s="16" t="n"/>
      <c r="H205" s="17" t="n"/>
      <c r="I205" s="17" t="n"/>
      <c r="J205" s="17" t="n"/>
      <c r="K205" s="23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6" t="n"/>
      <c r="Z205" s="16" t="n"/>
    </row>
    <row r="206">
      <c r="A206" s="17" t="n"/>
      <c r="B206" s="16" t="n"/>
      <c r="C206" s="16" t="n"/>
      <c r="D206" s="10" t="n"/>
      <c r="E206" s="17" t="n"/>
      <c r="F206" s="17" t="n"/>
      <c r="G206" s="16" t="n"/>
      <c r="H206" s="17" t="n"/>
      <c r="I206" s="17" t="n"/>
      <c r="J206" s="17" t="n"/>
      <c r="K206" s="23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6" t="n"/>
      <c r="Z206" s="16" t="n"/>
    </row>
    <row r="207">
      <c r="A207" s="17" t="n"/>
      <c r="B207" s="16" t="n"/>
      <c r="C207" s="16" t="n"/>
      <c r="D207" s="10" t="n"/>
      <c r="E207" s="17" t="n"/>
      <c r="F207" s="17" t="n"/>
      <c r="G207" s="16" t="n"/>
      <c r="H207" s="17" t="n"/>
      <c r="I207" s="17" t="n"/>
      <c r="J207" s="17" t="n"/>
      <c r="K207" s="23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6" t="n"/>
      <c r="Z207" s="16" t="n"/>
    </row>
    <row r="208">
      <c r="A208" s="17" t="n"/>
      <c r="B208" s="16" t="n"/>
      <c r="C208" s="16" t="n"/>
      <c r="D208" s="10" t="n"/>
      <c r="E208" s="17" t="n"/>
      <c r="F208" s="17" t="n"/>
      <c r="G208" s="16" t="n"/>
      <c r="H208" s="17" t="n"/>
      <c r="I208" s="17" t="n"/>
      <c r="J208" s="17" t="n"/>
      <c r="K208" s="23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6" t="n"/>
      <c r="Z208" s="16" t="n"/>
    </row>
    <row r="209">
      <c r="A209" s="17" t="n"/>
      <c r="B209" s="16" t="n"/>
      <c r="C209" s="16" t="n"/>
      <c r="D209" s="10" t="n"/>
      <c r="E209" s="17" t="n"/>
      <c r="F209" s="17" t="n"/>
      <c r="G209" s="16" t="n"/>
      <c r="H209" s="17" t="n"/>
      <c r="I209" s="17" t="n"/>
      <c r="J209" s="17" t="n"/>
      <c r="K209" s="23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6" t="n"/>
      <c r="Z209" s="16" t="n"/>
    </row>
    <row r="210">
      <c r="A210" s="17" t="n"/>
      <c r="B210" s="16" t="n"/>
      <c r="C210" s="16" t="n"/>
      <c r="D210" s="10" t="n"/>
      <c r="E210" s="17" t="n"/>
      <c r="F210" s="17" t="n"/>
      <c r="G210" s="16" t="n"/>
      <c r="H210" s="17" t="n"/>
      <c r="I210" s="17" t="n"/>
      <c r="J210" s="17" t="n"/>
      <c r="K210" s="23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6" t="n"/>
      <c r="Z210" s="16" t="n"/>
    </row>
    <row r="211">
      <c r="A211" s="17" t="n"/>
      <c r="B211" s="16" t="n"/>
      <c r="C211" s="16" t="n"/>
      <c r="D211" s="10" t="n"/>
      <c r="E211" s="17" t="n"/>
      <c r="F211" s="17" t="n"/>
      <c r="G211" s="16" t="n"/>
      <c r="H211" s="17" t="n"/>
      <c r="I211" s="17" t="n"/>
      <c r="J211" s="17" t="n"/>
      <c r="K211" s="23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6" t="n"/>
      <c r="Z211" s="16" t="n"/>
    </row>
    <row r="212">
      <c r="A212" s="17" t="n"/>
      <c r="B212" s="16" t="n"/>
      <c r="C212" s="16" t="n"/>
      <c r="D212" s="10" t="n"/>
      <c r="E212" s="17" t="n"/>
      <c r="F212" s="17" t="n"/>
      <c r="G212" s="16" t="n"/>
      <c r="H212" s="17" t="n"/>
      <c r="I212" s="17" t="n"/>
      <c r="J212" s="17" t="n"/>
      <c r="K212" s="23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6" t="n"/>
      <c r="Z212" s="16" t="n"/>
    </row>
    <row r="213">
      <c r="A213" s="17" t="n"/>
      <c r="B213" s="16" t="n"/>
      <c r="C213" s="16" t="n"/>
      <c r="D213" s="10" t="n"/>
      <c r="E213" s="17" t="n"/>
      <c r="F213" s="17" t="n"/>
      <c r="G213" s="16" t="n"/>
      <c r="H213" s="17" t="n"/>
      <c r="I213" s="17" t="n"/>
      <c r="J213" s="17" t="n"/>
      <c r="K213" s="23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6" t="n"/>
      <c r="Z213" s="16" t="n"/>
    </row>
    <row r="214">
      <c r="A214" s="17" t="n"/>
      <c r="B214" s="16" t="n"/>
      <c r="C214" s="16" t="n"/>
      <c r="D214" s="10" t="n"/>
      <c r="E214" s="17" t="n"/>
      <c r="F214" s="17" t="n"/>
      <c r="G214" s="16" t="n"/>
      <c r="H214" s="17" t="n"/>
      <c r="I214" s="17" t="n"/>
      <c r="J214" s="17" t="n"/>
      <c r="K214" s="23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6" t="n"/>
      <c r="Z214" s="16" t="n"/>
    </row>
    <row r="215">
      <c r="A215" s="17" t="n"/>
      <c r="B215" s="16" t="n"/>
      <c r="C215" s="16" t="n"/>
      <c r="D215" s="10" t="n"/>
      <c r="E215" s="17" t="n"/>
      <c r="F215" s="17" t="n"/>
      <c r="G215" s="16" t="n"/>
      <c r="H215" s="17" t="n"/>
      <c r="I215" s="17" t="n"/>
      <c r="J215" s="17" t="n"/>
      <c r="K215" s="23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6" t="n"/>
      <c r="Z215" s="16" t="n"/>
    </row>
    <row r="216">
      <c r="A216" s="17" t="n"/>
      <c r="B216" s="16" t="n"/>
      <c r="C216" s="16" t="n"/>
      <c r="D216" s="10" t="n"/>
      <c r="E216" s="17" t="n"/>
      <c r="F216" s="17" t="n"/>
      <c r="G216" s="16" t="n"/>
      <c r="H216" s="17" t="n"/>
      <c r="I216" s="17" t="n"/>
      <c r="J216" s="17" t="n"/>
      <c r="K216" s="23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6" t="n"/>
      <c r="Z216" s="16" t="n"/>
    </row>
    <row r="217">
      <c r="A217" s="17" t="n"/>
      <c r="B217" s="16" t="n"/>
      <c r="C217" s="16" t="n"/>
      <c r="D217" s="10" t="n"/>
      <c r="E217" s="17" t="n"/>
      <c r="F217" s="17" t="n"/>
      <c r="G217" s="16" t="n"/>
      <c r="H217" s="17" t="n"/>
      <c r="I217" s="17" t="n"/>
      <c r="J217" s="17" t="n"/>
      <c r="K217" s="23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6" t="n"/>
      <c r="Z217" s="16" t="n"/>
    </row>
    <row r="218">
      <c r="A218" s="17" t="n"/>
      <c r="B218" s="16" t="n"/>
      <c r="C218" s="16" t="n"/>
      <c r="D218" s="10" t="n"/>
      <c r="E218" s="17" t="n"/>
      <c r="F218" s="17" t="n"/>
      <c r="G218" s="16" t="n"/>
      <c r="H218" s="17" t="n"/>
      <c r="I218" s="17" t="n"/>
      <c r="J218" s="17" t="n"/>
      <c r="K218" s="23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6" t="n"/>
      <c r="Z218" s="16" t="n"/>
    </row>
    <row r="219">
      <c r="A219" s="17" t="n"/>
      <c r="B219" s="16" t="n"/>
      <c r="C219" s="16" t="n"/>
      <c r="D219" s="10" t="n"/>
      <c r="E219" s="17" t="n"/>
      <c r="F219" s="17" t="n"/>
      <c r="G219" s="16" t="n"/>
      <c r="H219" s="17" t="n"/>
      <c r="I219" s="17" t="n"/>
      <c r="J219" s="17" t="n"/>
      <c r="K219" s="23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6" t="n"/>
      <c r="Z219" s="16" t="n"/>
    </row>
    <row r="220">
      <c r="A220" s="17" t="n"/>
      <c r="B220" s="16" t="n"/>
      <c r="C220" s="16" t="n"/>
      <c r="D220" s="10" t="n"/>
      <c r="E220" s="17" t="n"/>
      <c r="F220" s="17" t="n"/>
      <c r="G220" s="16" t="n"/>
      <c r="H220" s="17" t="n"/>
      <c r="I220" s="17" t="n"/>
      <c r="J220" s="17" t="n"/>
      <c r="K220" s="23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6" t="n"/>
      <c r="Z220" s="16" t="n"/>
    </row>
    <row r="221">
      <c r="A221" s="17" t="n"/>
      <c r="B221" s="16" t="n"/>
      <c r="C221" s="16" t="n"/>
      <c r="D221" s="10" t="n"/>
      <c r="E221" s="17" t="n"/>
      <c r="F221" s="17" t="n"/>
      <c r="G221" s="16" t="n"/>
      <c r="H221" s="17" t="n"/>
      <c r="I221" s="17" t="n"/>
      <c r="J221" s="17" t="n"/>
      <c r="K221" s="23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6" t="n"/>
      <c r="Z221" s="16" t="n"/>
    </row>
    <row r="222">
      <c r="A222" s="17" t="n"/>
      <c r="B222" s="16" t="n"/>
      <c r="C222" s="16" t="n"/>
      <c r="D222" s="10" t="n"/>
      <c r="E222" s="17" t="n"/>
      <c r="F222" s="17" t="n"/>
      <c r="G222" s="16" t="n"/>
      <c r="H222" s="17" t="n"/>
      <c r="I222" s="17" t="n"/>
      <c r="J222" s="17" t="n"/>
      <c r="K222" s="23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6" t="n"/>
      <c r="Z222" s="16" t="n"/>
    </row>
    <row r="223">
      <c r="A223" s="17" t="n"/>
      <c r="B223" s="16" t="n"/>
      <c r="C223" s="16" t="n"/>
      <c r="D223" s="10" t="n"/>
      <c r="E223" s="17" t="n"/>
      <c r="F223" s="17" t="n"/>
      <c r="G223" s="16" t="n"/>
      <c r="H223" s="17" t="n"/>
      <c r="I223" s="17" t="n"/>
      <c r="J223" s="17" t="n"/>
      <c r="K223" s="23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6" t="n"/>
      <c r="Z223" s="16" t="n"/>
    </row>
    <row r="224">
      <c r="A224" s="17" t="n"/>
      <c r="B224" s="16" t="n"/>
      <c r="C224" s="16" t="n"/>
      <c r="D224" s="10" t="n"/>
      <c r="E224" s="17" t="n"/>
      <c r="F224" s="17" t="n"/>
      <c r="G224" s="16" t="n"/>
      <c r="H224" s="17" t="n"/>
      <c r="I224" s="17" t="n"/>
      <c r="J224" s="17" t="n"/>
      <c r="K224" s="23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6" t="n"/>
      <c r="Z224" s="16" t="n"/>
    </row>
    <row r="225">
      <c r="A225" s="17" t="n"/>
      <c r="B225" s="16" t="n"/>
      <c r="C225" s="16" t="n"/>
      <c r="D225" s="10" t="n"/>
      <c r="E225" s="17" t="n"/>
      <c r="F225" s="17" t="n"/>
      <c r="G225" s="16" t="n"/>
      <c r="H225" s="17" t="n"/>
      <c r="I225" s="17" t="n"/>
      <c r="J225" s="17" t="n"/>
      <c r="K225" s="23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6" t="n"/>
      <c r="Z225" s="16" t="n"/>
    </row>
    <row r="226">
      <c r="A226" s="17" t="n"/>
      <c r="B226" s="16" t="n"/>
      <c r="C226" s="16" t="n"/>
      <c r="D226" s="10" t="n"/>
      <c r="E226" s="17" t="n"/>
      <c r="F226" s="17" t="n"/>
      <c r="G226" s="16" t="n"/>
      <c r="H226" s="17" t="n"/>
      <c r="I226" s="17" t="n"/>
      <c r="J226" s="17" t="n"/>
      <c r="K226" s="23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6" t="n"/>
      <c r="Z226" s="16" t="n"/>
    </row>
    <row r="227">
      <c r="A227" s="17" t="n"/>
      <c r="B227" s="16" t="n"/>
      <c r="C227" s="16" t="n"/>
      <c r="D227" s="10" t="n"/>
      <c r="E227" s="17" t="n"/>
      <c r="F227" s="17" t="n"/>
      <c r="G227" s="16" t="n"/>
      <c r="H227" s="17" t="n"/>
      <c r="I227" s="17" t="n"/>
      <c r="J227" s="17" t="n"/>
      <c r="K227" s="23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6" t="n"/>
      <c r="Z227" s="16" t="n"/>
    </row>
    <row r="228">
      <c r="A228" s="17" t="n"/>
      <c r="B228" s="16" t="n"/>
      <c r="C228" s="16" t="n"/>
      <c r="D228" s="10" t="n"/>
      <c r="E228" s="17" t="n"/>
      <c r="F228" s="17" t="n"/>
      <c r="G228" s="16" t="n"/>
      <c r="H228" s="17" t="n"/>
      <c r="I228" s="17" t="n"/>
      <c r="J228" s="17" t="n"/>
      <c r="K228" s="23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6" t="n"/>
      <c r="Z228" s="16" t="n"/>
    </row>
    <row r="229">
      <c r="A229" s="17" t="n"/>
      <c r="B229" s="16" t="n"/>
      <c r="C229" s="16" t="n"/>
      <c r="D229" s="10" t="n"/>
      <c r="E229" s="17" t="n"/>
      <c r="F229" s="17" t="n"/>
      <c r="G229" s="16" t="n"/>
      <c r="H229" s="17" t="n"/>
      <c r="I229" s="17" t="n"/>
      <c r="J229" s="17" t="n"/>
      <c r="K229" s="23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6" t="n"/>
      <c r="Z229" s="16" t="n"/>
    </row>
    <row r="230">
      <c r="A230" s="17" t="n"/>
      <c r="B230" s="16" t="n"/>
      <c r="C230" s="16" t="n"/>
      <c r="D230" s="10" t="n"/>
      <c r="E230" s="17" t="n"/>
      <c r="F230" s="17" t="n"/>
      <c r="G230" s="16" t="n"/>
      <c r="H230" s="17" t="n"/>
      <c r="I230" s="17" t="n"/>
      <c r="J230" s="17" t="n"/>
      <c r="K230" s="23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6" t="n"/>
      <c r="Z230" s="16" t="n"/>
    </row>
    <row r="231">
      <c r="A231" s="17" t="n"/>
      <c r="B231" s="16" t="n"/>
      <c r="C231" s="16" t="n"/>
      <c r="D231" s="10" t="n"/>
      <c r="E231" s="17" t="n"/>
      <c r="F231" s="17" t="n"/>
      <c r="G231" s="16" t="n"/>
      <c r="H231" s="17" t="n"/>
      <c r="I231" s="17" t="n"/>
      <c r="J231" s="17" t="n"/>
      <c r="K231" s="23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6" t="n"/>
      <c r="Z231" s="16" t="n"/>
    </row>
    <row r="232">
      <c r="A232" s="17" t="n"/>
      <c r="B232" s="16" t="n"/>
      <c r="C232" s="16" t="n"/>
      <c r="D232" s="10" t="n"/>
      <c r="E232" s="17" t="n"/>
      <c r="F232" s="17" t="n"/>
      <c r="G232" s="16" t="n"/>
      <c r="H232" s="17" t="n"/>
      <c r="I232" s="17" t="n"/>
      <c r="J232" s="17" t="n"/>
      <c r="K232" s="23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6" t="n"/>
      <c r="Z232" s="16" t="n"/>
    </row>
    <row r="233">
      <c r="A233" s="17" t="n"/>
      <c r="B233" s="16" t="n"/>
      <c r="C233" s="16" t="n"/>
      <c r="D233" s="10" t="n"/>
      <c r="E233" s="17" t="n"/>
      <c r="F233" s="17" t="n"/>
      <c r="G233" s="16" t="n"/>
      <c r="H233" s="17" t="n"/>
      <c r="I233" s="17" t="n"/>
      <c r="J233" s="17" t="n"/>
      <c r="K233" s="23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6" t="n"/>
      <c r="Z233" s="16" t="n"/>
    </row>
    <row r="234">
      <c r="A234" s="17" t="n"/>
      <c r="B234" s="16" t="n"/>
      <c r="C234" s="16" t="n"/>
      <c r="D234" s="10" t="n"/>
      <c r="E234" s="17" t="n"/>
      <c r="F234" s="17" t="n"/>
      <c r="G234" s="16" t="n"/>
      <c r="H234" s="17" t="n"/>
      <c r="I234" s="17" t="n"/>
      <c r="J234" s="17" t="n"/>
      <c r="K234" s="23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6" t="n"/>
      <c r="Z234" s="16" t="n"/>
    </row>
    <row r="235">
      <c r="A235" s="17" t="n"/>
      <c r="B235" s="16" t="n"/>
      <c r="C235" s="16" t="n"/>
      <c r="D235" s="10" t="n"/>
      <c r="E235" s="17" t="n"/>
      <c r="F235" s="17" t="n"/>
      <c r="G235" s="16" t="n"/>
      <c r="H235" s="17" t="n"/>
      <c r="I235" s="17" t="n"/>
      <c r="J235" s="17" t="n"/>
      <c r="K235" s="23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6" t="n"/>
      <c r="Z235" s="16" t="n"/>
    </row>
    <row r="236">
      <c r="A236" s="17" t="n"/>
      <c r="B236" s="16" t="n"/>
      <c r="C236" s="16" t="n"/>
      <c r="D236" s="10" t="n"/>
      <c r="E236" s="17" t="n"/>
      <c r="F236" s="17" t="n"/>
      <c r="G236" s="16" t="n"/>
      <c r="H236" s="17" t="n"/>
      <c r="I236" s="17" t="n"/>
      <c r="J236" s="17" t="n"/>
      <c r="K236" s="23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6" t="n"/>
      <c r="Z236" s="16" t="n"/>
    </row>
    <row r="237">
      <c r="A237" s="17" t="n"/>
      <c r="B237" s="16" t="n"/>
      <c r="C237" s="16" t="n"/>
      <c r="D237" s="10" t="n"/>
      <c r="E237" s="17" t="n"/>
      <c r="F237" s="17" t="n"/>
      <c r="G237" s="16" t="n"/>
      <c r="H237" s="17" t="n"/>
      <c r="I237" s="17" t="n"/>
      <c r="J237" s="17" t="n"/>
      <c r="K237" s="23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6" t="n"/>
      <c r="Z237" s="16" t="n"/>
    </row>
    <row r="238">
      <c r="A238" s="17" t="n"/>
      <c r="B238" s="16" t="n"/>
      <c r="C238" s="16" t="n"/>
      <c r="D238" s="10" t="n"/>
      <c r="E238" s="17" t="n"/>
      <c r="F238" s="17" t="n"/>
      <c r="G238" s="16" t="n"/>
      <c r="H238" s="17" t="n"/>
      <c r="I238" s="17" t="n"/>
      <c r="J238" s="17" t="n"/>
      <c r="K238" s="23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6" t="n"/>
      <c r="Z238" s="16" t="n"/>
    </row>
    <row r="239">
      <c r="A239" s="17" t="n"/>
      <c r="B239" s="16" t="n"/>
      <c r="C239" s="16" t="n"/>
      <c r="D239" s="10" t="n"/>
      <c r="E239" s="17" t="n"/>
      <c r="F239" s="17" t="n"/>
      <c r="G239" s="16" t="n"/>
      <c r="H239" s="17" t="n"/>
      <c r="I239" s="17" t="n"/>
      <c r="J239" s="17" t="n"/>
      <c r="K239" s="23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6" t="n"/>
      <c r="Z239" s="16" t="n"/>
    </row>
    <row r="240">
      <c r="A240" s="17" t="n"/>
      <c r="B240" s="16" t="n"/>
      <c r="C240" s="16" t="n"/>
      <c r="D240" s="10" t="n"/>
      <c r="E240" s="17" t="n"/>
      <c r="F240" s="17" t="n"/>
      <c r="G240" s="16" t="n"/>
      <c r="H240" s="17" t="n"/>
      <c r="I240" s="17" t="n"/>
      <c r="J240" s="17" t="n"/>
      <c r="K240" s="23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6" t="n"/>
      <c r="Z240" s="16" t="n"/>
    </row>
    <row r="241">
      <c r="A241" s="17" t="n"/>
      <c r="B241" s="16" t="n"/>
      <c r="C241" s="16" t="n"/>
      <c r="D241" s="10" t="n"/>
      <c r="E241" s="17" t="n"/>
      <c r="F241" s="17" t="n"/>
      <c r="G241" s="16" t="n"/>
      <c r="H241" s="17" t="n"/>
      <c r="I241" s="17" t="n"/>
      <c r="J241" s="17" t="n"/>
      <c r="K241" s="23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6" t="n"/>
      <c r="Z241" s="16" t="n"/>
    </row>
    <row r="242">
      <c r="A242" s="17" t="n"/>
      <c r="B242" s="16" t="n"/>
      <c r="C242" s="16" t="n"/>
      <c r="D242" s="10" t="n"/>
      <c r="E242" s="17" t="n"/>
      <c r="F242" s="17" t="n"/>
      <c r="G242" s="16" t="n"/>
      <c r="H242" s="17" t="n"/>
      <c r="I242" s="17" t="n"/>
      <c r="J242" s="17" t="n"/>
      <c r="K242" s="23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6" t="n"/>
      <c r="Z242" s="16" t="n"/>
    </row>
    <row r="243">
      <c r="A243" s="17" t="n"/>
      <c r="B243" s="16" t="n"/>
      <c r="C243" s="16" t="n"/>
      <c r="D243" s="10" t="n"/>
      <c r="E243" s="17" t="n"/>
      <c r="F243" s="17" t="n"/>
      <c r="G243" s="16" t="n"/>
      <c r="H243" s="17" t="n"/>
      <c r="I243" s="17" t="n"/>
      <c r="J243" s="17" t="n"/>
      <c r="K243" s="23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6" t="n"/>
      <c r="Z243" s="16" t="n"/>
    </row>
    <row r="244">
      <c r="A244" s="17" t="n"/>
      <c r="B244" s="16" t="n"/>
      <c r="C244" s="16" t="n"/>
      <c r="D244" s="10" t="n"/>
      <c r="E244" s="17" t="n"/>
      <c r="F244" s="17" t="n"/>
      <c r="G244" s="16" t="n"/>
      <c r="H244" s="17" t="n"/>
      <c r="I244" s="17" t="n"/>
      <c r="J244" s="17" t="n"/>
      <c r="K244" s="23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6" t="n"/>
      <c r="Z244" s="16" t="n"/>
    </row>
    <row r="245">
      <c r="A245" s="17" t="n"/>
      <c r="B245" s="16" t="n"/>
      <c r="C245" s="16" t="n"/>
      <c r="D245" s="10" t="n"/>
      <c r="E245" s="17" t="n"/>
      <c r="F245" s="17" t="n"/>
      <c r="G245" s="16" t="n"/>
      <c r="H245" s="17" t="n"/>
      <c r="I245" s="17" t="n"/>
      <c r="J245" s="17" t="n"/>
      <c r="K245" s="23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6" t="n"/>
      <c r="Z245" s="16" t="n"/>
    </row>
    <row r="246">
      <c r="A246" s="17" t="n"/>
      <c r="B246" s="16" t="n"/>
      <c r="C246" s="16" t="n"/>
      <c r="D246" s="10" t="n"/>
      <c r="E246" s="17" t="n"/>
      <c r="F246" s="17" t="n"/>
      <c r="G246" s="16" t="n"/>
      <c r="H246" s="17" t="n"/>
      <c r="I246" s="17" t="n"/>
      <c r="J246" s="17" t="n"/>
      <c r="K246" s="23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6" t="n"/>
      <c r="Z246" s="16" t="n"/>
    </row>
    <row r="247">
      <c r="A247" s="17" t="n"/>
      <c r="B247" s="16" t="n"/>
      <c r="C247" s="16" t="n"/>
      <c r="D247" s="10" t="n"/>
      <c r="E247" s="17" t="n"/>
      <c r="F247" s="17" t="n"/>
      <c r="G247" s="16" t="n"/>
      <c r="H247" s="17" t="n"/>
      <c r="I247" s="17" t="n"/>
      <c r="J247" s="17" t="n"/>
      <c r="K247" s="23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6" t="n"/>
      <c r="Z247" s="16" t="n"/>
    </row>
    <row r="248">
      <c r="A248" s="17" t="n"/>
      <c r="B248" s="16" t="n"/>
      <c r="C248" s="16" t="n"/>
      <c r="D248" s="10" t="n"/>
      <c r="E248" s="17" t="n"/>
      <c r="F248" s="17" t="n"/>
      <c r="G248" s="16" t="n"/>
      <c r="H248" s="17" t="n"/>
      <c r="I248" s="17" t="n"/>
      <c r="J248" s="17" t="n"/>
      <c r="K248" s="23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6" t="n"/>
      <c r="Z248" s="16" t="n"/>
    </row>
    <row r="249">
      <c r="A249" s="17" t="n"/>
      <c r="B249" s="16" t="n"/>
      <c r="C249" s="16" t="n"/>
      <c r="D249" s="10" t="n"/>
      <c r="E249" s="17" t="n"/>
      <c r="F249" s="17" t="n"/>
      <c r="G249" s="16" t="n"/>
      <c r="H249" s="17" t="n"/>
      <c r="I249" s="17" t="n"/>
      <c r="J249" s="17" t="n"/>
      <c r="K249" s="23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6" t="n"/>
      <c r="Z249" s="16" t="n"/>
    </row>
    <row r="250">
      <c r="A250" s="17" t="n"/>
      <c r="B250" s="16" t="n"/>
      <c r="C250" s="16" t="n"/>
      <c r="D250" s="10" t="n"/>
      <c r="E250" s="17" t="n"/>
      <c r="F250" s="17" t="n"/>
      <c r="G250" s="16" t="n"/>
      <c r="H250" s="17" t="n"/>
      <c r="I250" s="17" t="n"/>
      <c r="J250" s="17" t="n"/>
      <c r="K250" s="23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6" t="n"/>
      <c r="Z250" s="16" t="n"/>
    </row>
    <row r="251">
      <c r="A251" s="17" t="n"/>
      <c r="B251" s="16" t="n"/>
      <c r="C251" s="16" t="n"/>
      <c r="D251" s="10" t="n"/>
      <c r="E251" s="17" t="n"/>
      <c r="F251" s="17" t="n"/>
      <c r="G251" s="16" t="n"/>
      <c r="H251" s="17" t="n"/>
      <c r="I251" s="17" t="n"/>
      <c r="J251" s="17" t="n"/>
      <c r="K251" s="23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6" t="n"/>
      <c r="Z251" s="16" t="n"/>
    </row>
    <row r="252">
      <c r="A252" s="17" t="n"/>
      <c r="B252" s="16" t="n"/>
      <c r="C252" s="16" t="n"/>
      <c r="D252" s="10" t="n"/>
      <c r="E252" s="17" t="n"/>
      <c r="F252" s="17" t="n"/>
      <c r="G252" s="16" t="n"/>
      <c r="H252" s="17" t="n"/>
      <c r="I252" s="17" t="n"/>
      <c r="J252" s="17" t="n"/>
      <c r="K252" s="23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6" t="n"/>
      <c r="Z252" s="16" t="n"/>
    </row>
    <row r="253">
      <c r="A253" s="17" t="n"/>
      <c r="B253" s="16" t="n"/>
      <c r="C253" s="16" t="n"/>
      <c r="D253" s="10" t="n"/>
      <c r="E253" s="17" t="n"/>
      <c r="F253" s="17" t="n"/>
      <c r="G253" s="16" t="n"/>
      <c r="H253" s="17" t="n"/>
      <c r="I253" s="17" t="n"/>
      <c r="J253" s="17" t="n"/>
      <c r="K253" s="23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6" t="n"/>
      <c r="Z253" s="16" t="n"/>
    </row>
    <row r="254">
      <c r="A254" s="17" t="n"/>
      <c r="B254" s="16" t="n"/>
      <c r="C254" s="16" t="n"/>
      <c r="D254" s="10" t="n"/>
      <c r="E254" s="17" t="n"/>
      <c r="F254" s="17" t="n"/>
      <c r="G254" s="16" t="n"/>
      <c r="H254" s="17" t="n"/>
      <c r="I254" s="17" t="n"/>
      <c r="J254" s="17" t="n"/>
      <c r="K254" s="23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6" t="n"/>
      <c r="Z254" s="16" t="n"/>
    </row>
    <row r="255">
      <c r="A255" s="17" t="n"/>
      <c r="B255" s="16" t="n"/>
      <c r="C255" s="16" t="n"/>
      <c r="D255" s="10" t="n"/>
      <c r="E255" s="17" t="n"/>
      <c r="F255" s="17" t="n"/>
      <c r="G255" s="16" t="n"/>
      <c r="H255" s="17" t="n"/>
      <c r="I255" s="17" t="n"/>
      <c r="J255" s="17" t="n"/>
      <c r="K255" s="23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6" t="n"/>
      <c r="Z255" s="16" t="n"/>
    </row>
    <row r="256">
      <c r="A256" s="17" t="n"/>
      <c r="B256" s="16" t="n"/>
      <c r="C256" s="16" t="n"/>
      <c r="D256" s="10" t="n"/>
      <c r="E256" s="17" t="n"/>
      <c r="F256" s="17" t="n"/>
      <c r="G256" s="16" t="n"/>
      <c r="H256" s="17" t="n"/>
      <c r="I256" s="17" t="n"/>
      <c r="J256" s="17" t="n"/>
      <c r="K256" s="23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6" t="n"/>
      <c r="Z256" s="16" t="n"/>
    </row>
    <row r="257">
      <c r="A257" s="17" t="n"/>
      <c r="B257" s="16" t="n"/>
      <c r="C257" s="16" t="n"/>
      <c r="D257" s="10" t="n"/>
      <c r="E257" s="17" t="n"/>
      <c r="F257" s="17" t="n"/>
      <c r="G257" s="16" t="n"/>
      <c r="H257" s="17" t="n"/>
      <c r="I257" s="17" t="n"/>
      <c r="J257" s="17" t="n"/>
      <c r="K257" s="23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6" t="n"/>
      <c r="Z257" s="16" t="n"/>
    </row>
    <row r="258">
      <c r="A258" s="17" t="n"/>
      <c r="B258" s="16" t="n"/>
      <c r="C258" s="16" t="n"/>
      <c r="D258" s="10" t="n"/>
      <c r="E258" s="17" t="n"/>
      <c r="F258" s="17" t="n"/>
      <c r="G258" s="16" t="n"/>
      <c r="H258" s="17" t="n"/>
      <c r="I258" s="17" t="n"/>
      <c r="J258" s="17" t="n"/>
      <c r="K258" s="23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6" t="n"/>
      <c r="Z258" s="16" t="n"/>
    </row>
    <row r="259">
      <c r="A259" s="17" t="n"/>
      <c r="B259" s="16" t="n"/>
      <c r="C259" s="16" t="n"/>
      <c r="D259" s="10" t="n"/>
      <c r="E259" s="17" t="n"/>
      <c r="F259" s="17" t="n"/>
      <c r="G259" s="16" t="n"/>
      <c r="H259" s="17" t="n"/>
      <c r="I259" s="17" t="n"/>
      <c r="J259" s="17" t="n"/>
      <c r="K259" s="23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6" t="n"/>
      <c r="Z259" s="16" t="n"/>
    </row>
    <row r="260">
      <c r="A260" s="17" t="n"/>
      <c r="B260" s="16" t="n"/>
      <c r="C260" s="16" t="n"/>
      <c r="D260" s="10" t="n"/>
      <c r="E260" s="17" t="n"/>
      <c r="F260" s="17" t="n"/>
      <c r="G260" s="16" t="n"/>
      <c r="H260" s="17" t="n"/>
      <c r="I260" s="17" t="n"/>
      <c r="J260" s="17" t="n"/>
      <c r="K260" s="23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6" t="n"/>
      <c r="Z260" s="16" t="n"/>
    </row>
    <row r="261">
      <c r="A261" s="17" t="n"/>
      <c r="B261" s="16" t="n"/>
      <c r="C261" s="16" t="n"/>
      <c r="D261" s="10" t="n"/>
      <c r="E261" s="17" t="n"/>
      <c r="F261" s="17" t="n"/>
      <c r="G261" s="16" t="n"/>
      <c r="H261" s="17" t="n"/>
      <c r="I261" s="17" t="n"/>
      <c r="J261" s="17" t="n"/>
      <c r="K261" s="23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6" t="n"/>
      <c r="Z261" s="16" t="n"/>
    </row>
    <row r="262">
      <c r="A262" s="17" t="n"/>
      <c r="B262" s="16" t="n"/>
      <c r="C262" s="16" t="n"/>
      <c r="D262" s="10" t="n"/>
      <c r="E262" s="17" t="n"/>
      <c r="F262" s="17" t="n"/>
      <c r="G262" s="16" t="n"/>
      <c r="H262" s="17" t="n"/>
      <c r="I262" s="17" t="n"/>
      <c r="J262" s="17" t="n"/>
      <c r="K262" s="23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6" t="n"/>
      <c r="Z262" s="16" t="n"/>
    </row>
    <row r="263">
      <c r="A263" s="17" t="n"/>
      <c r="B263" s="16" t="n"/>
      <c r="C263" s="16" t="n"/>
      <c r="D263" s="10" t="n"/>
      <c r="E263" s="17" t="n"/>
      <c r="F263" s="17" t="n"/>
      <c r="G263" s="16" t="n"/>
      <c r="H263" s="17" t="n"/>
      <c r="I263" s="17" t="n"/>
      <c r="J263" s="17" t="n"/>
      <c r="K263" s="23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6" t="n"/>
      <c r="Z263" s="16" t="n"/>
    </row>
    <row r="264">
      <c r="A264" s="17" t="n"/>
      <c r="B264" s="16" t="n"/>
      <c r="C264" s="16" t="n"/>
      <c r="D264" s="10" t="n"/>
      <c r="E264" s="17" t="n"/>
      <c r="F264" s="17" t="n"/>
      <c r="G264" s="16" t="n"/>
      <c r="H264" s="17" t="n"/>
      <c r="I264" s="17" t="n"/>
      <c r="J264" s="17" t="n"/>
      <c r="K264" s="23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6" t="n"/>
      <c r="Z264" s="16" t="n"/>
    </row>
    <row r="265">
      <c r="A265" s="17" t="n"/>
      <c r="B265" s="16" t="n"/>
      <c r="C265" s="16" t="n"/>
      <c r="D265" s="10" t="n"/>
      <c r="E265" s="17" t="n"/>
      <c r="F265" s="17" t="n"/>
      <c r="G265" s="16" t="n"/>
      <c r="H265" s="17" t="n"/>
      <c r="I265" s="17" t="n"/>
      <c r="J265" s="17" t="n"/>
      <c r="K265" s="23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6" t="n"/>
      <c r="Z265" s="16" t="n"/>
    </row>
    <row r="266">
      <c r="A266" s="17" t="n"/>
      <c r="B266" s="16" t="n"/>
      <c r="C266" s="16" t="n"/>
      <c r="D266" s="10" t="n"/>
      <c r="E266" s="17" t="n"/>
      <c r="F266" s="17" t="n"/>
      <c r="G266" s="16" t="n"/>
      <c r="H266" s="17" t="n"/>
      <c r="I266" s="17" t="n"/>
      <c r="J266" s="17" t="n"/>
      <c r="K266" s="23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6" t="n"/>
      <c r="Z266" s="16" t="n"/>
    </row>
    <row r="267">
      <c r="A267" s="17" t="n"/>
      <c r="B267" s="16" t="n"/>
      <c r="C267" s="16" t="n"/>
      <c r="D267" s="10" t="n"/>
      <c r="E267" s="17" t="n"/>
      <c r="F267" s="17" t="n"/>
      <c r="G267" s="16" t="n"/>
      <c r="H267" s="17" t="n"/>
      <c r="I267" s="17" t="n"/>
      <c r="J267" s="17" t="n"/>
      <c r="K267" s="23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6" t="n"/>
      <c r="Z267" s="16" t="n"/>
    </row>
    <row r="268">
      <c r="A268" s="17" t="n"/>
      <c r="B268" s="16" t="n"/>
      <c r="C268" s="16" t="n"/>
      <c r="D268" s="10" t="n"/>
      <c r="E268" s="17" t="n"/>
      <c r="F268" s="17" t="n"/>
      <c r="G268" s="16" t="n"/>
      <c r="H268" s="17" t="n"/>
      <c r="I268" s="17" t="n"/>
      <c r="J268" s="17" t="n"/>
      <c r="K268" s="23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6" t="n"/>
      <c r="Z268" s="16" t="n"/>
    </row>
    <row r="269">
      <c r="A269" s="17" t="n"/>
      <c r="B269" s="16" t="n"/>
      <c r="C269" s="16" t="n"/>
      <c r="D269" s="10" t="n"/>
      <c r="E269" s="17" t="n"/>
      <c r="F269" s="17" t="n"/>
      <c r="G269" s="16" t="n"/>
      <c r="H269" s="17" t="n"/>
      <c r="I269" s="17" t="n"/>
      <c r="J269" s="17" t="n"/>
      <c r="K269" s="23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6" t="n"/>
      <c r="Z269" s="16" t="n"/>
    </row>
    <row r="270">
      <c r="A270" s="17" t="n"/>
      <c r="B270" s="16" t="n"/>
      <c r="C270" s="16" t="n"/>
      <c r="D270" s="10" t="n"/>
      <c r="E270" s="17" t="n"/>
      <c r="F270" s="17" t="n"/>
      <c r="G270" s="16" t="n"/>
      <c r="H270" s="17" t="n"/>
      <c r="I270" s="17" t="n"/>
      <c r="J270" s="17" t="n"/>
      <c r="K270" s="23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6" t="n"/>
      <c r="Z270" s="16" t="n"/>
    </row>
    <row r="271">
      <c r="A271" s="17" t="n"/>
      <c r="B271" s="16" t="n"/>
      <c r="C271" s="16" t="n"/>
      <c r="D271" s="10" t="n"/>
      <c r="E271" s="17" t="n"/>
      <c r="F271" s="17" t="n"/>
      <c r="G271" s="16" t="n"/>
      <c r="H271" s="17" t="n"/>
      <c r="I271" s="17" t="n"/>
      <c r="J271" s="17" t="n"/>
      <c r="K271" s="23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6" t="n"/>
      <c r="Z271" s="16" t="n"/>
    </row>
    <row r="272">
      <c r="A272" s="17" t="n"/>
      <c r="B272" s="16" t="n"/>
      <c r="C272" s="16" t="n"/>
      <c r="D272" s="10" t="n"/>
      <c r="E272" s="17" t="n"/>
      <c r="F272" s="17" t="n"/>
      <c r="G272" s="16" t="n"/>
      <c r="H272" s="17" t="n"/>
      <c r="I272" s="17" t="n"/>
      <c r="J272" s="17" t="n"/>
      <c r="K272" s="23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6" t="n"/>
      <c r="Z272" s="16" t="n"/>
    </row>
    <row r="273">
      <c r="A273" s="17" t="n"/>
      <c r="B273" s="16" t="n"/>
      <c r="C273" s="16" t="n"/>
      <c r="D273" s="10" t="n"/>
      <c r="E273" s="17" t="n"/>
      <c r="F273" s="17" t="n"/>
      <c r="G273" s="16" t="n"/>
      <c r="H273" s="17" t="n"/>
      <c r="I273" s="17" t="n"/>
      <c r="J273" s="17" t="n"/>
      <c r="K273" s="23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6" t="n"/>
      <c r="Z273" s="16" t="n"/>
    </row>
    <row r="274">
      <c r="A274" s="17" t="n"/>
      <c r="B274" s="16" t="n"/>
      <c r="C274" s="16" t="n"/>
      <c r="D274" s="10" t="n"/>
      <c r="E274" s="17" t="n"/>
      <c r="F274" s="17" t="n"/>
      <c r="G274" s="16" t="n"/>
      <c r="H274" s="17" t="n"/>
      <c r="I274" s="17" t="n"/>
      <c r="J274" s="17" t="n"/>
      <c r="K274" s="23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6" t="n"/>
      <c r="Z274" s="16" t="n"/>
    </row>
    <row r="275">
      <c r="A275" s="17" t="n"/>
      <c r="B275" s="16" t="n"/>
      <c r="C275" s="16" t="n"/>
      <c r="D275" s="10" t="n"/>
      <c r="E275" s="17" t="n"/>
      <c r="F275" s="17" t="n"/>
      <c r="G275" s="16" t="n"/>
      <c r="H275" s="17" t="n"/>
      <c r="I275" s="17" t="n"/>
      <c r="J275" s="17" t="n"/>
      <c r="K275" s="23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6" t="n"/>
      <c r="Z275" s="16" t="n"/>
    </row>
    <row r="276">
      <c r="A276" s="17" t="n"/>
      <c r="B276" s="16" t="n"/>
      <c r="C276" s="16" t="n"/>
      <c r="D276" s="10" t="n"/>
      <c r="E276" s="17" t="n"/>
      <c r="F276" s="17" t="n"/>
      <c r="G276" s="16" t="n"/>
      <c r="H276" s="17" t="n"/>
      <c r="I276" s="17" t="n"/>
      <c r="J276" s="17" t="n"/>
      <c r="K276" s="23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6" t="n"/>
      <c r="Z276" s="16" t="n"/>
    </row>
    <row r="277">
      <c r="A277" s="17" t="n"/>
      <c r="B277" s="16" t="n"/>
      <c r="C277" s="16" t="n"/>
      <c r="D277" s="10" t="n"/>
      <c r="E277" s="17" t="n"/>
      <c r="F277" s="17" t="n"/>
      <c r="G277" s="16" t="n"/>
      <c r="H277" s="17" t="n"/>
      <c r="I277" s="17" t="n"/>
      <c r="J277" s="17" t="n"/>
      <c r="K277" s="23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6" t="n"/>
      <c r="Z277" s="16" t="n"/>
    </row>
    <row r="278">
      <c r="A278" s="17" t="n"/>
      <c r="B278" s="16" t="n"/>
      <c r="C278" s="16" t="n"/>
      <c r="D278" s="10" t="n"/>
      <c r="E278" s="17" t="n"/>
      <c r="F278" s="17" t="n"/>
      <c r="G278" s="16" t="n"/>
      <c r="H278" s="17" t="n"/>
      <c r="I278" s="17" t="n"/>
      <c r="J278" s="17" t="n"/>
      <c r="K278" s="23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6" t="n"/>
      <c r="Z278" s="16" t="n"/>
    </row>
    <row r="279">
      <c r="A279" s="17" t="n"/>
      <c r="B279" s="16" t="n"/>
      <c r="C279" s="16" t="n"/>
      <c r="D279" s="10" t="n"/>
      <c r="E279" s="17" t="n"/>
      <c r="F279" s="17" t="n"/>
      <c r="G279" s="16" t="n"/>
      <c r="H279" s="17" t="n"/>
      <c r="I279" s="17" t="n"/>
      <c r="J279" s="17" t="n"/>
      <c r="K279" s="23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6" t="n"/>
      <c r="Z279" s="16" t="n"/>
    </row>
    <row r="280">
      <c r="A280" s="17" t="n"/>
      <c r="B280" s="16" t="n"/>
      <c r="C280" s="16" t="n"/>
      <c r="D280" s="10" t="n"/>
      <c r="E280" s="17" t="n"/>
      <c r="F280" s="17" t="n"/>
      <c r="G280" s="16" t="n"/>
      <c r="H280" s="17" t="n"/>
      <c r="I280" s="17" t="n"/>
      <c r="J280" s="17" t="n"/>
      <c r="K280" s="23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6" t="n"/>
      <c r="Z280" s="16" t="n"/>
    </row>
    <row r="281">
      <c r="A281" s="17" t="n"/>
      <c r="B281" s="16" t="n"/>
      <c r="C281" s="16" t="n"/>
      <c r="D281" s="10" t="n"/>
      <c r="E281" s="17" t="n"/>
      <c r="F281" s="17" t="n"/>
      <c r="G281" s="16" t="n"/>
      <c r="H281" s="17" t="n"/>
      <c r="I281" s="17" t="n"/>
      <c r="J281" s="17" t="n"/>
      <c r="K281" s="23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6" t="n"/>
      <c r="Z281" s="16" t="n"/>
    </row>
    <row r="282">
      <c r="A282" s="17" t="n"/>
      <c r="B282" s="16" t="n"/>
      <c r="C282" s="16" t="n"/>
      <c r="D282" s="10" t="n"/>
      <c r="E282" s="17" t="n"/>
      <c r="F282" s="17" t="n"/>
      <c r="G282" s="16" t="n"/>
      <c r="H282" s="17" t="n"/>
      <c r="I282" s="17" t="n"/>
      <c r="J282" s="17" t="n"/>
      <c r="K282" s="23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6" t="n"/>
      <c r="Z282" s="16" t="n"/>
    </row>
    <row r="283">
      <c r="A283" s="17" t="n"/>
      <c r="B283" s="16" t="n"/>
      <c r="C283" s="16" t="n"/>
      <c r="D283" s="10" t="n"/>
      <c r="E283" s="17" t="n"/>
      <c r="F283" s="17" t="n"/>
      <c r="G283" s="16" t="n"/>
      <c r="H283" s="17" t="n"/>
      <c r="I283" s="17" t="n"/>
      <c r="J283" s="17" t="n"/>
      <c r="K283" s="23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6" t="n"/>
      <c r="Z283" s="16" t="n"/>
    </row>
    <row r="284">
      <c r="A284" s="17" t="n"/>
      <c r="B284" s="16" t="n"/>
      <c r="C284" s="16" t="n"/>
      <c r="D284" s="10" t="n"/>
      <c r="E284" s="17" t="n"/>
      <c r="F284" s="17" t="n"/>
      <c r="G284" s="16" t="n"/>
      <c r="H284" s="17" t="n"/>
      <c r="I284" s="17" t="n"/>
      <c r="J284" s="17" t="n"/>
      <c r="K284" s="23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6" t="n"/>
      <c r="Z284" s="16" t="n"/>
    </row>
    <row r="285">
      <c r="A285" s="17" t="n"/>
      <c r="B285" s="16" t="n"/>
      <c r="C285" s="16" t="n"/>
      <c r="D285" s="10" t="n"/>
      <c r="E285" s="17" t="n"/>
      <c r="F285" s="17" t="n"/>
      <c r="G285" s="16" t="n"/>
      <c r="H285" s="17" t="n"/>
      <c r="I285" s="17" t="n"/>
      <c r="J285" s="17" t="n"/>
      <c r="K285" s="23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6" t="n"/>
      <c r="Z285" s="16" t="n"/>
    </row>
    <row r="286">
      <c r="A286" s="17" t="n"/>
      <c r="B286" s="16" t="n"/>
      <c r="C286" s="16" t="n"/>
      <c r="D286" s="10" t="n"/>
      <c r="E286" s="17" t="n"/>
      <c r="F286" s="17" t="n"/>
      <c r="G286" s="16" t="n"/>
      <c r="H286" s="17" t="n"/>
      <c r="I286" s="17" t="n"/>
      <c r="J286" s="17" t="n"/>
      <c r="K286" s="23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6" t="n"/>
      <c r="Z286" s="16" t="n"/>
    </row>
    <row r="287">
      <c r="A287" s="17" t="n"/>
      <c r="B287" s="16" t="n"/>
      <c r="C287" s="16" t="n"/>
      <c r="D287" s="10" t="n"/>
      <c r="E287" s="17" t="n"/>
      <c r="F287" s="17" t="n"/>
      <c r="G287" s="16" t="n"/>
      <c r="H287" s="17" t="n"/>
      <c r="I287" s="17" t="n"/>
      <c r="J287" s="17" t="n"/>
      <c r="K287" s="23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6" t="n"/>
      <c r="Z287" s="16" t="n"/>
    </row>
    <row r="288">
      <c r="A288" s="17" t="n"/>
      <c r="B288" s="16" t="n"/>
      <c r="C288" s="16" t="n"/>
      <c r="D288" s="10" t="n"/>
      <c r="E288" s="17" t="n"/>
      <c r="F288" s="17" t="n"/>
      <c r="G288" s="16" t="n"/>
      <c r="H288" s="17" t="n"/>
      <c r="I288" s="17" t="n"/>
      <c r="J288" s="17" t="n"/>
      <c r="K288" s="23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6" t="n"/>
      <c r="Z288" s="16" t="n"/>
    </row>
    <row r="289">
      <c r="A289" s="17" t="n"/>
      <c r="B289" s="16" t="n"/>
      <c r="C289" s="16" t="n"/>
      <c r="D289" s="10" t="n"/>
      <c r="E289" s="17" t="n"/>
      <c r="F289" s="17" t="n"/>
      <c r="G289" s="16" t="n"/>
      <c r="H289" s="17" t="n"/>
      <c r="I289" s="17" t="n"/>
      <c r="J289" s="17" t="n"/>
      <c r="K289" s="23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6" t="n"/>
      <c r="Z289" s="16" t="n"/>
    </row>
    <row r="290">
      <c r="A290" s="17" t="n"/>
      <c r="B290" s="16" t="n"/>
      <c r="C290" s="16" t="n"/>
      <c r="D290" s="10" t="n"/>
      <c r="E290" s="17" t="n"/>
      <c r="F290" s="17" t="n"/>
      <c r="G290" s="16" t="n"/>
      <c r="H290" s="17" t="n"/>
      <c r="I290" s="17" t="n"/>
      <c r="J290" s="17" t="n"/>
      <c r="K290" s="23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6" t="n"/>
      <c r="Z290" s="16" t="n"/>
    </row>
    <row r="291">
      <c r="A291" s="17" t="n"/>
      <c r="B291" s="16" t="n"/>
      <c r="C291" s="16" t="n"/>
      <c r="D291" s="10" t="n"/>
      <c r="E291" s="17" t="n"/>
      <c r="F291" s="17" t="n"/>
      <c r="G291" s="16" t="n"/>
      <c r="H291" s="17" t="n"/>
      <c r="I291" s="17" t="n"/>
      <c r="J291" s="17" t="n"/>
      <c r="K291" s="23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6" t="n"/>
      <c r="Z291" s="16" t="n"/>
    </row>
    <row r="292">
      <c r="A292" s="17" t="n"/>
      <c r="B292" s="16" t="n"/>
      <c r="C292" s="16" t="n"/>
      <c r="D292" s="10" t="n"/>
      <c r="E292" s="17" t="n"/>
      <c r="F292" s="17" t="n"/>
      <c r="G292" s="16" t="n"/>
      <c r="H292" s="17" t="n"/>
      <c r="I292" s="17" t="n"/>
      <c r="J292" s="17" t="n"/>
      <c r="K292" s="23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6" t="n"/>
      <c r="Z292" s="16" t="n"/>
    </row>
    <row r="293">
      <c r="A293" s="17" t="n"/>
      <c r="B293" s="16" t="n"/>
      <c r="C293" s="16" t="n"/>
      <c r="D293" s="10" t="n"/>
      <c r="E293" s="17" t="n"/>
      <c r="F293" s="17" t="n"/>
      <c r="G293" s="16" t="n"/>
      <c r="H293" s="17" t="n"/>
      <c r="I293" s="17" t="n"/>
      <c r="J293" s="17" t="n"/>
      <c r="K293" s="23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6" t="n"/>
      <c r="Z293" s="16" t="n"/>
    </row>
    <row r="294">
      <c r="A294" s="17" t="n"/>
      <c r="B294" s="16" t="n"/>
      <c r="C294" s="16" t="n"/>
      <c r="D294" s="10" t="n"/>
      <c r="E294" s="17" t="n"/>
      <c r="F294" s="17" t="n"/>
      <c r="G294" s="16" t="n"/>
      <c r="H294" s="17" t="n"/>
      <c r="I294" s="17" t="n"/>
      <c r="J294" s="17" t="n"/>
      <c r="K294" s="23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6" t="n"/>
      <c r="Z294" s="16" t="n"/>
    </row>
    <row r="295">
      <c r="A295" s="17" t="n"/>
      <c r="B295" s="16" t="n"/>
      <c r="C295" s="16" t="n"/>
      <c r="D295" s="10" t="n"/>
      <c r="E295" s="17" t="n"/>
      <c r="F295" s="17" t="n"/>
      <c r="G295" s="16" t="n"/>
      <c r="H295" s="17" t="n"/>
      <c r="I295" s="17" t="n"/>
      <c r="J295" s="17" t="n"/>
      <c r="K295" s="23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6" t="n"/>
      <c r="Z295" s="16" t="n"/>
    </row>
    <row r="296">
      <c r="A296" s="17" t="n"/>
      <c r="B296" s="16" t="n"/>
      <c r="C296" s="16" t="n"/>
      <c r="D296" s="10" t="n"/>
      <c r="E296" s="17" t="n"/>
      <c r="F296" s="17" t="n"/>
      <c r="G296" s="16" t="n"/>
      <c r="H296" s="17" t="n"/>
      <c r="I296" s="17" t="n"/>
      <c r="J296" s="17" t="n"/>
      <c r="K296" s="23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6" t="n"/>
      <c r="Z296" s="16" t="n"/>
    </row>
    <row r="297">
      <c r="A297" s="17" t="n"/>
      <c r="B297" s="16" t="n"/>
      <c r="C297" s="16" t="n"/>
      <c r="D297" s="10" t="n"/>
      <c r="E297" s="17" t="n"/>
      <c r="F297" s="17" t="n"/>
      <c r="G297" s="16" t="n"/>
      <c r="H297" s="17" t="n"/>
      <c r="I297" s="17" t="n"/>
      <c r="J297" s="17" t="n"/>
      <c r="K297" s="23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6" t="n"/>
      <c r="Z297" s="16" t="n"/>
    </row>
    <row r="298">
      <c r="A298" s="17" t="n"/>
      <c r="B298" s="16" t="n"/>
      <c r="C298" s="16" t="n"/>
      <c r="D298" s="10" t="n"/>
      <c r="E298" s="17" t="n"/>
      <c r="F298" s="17" t="n"/>
      <c r="G298" s="16" t="n"/>
      <c r="H298" s="17" t="n"/>
      <c r="I298" s="17" t="n"/>
      <c r="J298" s="17" t="n"/>
      <c r="K298" s="23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6" t="n"/>
      <c r="Z298" s="16" t="n"/>
    </row>
    <row r="299">
      <c r="A299" s="17" t="n"/>
      <c r="B299" s="16" t="n"/>
      <c r="C299" s="16" t="n"/>
      <c r="D299" s="10" t="n"/>
      <c r="E299" s="17" t="n"/>
      <c r="F299" s="17" t="n"/>
      <c r="G299" s="16" t="n"/>
      <c r="H299" s="17" t="n"/>
      <c r="I299" s="17" t="n"/>
      <c r="J299" s="17" t="n"/>
      <c r="K299" s="23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6" t="n"/>
      <c r="Z299" s="16" t="n"/>
    </row>
    <row r="300">
      <c r="A300" s="17" t="n"/>
      <c r="B300" s="16" t="n"/>
      <c r="C300" s="16" t="n"/>
      <c r="D300" s="10" t="n"/>
      <c r="E300" s="17" t="n"/>
      <c r="F300" s="17" t="n"/>
      <c r="G300" s="16" t="n"/>
      <c r="H300" s="17" t="n"/>
      <c r="I300" s="17" t="n"/>
      <c r="J300" s="17" t="n"/>
      <c r="K300" s="23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6" t="n"/>
      <c r="Z300" s="16" t="n"/>
    </row>
    <row r="301">
      <c r="A301" s="17" t="n"/>
      <c r="B301" s="16" t="n"/>
      <c r="C301" s="16" t="n"/>
      <c r="D301" s="10" t="n"/>
      <c r="E301" s="17" t="n"/>
      <c r="F301" s="17" t="n"/>
      <c r="G301" s="16" t="n"/>
      <c r="H301" s="17" t="n"/>
      <c r="I301" s="17" t="n"/>
      <c r="J301" s="17" t="n"/>
      <c r="K301" s="23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6" t="n"/>
      <c r="Z301" s="16" t="n"/>
    </row>
    <row r="302">
      <c r="A302" s="17" t="n"/>
      <c r="B302" s="16" t="n"/>
      <c r="C302" s="16" t="n"/>
      <c r="D302" s="10" t="n"/>
      <c r="E302" s="17" t="n"/>
      <c r="F302" s="17" t="n"/>
      <c r="G302" s="16" t="n"/>
      <c r="H302" s="17" t="n"/>
      <c r="I302" s="17" t="n"/>
      <c r="J302" s="17" t="n"/>
      <c r="K302" s="23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6" t="n"/>
      <c r="Z302" s="16" t="n"/>
    </row>
    <row r="303">
      <c r="A303" s="17" t="n"/>
      <c r="B303" s="16" t="n"/>
      <c r="C303" s="16" t="n"/>
      <c r="D303" s="10" t="n"/>
      <c r="E303" s="17" t="n"/>
      <c r="F303" s="17" t="n"/>
      <c r="G303" s="16" t="n"/>
      <c r="H303" s="17" t="n"/>
      <c r="I303" s="17" t="n"/>
      <c r="J303" s="17" t="n"/>
      <c r="K303" s="23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6" t="n"/>
      <c r="Z303" s="16" t="n"/>
    </row>
    <row r="304">
      <c r="A304" s="17" t="n"/>
      <c r="B304" s="16" t="n"/>
      <c r="C304" s="16" t="n"/>
      <c r="D304" s="10" t="n"/>
      <c r="E304" s="17" t="n"/>
      <c r="F304" s="17" t="n"/>
      <c r="G304" s="16" t="n"/>
      <c r="H304" s="17" t="n"/>
      <c r="I304" s="17" t="n"/>
      <c r="J304" s="17" t="n"/>
      <c r="K304" s="23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6" t="n"/>
      <c r="Z304" s="16" t="n"/>
    </row>
    <row r="305">
      <c r="A305" s="17" t="n"/>
      <c r="B305" s="16" t="n"/>
      <c r="C305" s="16" t="n"/>
      <c r="D305" s="10" t="n"/>
      <c r="E305" s="17" t="n"/>
      <c r="F305" s="17" t="n"/>
      <c r="G305" s="16" t="n"/>
      <c r="H305" s="17" t="n"/>
      <c r="I305" s="17" t="n"/>
      <c r="J305" s="17" t="n"/>
      <c r="K305" s="23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6" t="n"/>
      <c r="Z305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Z305"/>
  <mergeCells count="1">
    <mergeCell ref="A2:Z2"/>
  </mergeCells>
  <conditionalFormatting sqref="C6:C305">
    <cfRule type="expression" priority="1" dxfId="0">
      <formula>OR(C6="Pending Review",C6="Draft",C6="Needs Review",C6="Suggested")</formula>
    </cfRule>
    <cfRule type="expression" priority="2" dxfId="1">
      <formula>OR(C6="Rejected",C6="Expired")</formula>
    </cfRule>
  </conditionalFormatting>
  <dataValidations count="7">
    <dataValidation sqref="E6:E306" showDropDown="0" showInputMessage="0" showErrorMessage="1" allowBlank="1" errorTitle="Invalid value" error="Pick a value from the list." type="list">
      <formula1>=Lists!$S$2:$S$1000</formula1>
    </dataValidation>
    <dataValidation sqref="F6:F306" showDropDown="0" showInputMessage="0" showErrorMessage="0" allowBlank="1" errorTitle="Invalid value" error="Pick a value from the list." type="list">
      <formula1>=Lists!$U$2:$U$1000</formula1>
    </dataValidation>
    <dataValidation sqref="H6:H306" showDropDown="0" showInputMessage="0" showErrorMessage="1" allowBlank="1" errorTitle="Invalid value" error="Pick a value from the list." type="list">
      <formula1>=Lists!$J$2:$J$60</formula1>
    </dataValidation>
    <dataValidation sqref="L6:L306" showDropDown="0" showInputMessage="0" showErrorMessage="1" allowBlank="1" errorTitle="Invalid value" error="Pick a value from the list." type="list">
      <formula1>=Lists!$S$2:$S$1000</formula1>
    </dataValidation>
    <dataValidation sqref="N6:N306" showDropDown="0" showInputMessage="0" showErrorMessage="1" allowBlank="1" errorTitle="Invalid value" error="Pick a value from the list." type="list">
      <formula1>=Lists!$K$2:$K$60</formula1>
    </dataValidation>
    <dataValidation sqref="Q6:Q306" showDropDown="0" showInputMessage="0" showErrorMessage="1" allowBlank="1" errorTitle="Invalid value" error="Pick a value from the list." type="list">
      <formula1>=Lists!$L$2:$L$60</formula1>
    </dataValidation>
    <dataValidation sqref="V6:V306" showDropDown="0" showInputMessage="0" showErrorMessage="1" allowBlank="1" errorTitle="Invalid value" error="Pick a value from the list." type="list">
      <formula1>=Lists!$K$2:$K$60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M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8" customWidth="1" min="3" max="3"/>
    <col width="50" customWidth="1" min="4" max="4"/>
    <col width="10" customWidth="1" min="5" max="5"/>
    <col width="14" customWidth="1" min="6" max="6"/>
    <col width="8" customWidth="1" min="7" max="7"/>
    <col width="16" customWidth="1" min="8" max="8"/>
    <col width="14" customWidth="1" min="9" max="9"/>
    <col width="24" customWidth="1" min="10" max="10"/>
    <col width="10" customWidth="1" min="11" max="11"/>
    <col width="16" customWidth="1" min="12" max="12"/>
    <col width="36" customWidth="1" min="13" max="13"/>
  </cols>
  <sheetData>
    <row r="1">
      <c r="A1" s="4" t="inlineStr">
        <is>
          <t>Assumptions Register</t>
        </is>
      </c>
    </row>
    <row r="2" ht="48" customHeight="1">
      <c r="A2" s="3" t="inlineStr">
        <is>
          <t>Effective value for this project (blue). To propose a project override, enter the value and a reason in the yellow columns; it is imported as 'Pending Review' and never changes the global library.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family</t>
        </is>
      </c>
      <c r="C4" t="inlineStr">
        <is>
          <t>name</t>
        </is>
      </c>
      <c r="D4" t="inlineStr">
        <is>
          <t>description</t>
        </is>
      </c>
      <c r="E4" t="inlineStr">
        <is>
          <t>applies_to</t>
        </is>
      </c>
      <c r="F4" t="inlineStr">
        <is>
          <t>value</t>
        </is>
      </c>
      <c r="G4" t="inlineStr">
        <is>
          <t>unit</t>
        </is>
      </c>
      <c r="H4" t="inlineStr">
        <is>
          <t>status</t>
        </is>
      </c>
      <c r="I4" t="inlineStr">
        <is>
          <t>origin</t>
        </is>
      </c>
      <c r="J4" t="inlineStr">
        <is>
          <t>engine_key</t>
        </is>
      </c>
      <c r="K4" t="inlineStr">
        <is>
          <t>confidence</t>
        </is>
      </c>
      <c r="L4" t="inlineStr">
        <is>
          <t>override_value</t>
        </is>
      </c>
      <c r="M4" t="inlineStr">
        <is>
          <t>override_reason</t>
        </is>
      </c>
    </row>
    <row r="5" ht="34" customHeight="1">
      <c r="A5" s="15" t="inlineStr">
        <is>
          <t>Assumption ID</t>
        </is>
      </c>
      <c r="B5" s="15" t="inlineStr">
        <is>
          <t>Family</t>
        </is>
      </c>
      <c r="C5" s="15" t="inlineStr">
        <is>
          <t>Name</t>
        </is>
      </c>
      <c r="D5" s="15" t="inlineStr">
        <is>
          <t>Description</t>
        </is>
      </c>
      <c r="E5" s="15" t="inlineStr">
        <is>
          <t>Applies to</t>
        </is>
      </c>
      <c r="F5" s="15" t="inlineStr">
        <is>
          <t>Effective value</t>
        </is>
      </c>
      <c r="G5" s="15" t="inlineStr">
        <is>
          <t>Unit</t>
        </is>
      </c>
      <c r="H5" s="15" t="inlineStr">
        <is>
          <t>Status</t>
        </is>
      </c>
      <c r="I5" s="15" t="inlineStr">
        <is>
          <t>Origin</t>
        </is>
      </c>
      <c r="J5" s="15" t="inlineStr">
        <is>
          <t>Engine key</t>
        </is>
      </c>
      <c r="K5" s="15" t="inlineStr">
        <is>
          <t>Confidence</t>
        </is>
      </c>
      <c r="L5" s="15" t="inlineStr">
        <is>
          <t>PROPOSED project value</t>
        </is>
      </c>
      <c r="M5" s="15" t="inlineStr">
        <is>
          <t>Reason for override</t>
        </is>
      </c>
    </row>
    <row r="6">
      <c r="A6" s="16" t="n"/>
      <c r="B6" s="16" t="n"/>
      <c r="C6" s="9" t="n"/>
      <c r="D6" s="9" t="n"/>
      <c r="E6" s="16" t="n"/>
      <c r="F6" s="16" t="n"/>
      <c r="G6" s="16" t="n"/>
      <c r="H6" s="16" t="n"/>
      <c r="I6" s="16" t="n"/>
      <c r="J6" s="16" t="n"/>
      <c r="K6" s="16" t="n"/>
      <c r="L6" s="17" t="n"/>
      <c r="M6" s="10" t="n"/>
    </row>
    <row r="7">
      <c r="A7" s="16" t="n"/>
      <c r="B7" s="16" t="n"/>
      <c r="C7" s="9" t="n"/>
      <c r="D7" s="9" t="n"/>
      <c r="E7" s="16" t="n"/>
      <c r="F7" s="16" t="n"/>
      <c r="G7" s="16" t="n"/>
      <c r="H7" s="16" t="n"/>
      <c r="I7" s="16" t="n"/>
      <c r="J7" s="16" t="n"/>
      <c r="K7" s="16" t="n"/>
      <c r="L7" s="17" t="n"/>
      <c r="M7" s="10" t="n"/>
    </row>
    <row r="8">
      <c r="A8" s="16" t="n"/>
      <c r="B8" s="16" t="n"/>
      <c r="C8" s="9" t="n"/>
      <c r="D8" s="9" t="n"/>
      <c r="E8" s="16" t="n"/>
      <c r="F8" s="16" t="n"/>
      <c r="G8" s="16" t="n"/>
      <c r="H8" s="16" t="n"/>
      <c r="I8" s="16" t="n"/>
      <c r="J8" s="16" t="n"/>
      <c r="K8" s="16" t="n"/>
      <c r="L8" s="17" t="n"/>
      <c r="M8" s="10" t="n"/>
    </row>
    <row r="9">
      <c r="A9" s="16" t="n"/>
      <c r="B9" s="16" t="n"/>
      <c r="C9" s="9" t="n"/>
      <c r="D9" s="9" t="n"/>
      <c r="E9" s="16" t="n"/>
      <c r="F9" s="16" t="n"/>
      <c r="G9" s="16" t="n"/>
      <c r="H9" s="16" t="n"/>
      <c r="I9" s="16" t="n"/>
      <c r="J9" s="16" t="n"/>
      <c r="K9" s="16" t="n"/>
      <c r="L9" s="17" t="n"/>
      <c r="M9" s="10" t="n"/>
    </row>
    <row r="10">
      <c r="A10" s="16" t="n"/>
      <c r="B10" s="16" t="n"/>
      <c r="C10" s="9" t="n"/>
      <c r="D10" s="9" t="n"/>
      <c r="E10" s="16" t="n"/>
      <c r="F10" s="16" t="n"/>
      <c r="G10" s="16" t="n"/>
      <c r="H10" s="16" t="n"/>
      <c r="I10" s="16" t="n"/>
      <c r="J10" s="16" t="n"/>
      <c r="K10" s="16" t="n"/>
      <c r="L10" s="17" t="n"/>
      <c r="M10" s="10" t="n"/>
    </row>
    <row r="11">
      <c r="A11" s="16" t="n"/>
      <c r="B11" s="16" t="n"/>
      <c r="C11" s="9" t="n"/>
      <c r="D11" s="9" t="n"/>
      <c r="E11" s="16" t="n"/>
      <c r="F11" s="16" t="n"/>
      <c r="G11" s="16" t="n"/>
      <c r="H11" s="16" t="n"/>
      <c r="I11" s="16" t="n"/>
      <c r="J11" s="16" t="n"/>
      <c r="K11" s="16" t="n"/>
      <c r="L11" s="17" t="n"/>
      <c r="M11" s="10" t="n"/>
    </row>
    <row r="12">
      <c r="A12" s="16" t="n"/>
      <c r="B12" s="16" t="n"/>
      <c r="C12" s="9" t="n"/>
      <c r="D12" s="9" t="n"/>
      <c r="E12" s="16" t="n"/>
      <c r="F12" s="16" t="n"/>
      <c r="G12" s="16" t="n"/>
      <c r="H12" s="16" t="n"/>
      <c r="I12" s="16" t="n"/>
      <c r="J12" s="16" t="n"/>
      <c r="K12" s="16" t="n"/>
      <c r="L12" s="17" t="n"/>
      <c r="M12" s="10" t="n"/>
    </row>
    <row r="13">
      <c r="A13" s="16" t="n"/>
      <c r="B13" s="16" t="n"/>
      <c r="C13" s="9" t="n"/>
      <c r="D13" s="9" t="n"/>
      <c r="E13" s="16" t="n"/>
      <c r="F13" s="16" t="n"/>
      <c r="G13" s="16" t="n"/>
      <c r="H13" s="16" t="n"/>
      <c r="I13" s="16" t="n"/>
      <c r="J13" s="16" t="n"/>
      <c r="K13" s="16" t="n"/>
      <c r="L13" s="17" t="n"/>
      <c r="M13" s="10" t="n"/>
    </row>
    <row r="14">
      <c r="A14" s="16" t="n"/>
      <c r="B14" s="16" t="n"/>
      <c r="C14" s="9" t="n"/>
      <c r="D14" s="9" t="n"/>
      <c r="E14" s="16" t="n"/>
      <c r="F14" s="16" t="n"/>
      <c r="G14" s="16" t="n"/>
      <c r="H14" s="16" t="n"/>
      <c r="I14" s="16" t="n"/>
      <c r="J14" s="16" t="n"/>
      <c r="K14" s="16" t="n"/>
      <c r="L14" s="17" t="n"/>
      <c r="M14" s="10" t="n"/>
    </row>
    <row r="15">
      <c r="A15" s="16" t="n"/>
      <c r="B15" s="16" t="n"/>
      <c r="C15" s="9" t="n"/>
      <c r="D15" s="9" t="n"/>
      <c r="E15" s="16" t="n"/>
      <c r="F15" s="16" t="n"/>
      <c r="G15" s="16" t="n"/>
      <c r="H15" s="16" t="n"/>
      <c r="I15" s="16" t="n"/>
      <c r="J15" s="16" t="n"/>
      <c r="K15" s="16" t="n"/>
      <c r="L15" s="17" t="n"/>
      <c r="M15" s="10" t="n"/>
    </row>
    <row r="16">
      <c r="A16" s="16" t="n"/>
      <c r="B16" s="16" t="n"/>
      <c r="C16" s="9" t="n"/>
      <c r="D16" s="9" t="n"/>
      <c r="E16" s="16" t="n"/>
      <c r="F16" s="16" t="n"/>
      <c r="G16" s="16" t="n"/>
      <c r="H16" s="16" t="n"/>
      <c r="I16" s="16" t="n"/>
      <c r="J16" s="16" t="n"/>
      <c r="K16" s="16" t="n"/>
      <c r="L16" s="17" t="n"/>
      <c r="M16" s="10" t="n"/>
    </row>
    <row r="17">
      <c r="A17" s="16" t="n"/>
      <c r="B17" s="16" t="n"/>
      <c r="C17" s="9" t="n"/>
      <c r="D17" s="9" t="n"/>
      <c r="E17" s="16" t="n"/>
      <c r="F17" s="16" t="n"/>
      <c r="G17" s="16" t="n"/>
      <c r="H17" s="16" t="n"/>
      <c r="I17" s="16" t="n"/>
      <c r="J17" s="16" t="n"/>
      <c r="K17" s="16" t="n"/>
      <c r="L17" s="17" t="n"/>
      <c r="M17" s="10" t="n"/>
    </row>
    <row r="18">
      <c r="A18" s="16" t="n"/>
      <c r="B18" s="16" t="n"/>
      <c r="C18" s="9" t="n"/>
      <c r="D18" s="9" t="n"/>
      <c r="E18" s="16" t="n"/>
      <c r="F18" s="16" t="n"/>
      <c r="G18" s="16" t="n"/>
      <c r="H18" s="16" t="n"/>
      <c r="I18" s="16" t="n"/>
      <c r="J18" s="16" t="n"/>
      <c r="K18" s="16" t="n"/>
      <c r="L18" s="17" t="n"/>
      <c r="M18" s="10" t="n"/>
    </row>
    <row r="19">
      <c r="A19" s="16" t="n"/>
      <c r="B19" s="16" t="n"/>
      <c r="C19" s="9" t="n"/>
      <c r="D19" s="9" t="n"/>
      <c r="E19" s="16" t="n"/>
      <c r="F19" s="16" t="n"/>
      <c r="G19" s="16" t="n"/>
      <c r="H19" s="16" t="n"/>
      <c r="I19" s="16" t="n"/>
      <c r="J19" s="16" t="n"/>
      <c r="K19" s="16" t="n"/>
      <c r="L19" s="17" t="n"/>
      <c r="M19" s="10" t="n"/>
    </row>
    <row r="20">
      <c r="A20" s="16" t="n"/>
      <c r="B20" s="16" t="n"/>
      <c r="C20" s="9" t="n"/>
      <c r="D20" s="9" t="n"/>
      <c r="E20" s="16" t="n"/>
      <c r="F20" s="16" t="n"/>
      <c r="G20" s="16" t="n"/>
      <c r="H20" s="16" t="n"/>
      <c r="I20" s="16" t="n"/>
      <c r="J20" s="16" t="n"/>
      <c r="K20" s="16" t="n"/>
      <c r="L20" s="17" t="n"/>
      <c r="M20" s="10" t="n"/>
    </row>
    <row r="21">
      <c r="A21" s="16" t="n"/>
      <c r="B21" s="16" t="n"/>
      <c r="C21" s="9" t="n"/>
      <c r="D21" s="9" t="n"/>
      <c r="E21" s="16" t="n"/>
      <c r="F21" s="16" t="n"/>
      <c r="G21" s="16" t="n"/>
      <c r="H21" s="16" t="n"/>
      <c r="I21" s="16" t="n"/>
      <c r="J21" s="16" t="n"/>
      <c r="K21" s="16" t="n"/>
      <c r="L21" s="17" t="n"/>
      <c r="M21" s="10" t="n"/>
    </row>
    <row r="22">
      <c r="A22" s="16" t="n"/>
      <c r="B22" s="16" t="n"/>
      <c r="C22" s="9" t="n"/>
      <c r="D22" s="9" t="n"/>
      <c r="E22" s="16" t="n"/>
      <c r="F22" s="16" t="n"/>
      <c r="G22" s="16" t="n"/>
      <c r="H22" s="16" t="n"/>
      <c r="I22" s="16" t="n"/>
      <c r="J22" s="16" t="n"/>
      <c r="K22" s="16" t="n"/>
      <c r="L22" s="17" t="n"/>
      <c r="M22" s="10" t="n"/>
    </row>
    <row r="23">
      <c r="A23" s="16" t="n"/>
      <c r="B23" s="16" t="n"/>
      <c r="C23" s="9" t="n"/>
      <c r="D23" s="9" t="n"/>
      <c r="E23" s="16" t="n"/>
      <c r="F23" s="16" t="n"/>
      <c r="G23" s="16" t="n"/>
      <c r="H23" s="16" t="n"/>
      <c r="I23" s="16" t="n"/>
      <c r="J23" s="16" t="n"/>
      <c r="K23" s="16" t="n"/>
      <c r="L23" s="17" t="n"/>
      <c r="M23" s="10" t="n"/>
    </row>
    <row r="24">
      <c r="A24" s="16" t="n"/>
      <c r="B24" s="16" t="n"/>
      <c r="C24" s="9" t="n"/>
      <c r="D24" s="9" t="n"/>
      <c r="E24" s="16" t="n"/>
      <c r="F24" s="16" t="n"/>
      <c r="G24" s="16" t="n"/>
      <c r="H24" s="16" t="n"/>
      <c r="I24" s="16" t="n"/>
      <c r="J24" s="16" t="n"/>
      <c r="K24" s="16" t="n"/>
      <c r="L24" s="17" t="n"/>
      <c r="M24" s="10" t="n"/>
    </row>
    <row r="25">
      <c r="A25" s="16" t="n"/>
      <c r="B25" s="16" t="n"/>
      <c r="C25" s="9" t="n"/>
      <c r="D25" s="9" t="n"/>
      <c r="E25" s="16" t="n"/>
      <c r="F25" s="16" t="n"/>
      <c r="G25" s="16" t="n"/>
      <c r="H25" s="16" t="n"/>
      <c r="I25" s="16" t="n"/>
      <c r="J25" s="16" t="n"/>
      <c r="K25" s="16" t="n"/>
      <c r="L25" s="17" t="n"/>
      <c r="M25" s="10" t="n"/>
    </row>
    <row r="26">
      <c r="A26" s="16" t="n"/>
      <c r="B26" s="16" t="n"/>
      <c r="C26" s="9" t="n"/>
      <c r="D26" s="9" t="n"/>
      <c r="E26" s="16" t="n"/>
      <c r="F26" s="16" t="n"/>
      <c r="G26" s="16" t="n"/>
      <c r="H26" s="16" t="n"/>
      <c r="I26" s="16" t="n"/>
      <c r="J26" s="16" t="n"/>
      <c r="K26" s="16" t="n"/>
      <c r="L26" s="17" t="n"/>
      <c r="M26" s="10" t="n"/>
    </row>
    <row r="27">
      <c r="A27" s="16" t="n"/>
      <c r="B27" s="16" t="n"/>
      <c r="C27" s="9" t="n"/>
      <c r="D27" s="9" t="n"/>
      <c r="E27" s="16" t="n"/>
      <c r="F27" s="16" t="n"/>
      <c r="G27" s="16" t="n"/>
      <c r="H27" s="16" t="n"/>
      <c r="I27" s="16" t="n"/>
      <c r="J27" s="16" t="n"/>
      <c r="K27" s="16" t="n"/>
      <c r="L27" s="17" t="n"/>
      <c r="M27" s="10" t="n"/>
    </row>
    <row r="28">
      <c r="A28" s="16" t="n"/>
      <c r="B28" s="16" t="n"/>
      <c r="C28" s="9" t="n"/>
      <c r="D28" s="9" t="n"/>
      <c r="E28" s="16" t="n"/>
      <c r="F28" s="16" t="n"/>
      <c r="G28" s="16" t="n"/>
      <c r="H28" s="16" t="n"/>
      <c r="I28" s="16" t="n"/>
      <c r="J28" s="16" t="n"/>
      <c r="K28" s="16" t="n"/>
      <c r="L28" s="17" t="n"/>
      <c r="M28" s="10" t="n"/>
    </row>
    <row r="29">
      <c r="A29" s="16" t="n"/>
      <c r="B29" s="16" t="n"/>
      <c r="C29" s="9" t="n"/>
      <c r="D29" s="9" t="n"/>
      <c r="E29" s="16" t="n"/>
      <c r="F29" s="16" t="n"/>
      <c r="G29" s="16" t="n"/>
      <c r="H29" s="16" t="n"/>
      <c r="I29" s="16" t="n"/>
      <c r="J29" s="16" t="n"/>
      <c r="K29" s="16" t="n"/>
      <c r="L29" s="17" t="n"/>
      <c r="M29" s="10" t="n"/>
    </row>
    <row r="30">
      <c r="A30" s="16" t="n"/>
      <c r="B30" s="16" t="n"/>
      <c r="C30" s="9" t="n"/>
      <c r="D30" s="9" t="n"/>
      <c r="E30" s="16" t="n"/>
      <c r="F30" s="16" t="n"/>
      <c r="G30" s="16" t="n"/>
      <c r="H30" s="16" t="n"/>
      <c r="I30" s="16" t="n"/>
      <c r="J30" s="16" t="n"/>
      <c r="K30" s="16" t="n"/>
      <c r="L30" s="17" t="n"/>
      <c r="M30" s="10" t="n"/>
    </row>
    <row r="31">
      <c r="A31" s="16" t="n"/>
      <c r="B31" s="16" t="n"/>
      <c r="C31" s="9" t="n"/>
      <c r="D31" s="9" t="n"/>
      <c r="E31" s="16" t="n"/>
      <c r="F31" s="16" t="n"/>
      <c r="G31" s="16" t="n"/>
      <c r="H31" s="16" t="n"/>
      <c r="I31" s="16" t="n"/>
      <c r="J31" s="16" t="n"/>
      <c r="K31" s="16" t="n"/>
      <c r="L31" s="17" t="n"/>
      <c r="M31" s="10" t="n"/>
    </row>
    <row r="32">
      <c r="A32" s="16" t="n"/>
      <c r="B32" s="16" t="n"/>
      <c r="C32" s="9" t="n"/>
      <c r="D32" s="9" t="n"/>
      <c r="E32" s="16" t="n"/>
      <c r="F32" s="16" t="n"/>
      <c r="G32" s="16" t="n"/>
      <c r="H32" s="16" t="n"/>
      <c r="I32" s="16" t="n"/>
      <c r="J32" s="16" t="n"/>
      <c r="K32" s="16" t="n"/>
      <c r="L32" s="17" t="n"/>
      <c r="M32" s="10" t="n"/>
    </row>
    <row r="33">
      <c r="A33" s="16" t="n"/>
      <c r="B33" s="16" t="n"/>
      <c r="C33" s="9" t="n"/>
      <c r="D33" s="9" t="n"/>
      <c r="E33" s="16" t="n"/>
      <c r="F33" s="16" t="n"/>
      <c r="G33" s="16" t="n"/>
      <c r="H33" s="16" t="n"/>
      <c r="I33" s="16" t="n"/>
      <c r="J33" s="16" t="n"/>
      <c r="K33" s="16" t="n"/>
      <c r="L33" s="17" t="n"/>
      <c r="M33" s="10" t="n"/>
    </row>
    <row r="34">
      <c r="A34" s="16" t="n"/>
      <c r="B34" s="16" t="n"/>
      <c r="C34" s="9" t="n"/>
      <c r="D34" s="9" t="n"/>
      <c r="E34" s="16" t="n"/>
      <c r="F34" s="16" t="n"/>
      <c r="G34" s="16" t="n"/>
      <c r="H34" s="16" t="n"/>
      <c r="I34" s="16" t="n"/>
      <c r="J34" s="16" t="n"/>
      <c r="K34" s="16" t="n"/>
      <c r="L34" s="17" t="n"/>
      <c r="M34" s="10" t="n"/>
    </row>
    <row r="35">
      <c r="A35" s="16" t="n"/>
      <c r="B35" s="16" t="n"/>
      <c r="C35" s="9" t="n"/>
      <c r="D35" s="9" t="n"/>
      <c r="E35" s="16" t="n"/>
      <c r="F35" s="16" t="n"/>
      <c r="G35" s="16" t="n"/>
      <c r="H35" s="16" t="n"/>
      <c r="I35" s="16" t="n"/>
      <c r="J35" s="16" t="n"/>
      <c r="K35" s="16" t="n"/>
      <c r="L35" s="17" t="n"/>
      <c r="M35" s="10" t="n"/>
    </row>
    <row r="36">
      <c r="A36" s="16" t="n"/>
      <c r="B36" s="16" t="n"/>
      <c r="C36" s="9" t="n"/>
      <c r="D36" s="9" t="n"/>
      <c r="E36" s="16" t="n"/>
      <c r="F36" s="16" t="n"/>
      <c r="G36" s="16" t="n"/>
      <c r="H36" s="16" t="n"/>
      <c r="I36" s="16" t="n"/>
      <c r="J36" s="16" t="n"/>
      <c r="K36" s="16" t="n"/>
      <c r="L36" s="17" t="n"/>
      <c r="M36" s="10" t="n"/>
    </row>
    <row r="37">
      <c r="A37" s="16" t="n"/>
      <c r="B37" s="16" t="n"/>
      <c r="C37" s="9" t="n"/>
      <c r="D37" s="9" t="n"/>
      <c r="E37" s="16" t="n"/>
      <c r="F37" s="16" t="n"/>
      <c r="G37" s="16" t="n"/>
      <c r="H37" s="16" t="n"/>
      <c r="I37" s="16" t="n"/>
      <c r="J37" s="16" t="n"/>
      <c r="K37" s="16" t="n"/>
      <c r="L37" s="17" t="n"/>
      <c r="M37" s="10" t="n"/>
    </row>
    <row r="38">
      <c r="A38" s="16" t="n"/>
      <c r="B38" s="16" t="n"/>
      <c r="C38" s="9" t="n"/>
      <c r="D38" s="9" t="n"/>
      <c r="E38" s="16" t="n"/>
      <c r="F38" s="16" t="n"/>
      <c r="G38" s="16" t="n"/>
      <c r="H38" s="16" t="n"/>
      <c r="I38" s="16" t="n"/>
      <c r="J38" s="16" t="n"/>
      <c r="K38" s="16" t="n"/>
      <c r="L38" s="17" t="n"/>
      <c r="M38" s="10" t="n"/>
    </row>
    <row r="39">
      <c r="A39" s="16" t="n"/>
      <c r="B39" s="16" t="n"/>
      <c r="C39" s="9" t="n"/>
      <c r="D39" s="9" t="n"/>
      <c r="E39" s="16" t="n"/>
      <c r="F39" s="16" t="n"/>
      <c r="G39" s="16" t="n"/>
      <c r="H39" s="16" t="n"/>
      <c r="I39" s="16" t="n"/>
      <c r="J39" s="16" t="n"/>
      <c r="K39" s="16" t="n"/>
      <c r="L39" s="17" t="n"/>
      <c r="M39" s="10" t="n"/>
    </row>
    <row r="40">
      <c r="A40" s="16" t="n"/>
      <c r="B40" s="16" t="n"/>
      <c r="C40" s="9" t="n"/>
      <c r="D40" s="9" t="n"/>
      <c r="E40" s="16" t="n"/>
      <c r="F40" s="16" t="n"/>
      <c r="G40" s="16" t="n"/>
      <c r="H40" s="16" t="n"/>
      <c r="I40" s="16" t="n"/>
      <c r="J40" s="16" t="n"/>
      <c r="K40" s="16" t="n"/>
      <c r="L40" s="17" t="n"/>
      <c r="M40" s="10" t="n"/>
    </row>
    <row r="41">
      <c r="A41" s="16" t="n"/>
      <c r="B41" s="16" t="n"/>
      <c r="C41" s="9" t="n"/>
      <c r="D41" s="9" t="n"/>
      <c r="E41" s="16" t="n"/>
      <c r="F41" s="16" t="n"/>
      <c r="G41" s="16" t="n"/>
      <c r="H41" s="16" t="n"/>
      <c r="I41" s="16" t="n"/>
      <c r="J41" s="16" t="n"/>
      <c r="K41" s="16" t="n"/>
      <c r="L41" s="17" t="n"/>
      <c r="M41" s="10" t="n"/>
    </row>
    <row r="42">
      <c r="A42" s="16" t="n"/>
      <c r="B42" s="16" t="n"/>
      <c r="C42" s="9" t="n"/>
      <c r="D42" s="9" t="n"/>
      <c r="E42" s="16" t="n"/>
      <c r="F42" s="16" t="n"/>
      <c r="G42" s="16" t="n"/>
      <c r="H42" s="16" t="n"/>
      <c r="I42" s="16" t="n"/>
      <c r="J42" s="16" t="n"/>
      <c r="K42" s="16" t="n"/>
      <c r="L42" s="17" t="n"/>
      <c r="M42" s="10" t="n"/>
    </row>
    <row r="43">
      <c r="A43" s="16" t="n"/>
      <c r="B43" s="16" t="n"/>
      <c r="C43" s="9" t="n"/>
      <c r="D43" s="9" t="n"/>
      <c r="E43" s="16" t="n"/>
      <c r="F43" s="16" t="n"/>
      <c r="G43" s="16" t="n"/>
      <c r="H43" s="16" t="n"/>
      <c r="I43" s="16" t="n"/>
      <c r="J43" s="16" t="n"/>
      <c r="K43" s="16" t="n"/>
      <c r="L43" s="17" t="n"/>
      <c r="M43" s="10" t="n"/>
    </row>
    <row r="44">
      <c r="A44" s="16" t="n"/>
      <c r="B44" s="16" t="n"/>
      <c r="C44" s="9" t="n"/>
      <c r="D44" s="9" t="n"/>
      <c r="E44" s="16" t="n"/>
      <c r="F44" s="16" t="n"/>
      <c r="G44" s="16" t="n"/>
      <c r="H44" s="16" t="n"/>
      <c r="I44" s="16" t="n"/>
      <c r="J44" s="16" t="n"/>
      <c r="K44" s="16" t="n"/>
      <c r="L44" s="17" t="n"/>
      <c r="M44" s="10" t="n"/>
    </row>
    <row r="45">
      <c r="A45" s="16" t="n"/>
      <c r="B45" s="16" t="n"/>
      <c r="C45" s="9" t="n"/>
      <c r="D45" s="9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0" t="n"/>
    </row>
    <row r="46">
      <c r="A46" s="16" t="n"/>
      <c r="B46" s="16" t="n"/>
      <c r="C46" s="9" t="n"/>
      <c r="D46" s="9" t="n"/>
      <c r="E46" s="16" t="n"/>
      <c r="F46" s="16" t="n"/>
      <c r="G46" s="16" t="n"/>
      <c r="H46" s="16" t="n"/>
      <c r="I46" s="16" t="n"/>
      <c r="J46" s="16" t="n"/>
      <c r="K46" s="16" t="n"/>
      <c r="L46" s="17" t="n"/>
      <c r="M46" s="10" t="n"/>
    </row>
    <row r="47">
      <c r="A47" s="16" t="n"/>
      <c r="B47" s="16" t="n"/>
      <c r="C47" s="9" t="n"/>
      <c r="D47" s="9" t="n"/>
      <c r="E47" s="16" t="n"/>
      <c r="F47" s="16" t="n"/>
      <c r="G47" s="16" t="n"/>
      <c r="H47" s="16" t="n"/>
      <c r="I47" s="16" t="n"/>
      <c r="J47" s="16" t="n"/>
      <c r="K47" s="16" t="n"/>
      <c r="L47" s="17" t="n"/>
      <c r="M47" s="10" t="n"/>
    </row>
    <row r="48">
      <c r="A48" s="16" t="n"/>
      <c r="B48" s="16" t="n"/>
      <c r="C48" s="9" t="n"/>
      <c r="D48" s="9" t="n"/>
      <c r="E48" s="16" t="n"/>
      <c r="F48" s="16" t="n"/>
      <c r="G48" s="16" t="n"/>
      <c r="H48" s="16" t="n"/>
      <c r="I48" s="16" t="n"/>
      <c r="J48" s="16" t="n"/>
      <c r="K48" s="16" t="n"/>
      <c r="L48" s="17" t="n"/>
      <c r="M48" s="10" t="n"/>
    </row>
    <row r="49">
      <c r="A49" s="16" t="n"/>
      <c r="B49" s="16" t="n"/>
      <c r="C49" s="9" t="n"/>
      <c r="D49" s="9" t="n"/>
      <c r="E49" s="16" t="n"/>
      <c r="F49" s="16" t="n"/>
      <c r="G49" s="16" t="n"/>
      <c r="H49" s="16" t="n"/>
      <c r="I49" s="16" t="n"/>
      <c r="J49" s="16" t="n"/>
      <c r="K49" s="16" t="n"/>
      <c r="L49" s="17" t="n"/>
      <c r="M49" s="10" t="n"/>
    </row>
    <row r="50">
      <c r="A50" s="16" t="n"/>
      <c r="B50" s="16" t="n"/>
      <c r="C50" s="9" t="n"/>
      <c r="D50" s="9" t="n"/>
      <c r="E50" s="16" t="n"/>
      <c r="F50" s="16" t="n"/>
      <c r="G50" s="16" t="n"/>
      <c r="H50" s="16" t="n"/>
      <c r="I50" s="16" t="n"/>
      <c r="J50" s="16" t="n"/>
      <c r="K50" s="16" t="n"/>
      <c r="L50" s="17" t="n"/>
      <c r="M50" s="10" t="n"/>
    </row>
    <row r="51">
      <c r="A51" s="16" t="n"/>
      <c r="B51" s="16" t="n"/>
      <c r="C51" s="9" t="n"/>
      <c r="D51" s="9" t="n"/>
      <c r="E51" s="16" t="n"/>
      <c r="F51" s="16" t="n"/>
      <c r="G51" s="16" t="n"/>
      <c r="H51" s="16" t="n"/>
      <c r="I51" s="16" t="n"/>
      <c r="J51" s="16" t="n"/>
      <c r="K51" s="16" t="n"/>
      <c r="L51" s="17" t="n"/>
      <c r="M51" s="10" t="n"/>
    </row>
    <row r="52">
      <c r="A52" s="16" t="n"/>
      <c r="B52" s="16" t="n"/>
      <c r="C52" s="9" t="n"/>
      <c r="D52" s="9" t="n"/>
      <c r="E52" s="16" t="n"/>
      <c r="F52" s="16" t="n"/>
      <c r="G52" s="16" t="n"/>
      <c r="H52" s="16" t="n"/>
      <c r="I52" s="16" t="n"/>
      <c r="J52" s="16" t="n"/>
      <c r="K52" s="16" t="n"/>
      <c r="L52" s="17" t="n"/>
      <c r="M52" s="10" t="n"/>
    </row>
    <row r="53">
      <c r="A53" s="16" t="n"/>
      <c r="B53" s="16" t="n"/>
      <c r="C53" s="9" t="n"/>
      <c r="D53" s="9" t="n"/>
      <c r="E53" s="16" t="n"/>
      <c r="F53" s="16" t="n"/>
      <c r="G53" s="16" t="n"/>
      <c r="H53" s="16" t="n"/>
      <c r="I53" s="16" t="n"/>
      <c r="J53" s="16" t="n"/>
      <c r="K53" s="16" t="n"/>
      <c r="L53" s="17" t="n"/>
      <c r="M53" s="10" t="n"/>
    </row>
    <row r="54">
      <c r="A54" s="16" t="n"/>
      <c r="B54" s="16" t="n"/>
      <c r="C54" s="9" t="n"/>
      <c r="D54" s="9" t="n"/>
      <c r="E54" s="16" t="n"/>
      <c r="F54" s="16" t="n"/>
      <c r="G54" s="16" t="n"/>
      <c r="H54" s="16" t="n"/>
      <c r="I54" s="16" t="n"/>
      <c r="J54" s="16" t="n"/>
      <c r="K54" s="16" t="n"/>
      <c r="L54" s="17" t="n"/>
      <c r="M54" s="10" t="n"/>
    </row>
    <row r="55">
      <c r="A55" s="16" t="n"/>
      <c r="B55" s="16" t="n"/>
      <c r="C55" s="9" t="n"/>
      <c r="D55" s="9" t="n"/>
      <c r="E55" s="16" t="n"/>
      <c r="F55" s="16" t="n"/>
      <c r="G55" s="16" t="n"/>
      <c r="H55" s="16" t="n"/>
      <c r="I55" s="16" t="n"/>
      <c r="J55" s="16" t="n"/>
      <c r="K55" s="16" t="n"/>
      <c r="L55" s="17" t="n"/>
      <c r="M55" s="10" t="n"/>
    </row>
    <row r="56">
      <c r="A56" s="16" t="n"/>
      <c r="B56" s="16" t="n"/>
      <c r="C56" s="9" t="n"/>
      <c r="D56" s="9" t="n"/>
      <c r="E56" s="16" t="n"/>
      <c r="F56" s="16" t="n"/>
      <c r="G56" s="16" t="n"/>
      <c r="H56" s="16" t="n"/>
      <c r="I56" s="16" t="n"/>
      <c r="J56" s="16" t="n"/>
      <c r="K56" s="16" t="n"/>
      <c r="L56" s="17" t="n"/>
      <c r="M56" s="10" t="n"/>
    </row>
    <row r="57">
      <c r="A57" s="16" t="n"/>
      <c r="B57" s="16" t="n"/>
      <c r="C57" s="9" t="n"/>
      <c r="D57" s="9" t="n"/>
      <c r="E57" s="16" t="n"/>
      <c r="F57" s="16" t="n"/>
      <c r="G57" s="16" t="n"/>
      <c r="H57" s="16" t="n"/>
      <c r="I57" s="16" t="n"/>
      <c r="J57" s="16" t="n"/>
      <c r="K57" s="16" t="n"/>
      <c r="L57" s="17" t="n"/>
      <c r="M57" s="10" t="n"/>
    </row>
    <row r="58">
      <c r="A58" s="16" t="n"/>
      <c r="B58" s="16" t="n"/>
      <c r="C58" s="9" t="n"/>
      <c r="D58" s="9" t="n"/>
      <c r="E58" s="16" t="n"/>
      <c r="F58" s="16" t="n"/>
      <c r="G58" s="16" t="n"/>
      <c r="H58" s="16" t="n"/>
      <c r="I58" s="16" t="n"/>
      <c r="J58" s="16" t="n"/>
      <c r="K58" s="16" t="n"/>
      <c r="L58" s="17" t="n"/>
      <c r="M58" s="10" t="n"/>
    </row>
    <row r="59">
      <c r="A59" s="16" t="n"/>
      <c r="B59" s="16" t="n"/>
      <c r="C59" s="9" t="n"/>
      <c r="D59" s="9" t="n"/>
      <c r="E59" s="16" t="n"/>
      <c r="F59" s="16" t="n"/>
      <c r="G59" s="16" t="n"/>
      <c r="H59" s="16" t="n"/>
      <c r="I59" s="16" t="n"/>
      <c r="J59" s="16" t="n"/>
      <c r="K59" s="16" t="n"/>
      <c r="L59" s="17" t="n"/>
      <c r="M59" s="10" t="n"/>
    </row>
    <row r="60">
      <c r="A60" s="16" t="n"/>
      <c r="B60" s="16" t="n"/>
      <c r="C60" s="9" t="n"/>
      <c r="D60" s="9" t="n"/>
      <c r="E60" s="16" t="n"/>
      <c r="F60" s="16" t="n"/>
      <c r="G60" s="16" t="n"/>
      <c r="H60" s="16" t="n"/>
      <c r="I60" s="16" t="n"/>
      <c r="J60" s="16" t="n"/>
      <c r="K60" s="16" t="n"/>
      <c r="L60" s="17" t="n"/>
      <c r="M60" s="10" t="n"/>
    </row>
    <row r="61">
      <c r="A61" s="16" t="n"/>
      <c r="B61" s="16" t="n"/>
      <c r="C61" s="9" t="n"/>
      <c r="D61" s="9" t="n"/>
      <c r="E61" s="16" t="n"/>
      <c r="F61" s="16" t="n"/>
      <c r="G61" s="16" t="n"/>
      <c r="H61" s="16" t="n"/>
      <c r="I61" s="16" t="n"/>
      <c r="J61" s="16" t="n"/>
      <c r="K61" s="16" t="n"/>
      <c r="L61" s="17" t="n"/>
      <c r="M61" s="10" t="n"/>
    </row>
    <row r="62">
      <c r="A62" s="16" t="n"/>
      <c r="B62" s="16" t="n"/>
      <c r="C62" s="9" t="n"/>
      <c r="D62" s="9" t="n"/>
      <c r="E62" s="16" t="n"/>
      <c r="F62" s="16" t="n"/>
      <c r="G62" s="16" t="n"/>
      <c r="H62" s="16" t="n"/>
      <c r="I62" s="16" t="n"/>
      <c r="J62" s="16" t="n"/>
      <c r="K62" s="16" t="n"/>
      <c r="L62" s="17" t="n"/>
      <c r="M62" s="10" t="n"/>
    </row>
    <row r="63">
      <c r="A63" s="16" t="n"/>
      <c r="B63" s="16" t="n"/>
      <c r="C63" s="9" t="n"/>
      <c r="D63" s="9" t="n"/>
      <c r="E63" s="16" t="n"/>
      <c r="F63" s="16" t="n"/>
      <c r="G63" s="16" t="n"/>
      <c r="H63" s="16" t="n"/>
      <c r="I63" s="16" t="n"/>
      <c r="J63" s="16" t="n"/>
      <c r="K63" s="16" t="n"/>
      <c r="L63" s="17" t="n"/>
      <c r="M63" s="10" t="n"/>
    </row>
    <row r="64">
      <c r="A64" s="16" t="n"/>
      <c r="B64" s="16" t="n"/>
      <c r="C64" s="9" t="n"/>
      <c r="D64" s="9" t="n"/>
      <c r="E64" s="16" t="n"/>
      <c r="F64" s="16" t="n"/>
      <c r="G64" s="16" t="n"/>
      <c r="H64" s="16" t="n"/>
      <c r="I64" s="16" t="n"/>
      <c r="J64" s="16" t="n"/>
      <c r="K64" s="16" t="n"/>
      <c r="L64" s="17" t="n"/>
      <c r="M64" s="10" t="n"/>
    </row>
    <row r="65">
      <c r="A65" s="16" t="n"/>
      <c r="B65" s="16" t="n"/>
      <c r="C65" s="9" t="n"/>
      <c r="D65" s="9" t="n"/>
      <c r="E65" s="16" t="n"/>
      <c r="F65" s="16" t="n"/>
      <c r="G65" s="16" t="n"/>
      <c r="H65" s="16" t="n"/>
      <c r="I65" s="16" t="n"/>
      <c r="J65" s="16" t="n"/>
      <c r="K65" s="16" t="n"/>
      <c r="L65" s="17" t="n"/>
      <c r="M65" s="10" t="n"/>
    </row>
    <row r="66">
      <c r="A66" s="16" t="n"/>
      <c r="B66" s="16" t="n"/>
      <c r="C66" s="9" t="n"/>
      <c r="D66" s="9" t="n"/>
      <c r="E66" s="16" t="n"/>
      <c r="F66" s="16" t="n"/>
      <c r="G66" s="16" t="n"/>
      <c r="H66" s="16" t="n"/>
      <c r="I66" s="16" t="n"/>
      <c r="J66" s="16" t="n"/>
      <c r="K66" s="16" t="n"/>
      <c r="L66" s="17" t="n"/>
      <c r="M66" s="10" t="n"/>
    </row>
    <row r="67">
      <c r="A67" s="16" t="n"/>
      <c r="B67" s="16" t="n"/>
      <c r="C67" s="9" t="n"/>
      <c r="D67" s="9" t="n"/>
      <c r="E67" s="16" t="n"/>
      <c r="F67" s="16" t="n"/>
      <c r="G67" s="16" t="n"/>
      <c r="H67" s="16" t="n"/>
      <c r="I67" s="16" t="n"/>
      <c r="J67" s="16" t="n"/>
      <c r="K67" s="16" t="n"/>
      <c r="L67" s="17" t="n"/>
      <c r="M67" s="10" t="n"/>
    </row>
    <row r="68">
      <c r="A68" s="16" t="n"/>
      <c r="B68" s="16" t="n"/>
      <c r="C68" s="9" t="n"/>
      <c r="D68" s="9" t="n"/>
      <c r="E68" s="16" t="n"/>
      <c r="F68" s="16" t="n"/>
      <c r="G68" s="16" t="n"/>
      <c r="H68" s="16" t="n"/>
      <c r="I68" s="16" t="n"/>
      <c r="J68" s="16" t="n"/>
      <c r="K68" s="16" t="n"/>
      <c r="L68" s="17" t="n"/>
      <c r="M68" s="10" t="n"/>
    </row>
    <row r="69">
      <c r="A69" s="16" t="n"/>
      <c r="B69" s="16" t="n"/>
      <c r="C69" s="9" t="n"/>
      <c r="D69" s="9" t="n"/>
      <c r="E69" s="16" t="n"/>
      <c r="F69" s="16" t="n"/>
      <c r="G69" s="16" t="n"/>
      <c r="H69" s="16" t="n"/>
      <c r="I69" s="16" t="n"/>
      <c r="J69" s="16" t="n"/>
      <c r="K69" s="16" t="n"/>
      <c r="L69" s="17" t="n"/>
      <c r="M69" s="10" t="n"/>
    </row>
    <row r="70">
      <c r="A70" s="16" t="n"/>
      <c r="B70" s="16" t="n"/>
      <c r="C70" s="9" t="n"/>
      <c r="D70" s="9" t="n"/>
      <c r="E70" s="16" t="n"/>
      <c r="F70" s="16" t="n"/>
      <c r="G70" s="16" t="n"/>
      <c r="H70" s="16" t="n"/>
      <c r="I70" s="16" t="n"/>
      <c r="J70" s="16" t="n"/>
      <c r="K70" s="16" t="n"/>
      <c r="L70" s="17" t="n"/>
      <c r="M70" s="10" t="n"/>
    </row>
    <row r="71">
      <c r="A71" s="16" t="n"/>
      <c r="B71" s="16" t="n"/>
      <c r="C71" s="9" t="n"/>
      <c r="D71" s="9" t="n"/>
      <c r="E71" s="16" t="n"/>
      <c r="F71" s="16" t="n"/>
      <c r="G71" s="16" t="n"/>
      <c r="H71" s="16" t="n"/>
      <c r="I71" s="16" t="n"/>
      <c r="J71" s="16" t="n"/>
      <c r="K71" s="16" t="n"/>
      <c r="L71" s="17" t="n"/>
      <c r="M71" s="10" t="n"/>
    </row>
    <row r="72">
      <c r="A72" s="16" t="n"/>
      <c r="B72" s="16" t="n"/>
      <c r="C72" s="9" t="n"/>
      <c r="D72" s="9" t="n"/>
      <c r="E72" s="16" t="n"/>
      <c r="F72" s="16" t="n"/>
      <c r="G72" s="16" t="n"/>
      <c r="H72" s="16" t="n"/>
      <c r="I72" s="16" t="n"/>
      <c r="J72" s="16" t="n"/>
      <c r="K72" s="16" t="n"/>
      <c r="L72" s="17" t="n"/>
      <c r="M72" s="10" t="n"/>
    </row>
    <row r="73">
      <c r="A73" s="16" t="n"/>
      <c r="B73" s="16" t="n"/>
      <c r="C73" s="9" t="n"/>
      <c r="D73" s="9" t="n"/>
      <c r="E73" s="16" t="n"/>
      <c r="F73" s="16" t="n"/>
      <c r="G73" s="16" t="n"/>
      <c r="H73" s="16" t="n"/>
      <c r="I73" s="16" t="n"/>
      <c r="J73" s="16" t="n"/>
      <c r="K73" s="16" t="n"/>
      <c r="L73" s="17" t="n"/>
      <c r="M73" s="10" t="n"/>
    </row>
    <row r="74">
      <c r="A74" s="16" t="n"/>
      <c r="B74" s="16" t="n"/>
      <c r="C74" s="9" t="n"/>
      <c r="D74" s="9" t="n"/>
      <c r="E74" s="16" t="n"/>
      <c r="F74" s="16" t="n"/>
      <c r="G74" s="16" t="n"/>
      <c r="H74" s="16" t="n"/>
      <c r="I74" s="16" t="n"/>
      <c r="J74" s="16" t="n"/>
      <c r="K74" s="16" t="n"/>
      <c r="L74" s="17" t="n"/>
      <c r="M74" s="10" t="n"/>
    </row>
    <row r="75">
      <c r="A75" s="16" t="n"/>
      <c r="B75" s="16" t="n"/>
      <c r="C75" s="9" t="n"/>
      <c r="D75" s="9" t="n"/>
      <c r="E75" s="16" t="n"/>
      <c r="F75" s="16" t="n"/>
      <c r="G75" s="16" t="n"/>
      <c r="H75" s="16" t="n"/>
      <c r="I75" s="16" t="n"/>
      <c r="J75" s="16" t="n"/>
      <c r="K75" s="16" t="n"/>
      <c r="L75" s="17" t="n"/>
      <c r="M75" s="10" t="n"/>
    </row>
    <row r="76">
      <c r="A76" s="16" t="n"/>
      <c r="B76" s="16" t="n"/>
      <c r="C76" s="9" t="n"/>
      <c r="D76" s="9" t="n"/>
      <c r="E76" s="16" t="n"/>
      <c r="F76" s="16" t="n"/>
      <c r="G76" s="16" t="n"/>
      <c r="H76" s="16" t="n"/>
      <c r="I76" s="16" t="n"/>
      <c r="J76" s="16" t="n"/>
      <c r="K76" s="16" t="n"/>
      <c r="L76" s="17" t="n"/>
      <c r="M76" s="10" t="n"/>
    </row>
    <row r="77">
      <c r="A77" s="16" t="n"/>
      <c r="B77" s="16" t="n"/>
      <c r="C77" s="9" t="n"/>
      <c r="D77" s="9" t="n"/>
      <c r="E77" s="16" t="n"/>
      <c r="F77" s="16" t="n"/>
      <c r="G77" s="16" t="n"/>
      <c r="H77" s="16" t="n"/>
      <c r="I77" s="16" t="n"/>
      <c r="J77" s="16" t="n"/>
      <c r="K77" s="16" t="n"/>
      <c r="L77" s="17" t="n"/>
      <c r="M77" s="10" t="n"/>
    </row>
    <row r="78">
      <c r="A78" s="16" t="n"/>
      <c r="B78" s="16" t="n"/>
      <c r="C78" s="9" t="n"/>
      <c r="D78" s="9" t="n"/>
      <c r="E78" s="16" t="n"/>
      <c r="F78" s="16" t="n"/>
      <c r="G78" s="16" t="n"/>
      <c r="H78" s="16" t="n"/>
      <c r="I78" s="16" t="n"/>
      <c r="J78" s="16" t="n"/>
      <c r="K78" s="16" t="n"/>
      <c r="L78" s="17" t="n"/>
      <c r="M78" s="10" t="n"/>
    </row>
    <row r="79">
      <c r="A79" s="16" t="n"/>
      <c r="B79" s="16" t="n"/>
      <c r="C79" s="9" t="n"/>
      <c r="D79" s="9" t="n"/>
      <c r="E79" s="16" t="n"/>
      <c r="F79" s="16" t="n"/>
      <c r="G79" s="16" t="n"/>
      <c r="H79" s="16" t="n"/>
      <c r="I79" s="16" t="n"/>
      <c r="J79" s="16" t="n"/>
      <c r="K79" s="16" t="n"/>
      <c r="L79" s="17" t="n"/>
      <c r="M79" s="10" t="n"/>
    </row>
    <row r="80">
      <c r="A80" s="16" t="n"/>
      <c r="B80" s="16" t="n"/>
      <c r="C80" s="9" t="n"/>
      <c r="D80" s="9" t="n"/>
      <c r="E80" s="16" t="n"/>
      <c r="F80" s="16" t="n"/>
      <c r="G80" s="16" t="n"/>
      <c r="H80" s="16" t="n"/>
      <c r="I80" s="16" t="n"/>
      <c r="J80" s="16" t="n"/>
      <c r="K80" s="16" t="n"/>
      <c r="L80" s="17" t="n"/>
      <c r="M80" s="10" t="n"/>
    </row>
    <row r="81">
      <c r="A81" s="16" t="n"/>
      <c r="B81" s="16" t="n"/>
      <c r="C81" s="9" t="n"/>
      <c r="D81" s="9" t="n"/>
      <c r="E81" s="16" t="n"/>
      <c r="F81" s="16" t="n"/>
      <c r="G81" s="16" t="n"/>
      <c r="H81" s="16" t="n"/>
      <c r="I81" s="16" t="n"/>
      <c r="J81" s="16" t="n"/>
      <c r="K81" s="16" t="n"/>
      <c r="L81" s="17" t="n"/>
      <c r="M81" s="10" t="n"/>
    </row>
    <row r="82">
      <c r="A82" s="16" t="n"/>
      <c r="B82" s="16" t="n"/>
      <c r="C82" s="9" t="n"/>
      <c r="D82" s="9" t="n"/>
      <c r="E82" s="16" t="n"/>
      <c r="F82" s="16" t="n"/>
      <c r="G82" s="16" t="n"/>
      <c r="H82" s="16" t="n"/>
      <c r="I82" s="16" t="n"/>
      <c r="J82" s="16" t="n"/>
      <c r="K82" s="16" t="n"/>
      <c r="L82" s="17" t="n"/>
      <c r="M82" s="10" t="n"/>
    </row>
    <row r="83">
      <c r="A83" s="16" t="n"/>
      <c r="B83" s="16" t="n"/>
      <c r="C83" s="9" t="n"/>
      <c r="D83" s="9" t="n"/>
      <c r="E83" s="16" t="n"/>
      <c r="F83" s="16" t="n"/>
      <c r="G83" s="16" t="n"/>
      <c r="H83" s="16" t="n"/>
      <c r="I83" s="16" t="n"/>
      <c r="J83" s="16" t="n"/>
      <c r="K83" s="16" t="n"/>
      <c r="L83" s="17" t="n"/>
      <c r="M83" s="10" t="n"/>
    </row>
    <row r="84">
      <c r="A84" s="16" t="n"/>
      <c r="B84" s="16" t="n"/>
      <c r="C84" s="9" t="n"/>
      <c r="D84" s="9" t="n"/>
      <c r="E84" s="16" t="n"/>
      <c r="F84" s="16" t="n"/>
      <c r="G84" s="16" t="n"/>
      <c r="H84" s="16" t="n"/>
      <c r="I84" s="16" t="n"/>
      <c r="J84" s="16" t="n"/>
      <c r="K84" s="16" t="n"/>
      <c r="L84" s="17" t="n"/>
      <c r="M84" s="10" t="n"/>
    </row>
    <row r="85">
      <c r="A85" s="16" t="n"/>
      <c r="B85" s="16" t="n"/>
      <c r="C85" s="9" t="n"/>
      <c r="D85" s="9" t="n"/>
      <c r="E85" s="16" t="n"/>
      <c r="F85" s="16" t="n"/>
      <c r="G85" s="16" t="n"/>
      <c r="H85" s="16" t="n"/>
      <c r="I85" s="16" t="n"/>
      <c r="J85" s="16" t="n"/>
      <c r="K85" s="16" t="n"/>
      <c r="L85" s="17" t="n"/>
      <c r="M85" s="10" t="n"/>
    </row>
    <row r="86">
      <c r="A86" s="16" t="n"/>
      <c r="B86" s="16" t="n"/>
      <c r="C86" s="9" t="n"/>
      <c r="D86" s="9" t="n"/>
      <c r="E86" s="16" t="n"/>
      <c r="F86" s="16" t="n"/>
      <c r="G86" s="16" t="n"/>
      <c r="H86" s="16" t="n"/>
      <c r="I86" s="16" t="n"/>
      <c r="J86" s="16" t="n"/>
      <c r="K86" s="16" t="n"/>
      <c r="L86" s="17" t="n"/>
      <c r="M86" s="10" t="n"/>
    </row>
    <row r="87">
      <c r="A87" s="16" t="n"/>
      <c r="B87" s="16" t="n"/>
      <c r="C87" s="9" t="n"/>
      <c r="D87" s="9" t="n"/>
      <c r="E87" s="16" t="n"/>
      <c r="F87" s="16" t="n"/>
      <c r="G87" s="16" t="n"/>
      <c r="H87" s="16" t="n"/>
      <c r="I87" s="16" t="n"/>
      <c r="J87" s="16" t="n"/>
      <c r="K87" s="16" t="n"/>
      <c r="L87" s="17" t="n"/>
      <c r="M87" s="10" t="n"/>
    </row>
    <row r="88">
      <c r="A88" s="16" t="n"/>
      <c r="B88" s="16" t="n"/>
      <c r="C88" s="9" t="n"/>
      <c r="D88" s="9" t="n"/>
      <c r="E88" s="16" t="n"/>
      <c r="F88" s="16" t="n"/>
      <c r="G88" s="16" t="n"/>
      <c r="H88" s="16" t="n"/>
      <c r="I88" s="16" t="n"/>
      <c r="J88" s="16" t="n"/>
      <c r="K88" s="16" t="n"/>
      <c r="L88" s="17" t="n"/>
      <c r="M88" s="10" t="n"/>
    </row>
    <row r="89">
      <c r="A89" s="16" t="n"/>
      <c r="B89" s="16" t="n"/>
      <c r="C89" s="9" t="n"/>
      <c r="D89" s="9" t="n"/>
      <c r="E89" s="16" t="n"/>
      <c r="F89" s="16" t="n"/>
      <c r="G89" s="16" t="n"/>
      <c r="H89" s="16" t="n"/>
      <c r="I89" s="16" t="n"/>
      <c r="J89" s="16" t="n"/>
      <c r="K89" s="16" t="n"/>
      <c r="L89" s="17" t="n"/>
      <c r="M89" s="10" t="n"/>
    </row>
    <row r="90">
      <c r="A90" s="16" t="n"/>
      <c r="B90" s="16" t="n"/>
      <c r="C90" s="9" t="n"/>
      <c r="D90" s="9" t="n"/>
      <c r="E90" s="16" t="n"/>
      <c r="F90" s="16" t="n"/>
      <c r="G90" s="16" t="n"/>
      <c r="H90" s="16" t="n"/>
      <c r="I90" s="16" t="n"/>
      <c r="J90" s="16" t="n"/>
      <c r="K90" s="16" t="n"/>
      <c r="L90" s="17" t="n"/>
      <c r="M90" s="10" t="n"/>
    </row>
    <row r="91">
      <c r="A91" s="16" t="n"/>
      <c r="B91" s="16" t="n"/>
      <c r="C91" s="9" t="n"/>
      <c r="D91" s="9" t="n"/>
      <c r="E91" s="16" t="n"/>
      <c r="F91" s="16" t="n"/>
      <c r="G91" s="16" t="n"/>
      <c r="H91" s="16" t="n"/>
      <c r="I91" s="16" t="n"/>
      <c r="J91" s="16" t="n"/>
      <c r="K91" s="16" t="n"/>
      <c r="L91" s="17" t="n"/>
      <c r="M91" s="10" t="n"/>
    </row>
    <row r="92">
      <c r="A92" s="16" t="n"/>
      <c r="B92" s="16" t="n"/>
      <c r="C92" s="9" t="n"/>
      <c r="D92" s="9" t="n"/>
      <c r="E92" s="16" t="n"/>
      <c r="F92" s="16" t="n"/>
      <c r="G92" s="16" t="n"/>
      <c r="H92" s="16" t="n"/>
      <c r="I92" s="16" t="n"/>
      <c r="J92" s="16" t="n"/>
      <c r="K92" s="16" t="n"/>
      <c r="L92" s="17" t="n"/>
      <c r="M92" s="10" t="n"/>
    </row>
    <row r="93">
      <c r="A93" s="16" t="n"/>
      <c r="B93" s="16" t="n"/>
      <c r="C93" s="9" t="n"/>
      <c r="D93" s="9" t="n"/>
      <c r="E93" s="16" t="n"/>
      <c r="F93" s="16" t="n"/>
      <c r="G93" s="16" t="n"/>
      <c r="H93" s="16" t="n"/>
      <c r="I93" s="16" t="n"/>
      <c r="J93" s="16" t="n"/>
      <c r="K93" s="16" t="n"/>
      <c r="L93" s="17" t="n"/>
      <c r="M93" s="10" t="n"/>
    </row>
    <row r="94">
      <c r="A94" s="16" t="n"/>
      <c r="B94" s="16" t="n"/>
      <c r="C94" s="9" t="n"/>
      <c r="D94" s="9" t="n"/>
      <c r="E94" s="16" t="n"/>
      <c r="F94" s="16" t="n"/>
      <c r="G94" s="16" t="n"/>
      <c r="H94" s="16" t="n"/>
      <c r="I94" s="16" t="n"/>
      <c r="J94" s="16" t="n"/>
      <c r="K94" s="16" t="n"/>
      <c r="L94" s="17" t="n"/>
      <c r="M94" s="10" t="n"/>
    </row>
    <row r="95">
      <c r="A95" s="16" t="n"/>
      <c r="B95" s="16" t="n"/>
      <c r="C95" s="9" t="n"/>
      <c r="D95" s="9" t="n"/>
      <c r="E95" s="16" t="n"/>
      <c r="F95" s="16" t="n"/>
      <c r="G95" s="16" t="n"/>
      <c r="H95" s="16" t="n"/>
      <c r="I95" s="16" t="n"/>
      <c r="J95" s="16" t="n"/>
      <c r="K95" s="16" t="n"/>
      <c r="L95" s="17" t="n"/>
      <c r="M95" s="10" t="n"/>
    </row>
    <row r="96">
      <c r="A96" s="16" t="n"/>
      <c r="B96" s="16" t="n"/>
      <c r="C96" s="9" t="n"/>
      <c r="D96" s="9" t="n"/>
      <c r="E96" s="16" t="n"/>
      <c r="F96" s="16" t="n"/>
      <c r="G96" s="16" t="n"/>
      <c r="H96" s="16" t="n"/>
      <c r="I96" s="16" t="n"/>
      <c r="J96" s="16" t="n"/>
      <c r="K96" s="16" t="n"/>
      <c r="L96" s="17" t="n"/>
      <c r="M96" s="10" t="n"/>
    </row>
    <row r="97">
      <c r="A97" s="16" t="n"/>
      <c r="B97" s="16" t="n"/>
      <c r="C97" s="9" t="n"/>
      <c r="D97" s="9" t="n"/>
      <c r="E97" s="16" t="n"/>
      <c r="F97" s="16" t="n"/>
      <c r="G97" s="16" t="n"/>
      <c r="H97" s="16" t="n"/>
      <c r="I97" s="16" t="n"/>
      <c r="J97" s="16" t="n"/>
      <c r="K97" s="16" t="n"/>
      <c r="L97" s="17" t="n"/>
      <c r="M97" s="10" t="n"/>
    </row>
    <row r="98">
      <c r="A98" s="16" t="n"/>
      <c r="B98" s="16" t="n"/>
      <c r="C98" s="9" t="n"/>
      <c r="D98" s="9" t="n"/>
      <c r="E98" s="16" t="n"/>
      <c r="F98" s="16" t="n"/>
      <c r="G98" s="16" t="n"/>
      <c r="H98" s="16" t="n"/>
      <c r="I98" s="16" t="n"/>
      <c r="J98" s="16" t="n"/>
      <c r="K98" s="16" t="n"/>
      <c r="L98" s="17" t="n"/>
      <c r="M98" s="10" t="n"/>
    </row>
    <row r="99">
      <c r="A99" s="16" t="n"/>
      <c r="B99" s="16" t="n"/>
      <c r="C99" s="9" t="n"/>
      <c r="D99" s="9" t="n"/>
      <c r="E99" s="16" t="n"/>
      <c r="F99" s="16" t="n"/>
      <c r="G99" s="16" t="n"/>
      <c r="H99" s="16" t="n"/>
      <c r="I99" s="16" t="n"/>
      <c r="J99" s="16" t="n"/>
      <c r="K99" s="16" t="n"/>
      <c r="L99" s="17" t="n"/>
      <c r="M99" s="10" t="n"/>
    </row>
    <row r="100">
      <c r="A100" s="16" t="n"/>
      <c r="B100" s="16" t="n"/>
      <c r="C100" s="9" t="n"/>
      <c r="D100" s="9" t="n"/>
      <c r="E100" s="16" t="n"/>
      <c r="F100" s="16" t="n"/>
      <c r="G100" s="16" t="n"/>
      <c r="H100" s="16" t="n"/>
      <c r="I100" s="16" t="n"/>
      <c r="J100" s="16" t="n"/>
      <c r="K100" s="16" t="n"/>
      <c r="L100" s="17" t="n"/>
      <c r="M100" s="10" t="n"/>
    </row>
    <row r="101">
      <c r="A101" s="16" t="n"/>
      <c r="B101" s="16" t="n"/>
      <c r="C101" s="9" t="n"/>
      <c r="D101" s="9" t="n"/>
      <c r="E101" s="16" t="n"/>
      <c r="F101" s="16" t="n"/>
      <c r="G101" s="16" t="n"/>
      <c r="H101" s="16" t="n"/>
      <c r="I101" s="16" t="n"/>
      <c r="J101" s="16" t="n"/>
      <c r="K101" s="16" t="n"/>
      <c r="L101" s="17" t="n"/>
      <c r="M101" s="10" t="n"/>
    </row>
    <row r="102">
      <c r="A102" s="16" t="n"/>
      <c r="B102" s="16" t="n"/>
      <c r="C102" s="9" t="n"/>
      <c r="D102" s="9" t="n"/>
      <c r="E102" s="16" t="n"/>
      <c r="F102" s="16" t="n"/>
      <c r="G102" s="16" t="n"/>
      <c r="H102" s="16" t="n"/>
      <c r="I102" s="16" t="n"/>
      <c r="J102" s="16" t="n"/>
      <c r="K102" s="16" t="n"/>
      <c r="L102" s="17" t="n"/>
      <c r="M102" s="10" t="n"/>
    </row>
    <row r="103">
      <c r="A103" s="16" t="n"/>
      <c r="B103" s="16" t="n"/>
      <c r="C103" s="9" t="n"/>
      <c r="D103" s="9" t="n"/>
      <c r="E103" s="16" t="n"/>
      <c r="F103" s="16" t="n"/>
      <c r="G103" s="16" t="n"/>
      <c r="H103" s="16" t="n"/>
      <c r="I103" s="16" t="n"/>
      <c r="J103" s="16" t="n"/>
      <c r="K103" s="16" t="n"/>
      <c r="L103" s="17" t="n"/>
      <c r="M103" s="10" t="n"/>
    </row>
    <row r="104">
      <c r="A104" s="16" t="n"/>
      <c r="B104" s="16" t="n"/>
      <c r="C104" s="9" t="n"/>
      <c r="D104" s="9" t="n"/>
      <c r="E104" s="16" t="n"/>
      <c r="F104" s="16" t="n"/>
      <c r="G104" s="16" t="n"/>
      <c r="H104" s="16" t="n"/>
      <c r="I104" s="16" t="n"/>
      <c r="J104" s="16" t="n"/>
      <c r="K104" s="16" t="n"/>
      <c r="L104" s="17" t="n"/>
      <c r="M104" s="10" t="n"/>
    </row>
    <row r="105">
      <c r="A105" s="16" t="n"/>
      <c r="B105" s="16" t="n"/>
      <c r="C105" s="9" t="n"/>
      <c r="D105" s="9" t="n"/>
      <c r="E105" s="16" t="n"/>
      <c r="F105" s="16" t="n"/>
      <c r="G105" s="16" t="n"/>
      <c r="H105" s="16" t="n"/>
      <c r="I105" s="16" t="n"/>
      <c r="J105" s="16" t="n"/>
      <c r="K105" s="16" t="n"/>
      <c r="L105" s="17" t="n"/>
      <c r="M105" s="10" t="n"/>
    </row>
    <row r="106">
      <c r="A106" s="16" t="n"/>
      <c r="B106" s="16" t="n"/>
      <c r="C106" s="9" t="n"/>
      <c r="D106" s="9" t="n"/>
      <c r="E106" s="16" t="n"/>
      <c r="F106" s="16" t="n"/>
      <c r="G106" s="16" t="n"/>
      <c r="H106" s="16" t="n"/>
      <c r="I106" s="16" t="n"/>
      <c r="J106" s="16" t="n"/>
      <c r="K106" s="16" t="n"/>
      <c r="L106" s="17" t="n"/>
      <c r="M106" s="10" t="n"/>
    </row>
    <row r="107">
      <c r="A107" s="16" t="n"/>
      <c r="B107" s="16" t="n"/>
      <c r="C107" s="9" t="n"/>
      <c r="D107" s="9" t="n"/>
      <c r="E107" s="16" t="n"/>
      <c r="F107" s="16" t="n"/>
      <c r="G107" s="16" t="n"/>
      <c r="H107" s="16" t="n"/>
      <c r="I107" s="16" t="n"/>
      <c r="J107" s="16" t="n"/>
      <c r="K107" s="16" t="n"/>
      <c r="L107" s="17" t="n"/>
      <c r="M107" s="10" t="n"/>
    </row>
    <row r="108">
      <c r="A108" s="16" t="n"/>
      <c r="B108" s="16" t="n"/>
      <c r="C108" s="9" t="n"/>
      <c r="D108" s="9" t="n"/>
      <c r="E108" s="16" t="n"/>
      <c r="F108" s="16" t="n"/>
      <c r="G108" s="16" t="n"/>
      <c r="H108" s="16" t="n"/>
      <c r="I108" s="16" t="n"/>
      <c r="J108" s="16" t="n"/>
      <c r="K108" s="16" t="n"/>
      <c r="L108" s="17" t="n"/>
      <c r="M108" s="10" t="n"/>
    </row>
    <row r="109">
      <c r="A109" s="16" t="n"/>
      <c r="B109" s="16" t="n"/>
      <c r="C109" s="9" t="n"/>
      <c r="D109" s="9" t="n"/>
      <c r="E109" s="16" t="n"/>
      <c r="F109" s="16" t="n"/>
      <c r="G109" s="16" t="n"/>
      <c r="H109" s="16" t="n"/>
      <c r="I109" s="16" t="n"/>
      <c r="J109" s="16" t="n"/>
      <c r="K109" s="16" t="n"/>
      <c r="L109" s="17" t="n"/>
      <c r="M109" s="10" t="n"/>
    </row>
    <row r="110">
      <c r="A110" s="16" t="n"/>
      <c r="B110" s="16" t="n"/>
      <c r="C110" s="9" t="n"/>
      <c r="D110" s="9" t="n"/>
      <c r="E110" s="16" t="n"/>
      <c r="F110" s="16" t="n"/>
      <c r="G110" s="16" t="n"/>
      <c r="H110" s="16" t="n"/>
      <c r="I110" s="16" t="n"/>
      <c r="J110" s="16" t="n"/>
      <c r="K110" s="16" t="n"/>
      <c r="L110" s="17" t="n"/>
      <c r="M110" s="10" t="n"/>
    </row>
    <row r="111">
      <c r="A111" s="16" t="n"/>
      <c r="B111" s="16" t="n"/>
      <c r="C111" s="9" t="n"/>
      <c r="D111" s="9" t="n"/>
      <c r="E111" s="16" t="n"/>
      <c r="F111" s="16" t="n"/>
      <c r="G111" s="16" t="n"/>
      <c r="H111" s="16" t="n"/>
      <c r="I111" s="16" t="n"/>
      <c r="J111" s="16" t="n"/>
      <c r="K111" s="16" t="n"/>
      <c r="L111" s="17" t="n"/>
      <c r="M111" s="10" t="n"/>
    </row>
    <row r="112">
      <c r="A112" s="16" t="n"/>
      <c r="B112" s="16" t="n"/>
      <c r="C112" s="9" t="n"/>
      <c r="D112" s="9" t="n"/>
      <c r="E112" s="16" t="n"/>
      <c r="F112" s="16" t="n"/>
      <c r="G112" s="16" t="n"/>
      <c r="H112" s="16" t="n"/>
      <c r="I112" s="16" t="n"/>
      <c r="J112" s="16" t="n"/>
      <c r="K112" s="16" t="n"/>
      <c r="L112" s="17" t="n"/>
      <c r="M112" s="10" t="n"/>
    </row>
    <row r="113">
      <c r="A113" s="16" t="n"/>
      <c r="B113" s="16" t="n"/>
      <c r="C113" s="9" t="n"/>
      <c r="D113" s="9" t="n"/>
      <c r="E113" s="16" t="n"/>
      <c r="F113" s="16" t="n"/>
      <c r="G113" s="16" t="n"/>
      <c r="H113" s="16" t="n"/>
      <c r="I113" s="16" t="n"/>
      <c r="J113" s="16" t="n"/>
      <c r="K113" s="16" t="n"/>
      <c r="L113" s="17" t="n"/>
      <c r="M113" s="10" t="n"/>
    </row>
    <row r="114">
      <c r="A114" s="16" t="n"/>
      <c r="B114" s="16" t="n"/>
      <c r="C114" s="9" t="n"/>
      <c r="D114" s="9" t="n"/>
      <c r="E114" s="16" t="n"/>
      <c r="F114" s="16" t="n"/>
      <c r="G114" s="16" t="n"/>
      <c r="H114" s="16" t="n"/>
      <c r="I114" s="16" t="n"/>
      <c r="J114" s="16" t="n"/>
      <c r="K114" s="16" t="n"/>
      <c r="L114" s="17" t="n"/>
      <c r="M114" s="10" t="n"/>
    </row>
    <row r="115">
      <c r="A115" s="16" t="n"/>
      <c r="B115" s="16" t="n"/>
      <c r="C115" s="9" t="n"/>
      <c r="D115" s="9" t="n"/>
      <c r="E115" s="16" t="n"/>
      <c r="F115" s="16" t="n"/>
      <c r="G115" s="16" t="n"/>
      <c r="H115" s="16" t="n"/>
      <c r="I115" s="16" t="n"/>
      <c r="J115" s="16" t="n"/>
      <c r="K115" s="16" t="n"/>
      <c r="L115" s="17" t="n"/>
      <c r="M115" s="10" t="n"/>
    </row>
    <row r="116">
      <c r="A116" s="16" t="n"/>
      <c r="B116" s="16" t="n"/>
      <c r="C116" s="9" t="n"/>
      <c r="D116" s="9" t="n"/>
      <c r="E116" s="16" t="n"/>
      <c r="F116" s="16" t="n"/>
      <c r="G116" s="16" t="n"/>
      <c r="H116" s="16" t="n"/>
      <c r="I116" s="16" t="n"/>
      <c r="J116" s="16" t="n"/>
      <c r="K116" s="16" t="n"/>
      <c r="L116" s="17" t="n"/>
      <c r="M116" s="10" t="n"/>
    </row>
    <row r="117">
      <c r="A117" s="16" t="n"/>
      <c r="B117" s="16" t="n"/>
      <c r="C117" s="9" t="n"/>
      <c r="D117" s="9" t="n"/>
      <c r="E117" s="16" t="n"/>
      <c r="F117" s="16" t="n"/>
      <c r="G117" s="16" t="n"/>
      <c r="H117" s="16" t="n"/>
      <c r="I117" s="16" t="n"/>
      <c r="J117" s="16" t="n"/>
      <c r="K117" s="16" t="n"/>
      <c r="L117" s="17" t="n"/>
      <c r="M117" s="10" t="n"/>
    </row>
    <row r="118">
      <c r="A118" s="16" t="n"/>
      <c r="B118" s="16" t="n"/>
      <c r="C118" s="9" t="n"/>
      <c r="D118" s="9" t="n"/>
      <c r="E118" s="16" t="n"/>
      <c r="F118" s="16" t="n"/>
      <c r="G118" s="16" t="n"/>
      <c r="H118" s="16" t="n"/>
      <c r="I118" s="16" t="n"/>
      <c r="J118" s="16" t="n"/>
      <c r="K118" s="16" t="n"/>
      <c r="L118" s="17" t="n"/>
      <c r="M118" s="10" t="n"/>
    </row>
    <row r="119">
      <c r="A119" s="16" t="n"/>
      <c r="B119" s="16" t="n"/>
      <c r="C119" s="9" t="n"/>
      <c r="D119" s="9" t="n"/>
      <c r="E119" s="16" t="n"/>
      <c r="F119" s="16" t="n"/>
      <c r="G119" s="16" t="n"/>
      <c r="H119" s="16" t="n"/>
      <c r="I119" s="16" t="n"/>
      <c r="J119" s="16" t="n"/>
      <c r="K119" s="16" t="n"/>
      <c r="L119" s="17" t="n"/>
      <c r="M119" s="10" t="n"/>
    </row>
    <row r="120">
      <c r="A120" s="16" t="n"/>
      <c r="B120" s="16" t="n"/>
      <c r="C120" s="9" t="n"/>
      <c r="D120" s="9" t="n"/>
      <c r="E120" s="16" t="n"/>
      <c r="F120" s="16" t="n"/>
      <c r="G120" s="16" t="n"/>
      <c r="H120" s="16" t="n"/>
      <c r="I120" s="16" t="n"/>
      <c r="J120" s="16" t="n"/>
      <c r="K120" s="16" t="n"/>
      <c r="L120" s="17" t="n"/>
      <c r="M120" s="10" t="n"/>
    </row>
    <row r="121">
      <c r="A121" s="16" t="n"/>
      <c r="B121" s="16" t="n"/>
      <c r="C121" s="9" t="n"/>
      <c r="D121" s="9" t="n"/>
      <c r="E121" s="16" t="n"/>
      <c r="F121" s="16" t="n"/>
      <c r="G121" s="16" t="n"/>
      <c r="H121" s="16" t="n"/>
      <c r="I121" s="16" t="n"/>
      <c r="J121" s="16" t="n"/>
      <c r="K121" s="16" t="n"/>
      <c r="L121" s="17" t="n"/>
      <c r="M121" s="10" t="n"/>
    </row>
    <row r="122">
      <c r="A122" s="16" t="n"/>
      <c r="B122" s="16" t="n"/>
      <c r="C122" s="9" t="n"/>
      <c r="D122" s="9" t="n"/>
      <c r="E122" s="16" t="n"/>
      <c r="F122" s="16" t="n"/>
      <c r="G122" s="16" t="n"/>
      <c r="H122" s="16" t="n"/>
      <c r="I122" s="16" t="n"/>
      <c r="J122" s="16" t="n"/>
      <c r="K122" s="16" t="n"/>
      <c r="L122" s="17" t="n"/>
      <c r="M122" s="10" t="n"/>
    </row>
    <row r="123">
      <c r="A123" s="16" t="n"/>
      <c r="B123" s="16" t="n"/>
      <c r="C123" s="9" t="n"/>
      <c r="D123" s="9" t="n"/>
      <c r="E123" s="16" t="n"/>
      <c r="F123" s="16" t="n"/>
      <c r="G123" s="16" t="n"/>
      <c r="H123" s="16" t="n"/>
      <c r="I123" s="16" t="n"/>
      <c r="J123" s="16" t="n"/>
      <c r="K123" s="16" t="n"/>
      <c r="L123" s="17" t="n"/>
      <c r="M123" s="10" t="n"/>
    </row>
    <row r="124">
      <c r="A124" s="16" t="n"/>
      <c r="B124" s="16" t="n"/>
      <c r="C124" s="9" t="n"/>
      <c r="D124" s="9" t="n"/>
      <c r="E124" s="16" t="n"/>
      <c r="F124" s="16" t="n"/>
      <c r="G124" s="16" t="n"/>
      <c r="H124" s="16" t="n"/>
      <c r="I124" s="16" t="n"/>
      <c r="J124" s="16" t="n"/>
      <c r="K124" s="16" t="n"/>
      <c r="L124" s="17" t="n"/>
      <c r="M124" s="10" t="n"/>
    </row>
    <row r="125">
      <c r="A125" s="16" t="n"/>
      <c r="B125" s="16" t="n"/>
      <c r="C125" s="9" t="n"/>
      <c r="D125" s="9" t="n"/>
      <c r="E125" s="16" t="n"/>
      <c r="F125" s="16" t="n"/>
      <c r="G125" s="16" t="n"/>
      <c r="H125" s="16" t="n"/>
      <c r="I125" s="16" t="n"/>
      <c r="J125" s="16" t="n"/>
      <c r="K125" s="16" t="n"/>
      <c r="L125" s="17" t="n"/>
      <c r="M125" s="10" t="n"/>
    </row>
    <row r="126">
      <c r="A126" s="16" t="n"/>
      <c r="B126" s="16" t="n"/>
      <c r="C126" s="9" t="n"/>
      <c r="D126" s="9" t="n"/>
      <c r="E126" s="16" t="n"/>
      <c r="F126" s="16" t="n"/>
      <c r="G126" s="16" t="n"/>
      <c r="H126" s="16" t="n"/>
      <c r="I126" s="16" t="n"/>
      <c r="J126" s="16" t="n"/>
      <c r="K126" s="16" t="n"/>
      <c r="L126" s="17" t="n"/>
      <c r="M126" s="10" t="n"/>
    </row>
    <row r="127">
      <c r="A127" s="16" t="n"/>
      <c r="B127" s="16" t="n"/>
      <c r="C127" s="9" t="n"/>
      <c r="D127" s="9" t="n"/>
      <c r="E127" s="16" t="n"/>
      <c r="F127" s="16" t="n"/>
      <c r="G127" s="16" t="n"/>
      <c r="H127" s="16" t="n"/>
      <c r="I127" s="16" t="n"/>
      <c r="J127" s="16" t="n"/>
      <c r="K127" s="16" t="n"/>
      <c r="L127" s="17" t="n"/>
      <c r="M127" s="10" t="n"/>
    </row>
    <row r="128">
      <c r="A128" s="16" t="n"/>
      <c r="B128" s="16" t="n"/>
      <c r="C128" s="9" t="n"/>
      <c r="D128" s="9" t="n"/>
      <c r="E128" s="16" t="n"/>
      <c r="F128" s="16" t="n"/>
      <c r="G128" s="16" t="n"/>
      <c r="H128" s="16" t="n"/>
      <c r="I128" s="16" t="n"/>
      <c r="J128" s="16" t="n"/>
      <c r="K128" s="16" t="n"/>
      <c r="L128" s="17" t="n"/>
      <c r="M128" s="10" t="n"/>
    </row>
    <row r="129">
      <c r="A129" s="16" t="n"/>
      <c r="B129" s="16" t="n"/>
      <c r="C129" s="9" t="n"/>
      <c r="D129" s="9" t="n"/>
      <c r="E129" s="16" t="n"/>
      <c r="F129" s="16" t="n"/>
      <c r="G129" s="16" t="n"/>
      <c r="H129" s="16" t="n"/>
      <c r="I129" s="16" t="n"/>
      <c r="J129" s="16" t="n"/>
      <c r="K129" s="16" t="n"/>
      <c r="L129" s="17" t="n"/>
      <c r="M129" s="10" t="n"/>
    </row>
    <row r="130">
      <c r="A130" s="16" t="n"/>
      <c r="B130" s="16" t="n"/>
      <c r="C130" s="9" t="n"/>
      <c r="D130" s="9" t="n"/>
      <c r="E130" s="16" t="n"/>
      <c r="F130" s="16" t="n"/>
      <c r="G130" s="16" t="n"/>
      <c r="H130" s="16" t="n"/>
      <c r="I130" s="16" t="n"/>
      <c r="J130" s="16" t="n"/>
      <c r="K130" s="16" t="n"/>
      <c r="L130" s="17" t="n"/>
      <c r="M130" s="10" t="n"/>
    </row>
    <row r="131">
      <c r="A131" s="16" t="n"/>
      <c r="B131" s="16" t="n"/>
      <c r="C131" s="9" t="n"/>
      <c r="D131" s="9" t="n"/>
      <c r="E131" s="16" t="n"/>
      <c r="F131" s="16" t="n"/>
      <c r="G131" s="16" t="n"/>
      <c r="H131" s="16" t="n"/>
      <c r="I131" s="16" t="n"/>
      <c r="J131" s="16" t="n"/>
      <c r="K131" s="16" t="n"/>
      <c r="L131" s="17" t="n"/>
      <c r="M131" s="10" t="n"/>
    </row>
    <row r="132">
      <c r="A132" s="16" t="n"/>
      <c r="B132" s="16" t="n"/>
      <c r="C132" s="9" t="n"/>
      <c r="D132" s="9" t="n"/>
      <c r="E132" s="16" t="n"/>
      <c r="F132" s="16" t="n"/>
      <c r="G132" s="16" t="n"/>
      <c r="H132" s="16" t="n"/>
      <c r="I132" s="16" t="n"/>
      <c r="J132" s="16" t="n"/>
      <c r="K132" s="16" t="n"/>
      <c r="L132" s="17" t="n"/>
      <c r="M132" s="10" t="n"/>
    </row>
    <row r="133">
      <c r="A133" s="16" t="n"/>
      <c r="B133" s="16" t="n"/>
      <c r="C133" s="9" t="n"/>
      <c r="D133" s="9" t="n"/>
      <c r="E133" s="16" t="n"/>
      <c r="F133" s="16" t="n"/>
      <c r="G133" s="16" t="n"/>
      <c r="H133" s="16" t="n"/>
      <c r="I133" s="16" t="n"/>
      <c r="J133" s="16" t="n"/>
      <c r="K133" s="16" t="n"/>
      <c r="L133" s="17" t="n"/>
      <c r="M133" s="10" t="n"/>
    </row>
    <row r="134">
      <c r="A134" s="16" t="n"/>
      <c r="B134" s="16" t="n"/>
      <c r="C134" s="9" t="n"/>
      <c r="D134" s="9" t="n"/>
      <c r="E134" s="16" t="n"/>
      <c r="F134" s="16" t="n"/>
      <c r="G134" s="16" t="n"/>
      <c r="H134" s="16" t="n"/>
      <c r="I134" s="16" t="n"/>
      <c r="J134" s="16" t="n"/>
      <c r="K134" s="16" t="n"/>
      <c r="L134" s="17" t="n"/>
      <c r="M134" s="10" t="n"/>
    </row>
    <row r="135">
      <c r="A135" s="16" t="n"/>
      <c r="B135" s="16" t="n"/>
      <c r="C135" s="9" t="n"/>
      <c r="D135" s="9" t="n"/>
      <c r="E135" s="16" t="n"/>
      <c r="F135" s="16" t="n"/>
      <c r="G135" s="16" t="n"/>
      <c r="H135" s="16" t="n"/>
      <c r="I135" s="16" t="n"/>
      <c r="J135" s="16" t="n"/>
      <c r="K135" s="16" t="n"/>
      <c r="L135" s="17" t="n"/>
      <c r="M135" s="10" t="n"/>
    </row>
    <row r="136">
      <c r="A136" s="16" t="n"/>
      <c r="B136" s="16" t="n"/>
      <c r="C136" s="9" t="n"/>
      <c r="D136" s="9" t="n"/>
      <c r="E136" s="16" t="n"/>
      <c r="F136" s="16" t="n"/>
      <c r="G136" s="16" t="n"/>
      <c r="H136" s="16" t="n"/>
      <c r="I136" s="16" t="n"/>
      <c r="J136" s="16" t="n"/>
      <c r="K136" s="16" t="n"/>
      <c r="L136" s="17" t="n"/>
      <c r="M136" s="10" t="n"/>
    </row>
    <row r="137">
      <c r="A137" s="16" t="n"/>
      <c r="B137" s="16" t="n"/>
      <c r="C137" s="9" t="n"/>
      <c r="D137" s="9" t="n"/>
      <c r="E137" s="16" t="n"/>
      <c r="F137" s="16" t="n"/>
      <c r="G137" s="16" t="n"/>
      <c r="H137" s="16" t="n"/>
      <c r="I137" s="16" t="n"/>
      <c r="J137" s="16" t="n"/>
      <c r="K137" s="16" t="n"/>
      <c r="L137" s="17" t="n"/>
      <c r="M137" s="10" t="n"/>
    </row>
    <row r="138">
      <c r="A138" s="16" t="n"/>
      <c r="B138" s="16" t="n"/>
      <c r="C138" s="9" t="n"/>
      <c r="D138" s="9" t="n"/>
      <c r="E138" s="16" t="n"/>
      <c r="F138" s="16" t="n"/>
      <c r="G138" s="16" t="n"/>
      <c r="H138" s="16" t="n"/>
      <c r="I138" s="16" t="n"/>
      <c r="J138" s="16" t="n"/>
      <c r="K138" s="16" t="n"/>
      <c r="L138" s="17" t="n"/>
      <c r="M138" s="10" t="n"/>
    </row>
    <row r="139">
      <c r="A139" s="16" t="n"/>
      <c r="B139" s="16" t="n"/>
      <c r="C139" s="9" t="n"/>
      <c r="D139" s="9" t="n"/>
      <c r="E139" s="16" t="n"/>
      <c r="F139" s="16" t="n"/>
      <c r="G139" s="16" t="n"/>
      <c r="H139" s="16" t="n"/>
      <c r="I139" s="16" t="n"/>
      <c r="J139" s="16" t="n"/>
      <c r="K139" s="16" t="n"/>
      <c r="L139" s="17" t="n"/>
      <c r="M139" s="10" t="n"/>
    </row>
    <row r="140">
      <c r="A140" s="16" t="n"/>
      <c r="B140" s="16" t="n"/>
      <c r="C140" s="9" t="n"/>
      <c r="D140" s="9" t="n"/>
      <c r="E140" s="16" t="n"/>
      <c r="F140" s="16" t="n"/>
      <c r="G140" s="16" t="n"/>
      <c r="H140" s="16" t="n"/>
      <c r="I140" s="16" t="n"/>
      <c r="J140" s="16" t="n"/>
      <c r="K140" s="16" t="n"/>
      <c r="L140" s="17" t="n"/>
      <c r="M140" s="10" t="n"/>
    </row>
    <row r="141">
      <c r="A141" s="16" t="n"/>
      <c r="B141" s="16" t="n"/>
      <c r="C141" s="9" t="n"/>
      <c r="D141" s="9" t="n"/>
      <c r="E141" s="16" t="n"/>
      <c r="F141" s="16" t="n"/>
      <c r="G141" s="16" t="n"/>
      <c r="H141" s="16" t="n"/>
      <c r="I141" s="16" t="n"/>
      <c r="J141" s="16" t="n"/>
      <c r="K141" s="16" t="n"/>
      <c r="L141" s="17" t="n"/>
      <c r="M141" s="10" t="n"/>
    </row>
    <row r="142">
      <c r="A142" s="16" t="n"/>
      <c r="B142" s="16" t="n"/>
      <c r="C142" s="9" t="n"/>
      <c r="D142" s="9" t="n"/>
      <c r="E142" s="16" t="n"/>
      <c r="F142" s="16" t="n"/>
      <c r="G142" s="16" t="n"/>
      <c r="H142" s="16" t="n"/>
      <c r="I142" s="16" t="n"/>
      <c r="J142" s="16" t="n"/>
      <c r="K142" s="16" t="n"/>
      <c r="L142" s="17" t="n"/>
      <c r="M142" s="10" t="n"/>
    </row>
    <row r="143">
      <c r="A143" s="16" t="n"/>
      <c r="B143" s="16" t="n"/>
      <c r="C143" s="9" t="n"/>
      <c r="D143" s="9" t="n"/>
      <c r="E143" s="16" t="n"/>
      <c r="F143" s="16" t="n"/>
      <c r="G143" s="16" t="n"/>
      <c r="H143" s="16" t="n"/>
      <c r="I143" s="16" t="n"/>
      <c r="J143" s="16" t="n"/>
      <c r="K143" s="16" t="n"/>
      <c r="L143" s="17" t="n"/>
      <c r="M143" s="10" t="n"/>
    </row>
    <row r="144">
      <c r="A144" s="16" t="n"/>
      <c r="B144" s="16" t="n"/>
      <c r="C144" s="9" t="n"/>
      <c r="D144" s="9" t="n"/>
      <c r="E144" s="16" t="n"/>
      <c r="F144" s="16" t="n"/>
      <c r="G144" s="16" t="n"/>
      <c r="H144" s="16" t="n"/>
      <c r="I144" s="16" t="n"/>
      <c r="J144" s="16" t="n"/>
      <c r="K144" s="16" t="n"/>
      <c r="L144" s="17" t="n"/>
      <c r="M144" s="10" t="n"/>
    </row>
    <row r="145">
      <c r="A145" s="16" t="n"/>
      <c r="B145" s="16" t="n"/>
      <c r="C145" s="9" t="n"/>
      <c r="D145" s="9" t="n"/>
      <c r="E145" s="16" t="n"/>
      <c r="F145" s="16" t="n"/>
      <c r="G145" s="16" t="n"/>
      <c r="H145" s="16" t="n"/>
      <c r="I145" s="16" t="n"/>
      <c r="J145" s="16" t="n"/>
      <c r="K145" s="16" t="n"/>
      <c r="L145" s="17" t="n"/>
      <c r="M145" s="10" t="n"/>
    </row>
    <row r="146">
      <c r="A146" s="16" t="n"/>
      <c r="B146" s="16" t="n"/>
      <c r="C146" s="9" t="n"/>
      <c r="D146" s="9" t="n"/>
      <c r="E146" s="16" t="n"/>
      <c r="F146" s="16" t="n"/>
      <c r="G146" s="16" t="n"/>
      <c r="H146" s="16" t="n"/>
      <c r="I146" s="16" t="n"/>
      <c r="J146" s="16" t="n"/>
      <c r="K146" s="16" t="n"/>
      <c r="L146" s="17" t="n"/>
      <c r="M146" s="10" t="n"/>
    </row>
    <row r="147">
      <c r="A147" s="16" t="n"/>
      <c r="B147" s="16" t="n"/>
      <c r="C147" s="9" t="n"/>
      <c r="D147" s="9" t="n"/>
      <c r="E147" s="16" t="n"/>
      <c r="F147" s="16" t="n"/>
      <c r="G147" s="16" t="n"/>
      <c r="H147" s="16" t="n"/>
      <c r="I147" s="16" t="n"/>
      <c r="J147" s="16" t="n"/>
      <c r="K147" s="16" t="n"/>
      <c r="L147" s="17" t="n"/>
      <c r="M147" s="10" t="n"/>
    </row>
    <row r="148">
      <c r="A148" s="16" t="n"/>
      <c r="B148" s="16" t="n"/>
      <c r="C148" s="9" t="n"/>
      <c r="D148" s="9" t="n"/>
      <c r="E148" s="16" t="n"/>
      <c r="F148" s="16" t="n"/>
      <c r="G148" s="16" t="n"/>
      <c r="H148" s="16" t="n"/>
      <c r="I148" s="16" t="n"/>
      <c r="J148" s="16" t="n"/>
      <c r="K148" s="16" t="n"/>
      <c r="L148" s="17" t="n"/>
      <c r="M148" s="10" t="n"/>
    </row>
    <row r="149">
      <c r="A149" s="16" t="n"/>
      <c r="B149" s="16" t="n"/>
      <c r="C149" s="9" t="n"/>
      <c r="D149" s="9" t="n"/>
      <c r="E149" s="16" t="n"/>
      <c r="F149" s="16" t="n"/>
      <c r="G149" s="16" t="n"/>
      <c r="H149" s="16" t="n"/>
      <c r="I149" s="16" t="n"/>
      <c r="J149" s="16" t="n"/>
      <c r="K149" s="16" t="n"/>
      <c r="L149" s="17" t="n"/>
      <c r="M149" s="10" t="n"/>
    </row>
    <row r="150">
      <c r="A150" s="16" t="n"/>
      <c r="B150" s="16" t="n"/>
      <c r="C150" s="9" t="n"/>
      <c r="D150" s="9" t="n"/>
      <c r="E150" s="16" t="n"/>
      <c r="F150" s="16" t="n"/>
      <c r="G150" s="16" t="n"/>
      <c r="H150" s="16" t="n"/>
      <c r="I150" s="16" t="n"/>
      <c r="J150" s="16" t="n"/>
      <c r="K150" s="16" t="n"/>
      <c r="L150" s="17" t="n"/>
      <c r="M150" s="10" t="n"/>
    </row>
    <row r="151">
      <c r="A151" s="16" t="n"/>
      <c r="B151" s="16" t="n"/>
      <c r="C151" s="9" t="n"/>
      <c r="D151" s="9" t="n"/>
      <c r="E151" s="16" t="n"/>
      <c r="F151" s="16" t="n"/>
      <c r="G151" s="16" t="n"/>
      <c r="H151" s="16" t="n"/>
      <c r="I151" s="16" t="n"/>
      <c r="J151" s="16" t="n"/>
      <c r="K151" s="16" t="n"/>
      <c r="L151" s="17" t="n"/>
      <c r="M151" s="10" t="n"/>
    </row>
    <row r="152">
      <c r="A152" s="16" t="n"/>
      <c r="B152" s="16" t="n"/>
      <c r="C152" s="9" t="n"/>
      <c r="D152" s="9" t="n"/>
      <c r="E152" s="16" t="n"/>
      <c r="F152" s="16" t="n"/>
      <c r="G152" s="16" t="n"/>
      <c r="H152" s="16" t="n"/>
      <c r="I152" s="16" t="n"/>
      <c r="J152" s="16" t="n"/>
      <c r="K152" s="16" t="n"/>
      <c r="L152" s="17" t="n"/>
      <c r="M152" s="10" t="n"/>
    </row>
    <row r="153">
      <c r="A153" s="16" t="n"/>
      <c r="B153" s="16" t="n"/>
      <c r="C153" s="9" t="n"/>
      <c r="D153" s="9" t="n"/>
      <c r="E153" s="16" t="n"/>
      <c r="F153" s="16" t="n"/>
      <c r="G153" s="16" t="n"/>
      <c r="H153" s="16" t="n"/>
      <c r="I153" s="16" t="n"/>
      <c r="J153" s="16" t="n"/>
      <c r="K153" s="16" t="n"/>
      <c r="L153" s="17" t="n"/>
      <c r="M153" s="10" t="n"/>
    </row>
    <row r="154">
      <c r="A154" s="16" t="n"/>
      <c r="B154" s="16" t="n"/>
      <c r="C154" s="9" t="n"/>
      <c r="D154" s="9" t="n"/>
      <c r="E154" s="16" t="n"/>
      <c r="F154" s="16" t="n"/>
      <c r="G154" s="16" t="n"/>
      <c r="H154" s="16" t="n"/>
      <c r="I154" s="16" t="n"/>
      <c r="J154" s="16" t="n"/>
      <c r="K154" s="16" t="n"/>
      <c r="L154" s="17" t="n"/>
      <c r="M154" s="10" t="n"/>
    </row>
    <row r="155">
      <c r="A155" s="16" t="n"/>
      <c r="B155" s="16" t="n"/>
      <c r="C155" s="9" t="n"/>
      <c r="D155" s="9" t="n"/>
      <c r="E155" s="16" t="n"/>
      <c r="F155" s="16" t="n"/>
      <c r="G155" s="16" t="n"/>
      <c r="H155" s="16" t="n"/>
      <c r="I155" s="16" t="n"/>
      <c r="J155" s="16" t="n"/>
      <c r="K155" s="16" t="n"/>
      <c r="L155" s="17" t="n"/>
      <c r="M155" s="10" t="n"/>
    </row>
    <row r="156">
      <c r="A156" s="16" t="n"/>
      <c r="B156" s="16" t="n"/>
      <c r="C156" s="9" t="n"/>
      <c r="D156" s="9" t="n"/>
      <c r="E156" s="16" t="n"/>
      <c r="F156" s="16" t="n"/>
      <c r="G156" s="16" t="n"/>
      <c r="H156" s="16" t="n"/>
      <c r="I156" s="16" t="n"/>
      <c r="J156" s="16" t="n"/>
      <c r="K156" s="16" t="n"/>
      <c r="L156" s="17" t="n"/>
      <c r="M156" s="10" t="n"/>
    </row>
    <row r="157">
      <c r="A157" s="16" t="n"/>
      <c r="B157" s="16" t="n"/>
      <c r="C157" s="9" t="n"/>
      <c r="D157" s="9" t="n"/>
      <c r="E157" s="16" t="n"/>
      <c r="F157" s="16" t="n"/>
      <c r="G157" s="16" t="n"/>
      <c r="H157" s="16" t="n"/>
      <c r="I157" s="16" t="n"/>
      <c r="J157" s="16" t="n"/>
      <c r="K157" s="16" t="n"/>
      <c r="L157" s="17" t="n"/>
      <c r="M157" s="10" t="n"/>
    </row>
    <row r="158">
      <c r="A158" s="16" t="n"/>
      <c r="B158" s="16" t="n"/>
      <c r="C158" s="9" t="n"/>
      <c r="D158" s="9" t="n"/>
      <c r="E158" s="16" t="n"/>
      <c r="F158" s="16" t="n"/>
      <c r="G158" s="16" t="n"/>
      <c r="H158" s="16" t="n"/>
      <c r="I158" s="16" t="n"/>
      <c r="J158" s="16" t="n"/>
      <c r="K158" s="16" t="n"/>
      <c r="L158" s="17" t="n"/>
      <c r="M158" s="10" t="n"/>
    </row>
    <row r="159">
      <c r="A159" s="16" t="n"/>
      <c r="B159" s="16" t="n"/>
      <c r="C159" s="9" t="n"/>
      <c r="D159" s="9" t="n"/>
      <c r="E159" s="16" t="n"/>
      <c r="F159" s="16" t="n"/>
      <c r="G159" s="16" t="n"/>
      <c r="H159" s="16" t="n"/>
      <c r="I159" s="16" t="n"/>
      <c r="J159" s="16" t="n"/>
      <c r="K159" s="16" t="n"/>
      <c r="L159" s="17" t="n"/>
      <c r="M159" s="10" t="n"/>
    </row>
    <row r="160">
      <c r="A160" s="16" t="n"/>
      <c r="B160" s="16" t="n"/>
      <c r="C160" s="9" t="n"/>
      <c r="D160" s="9" t="n"/>
      <c r="E160" s="16" t="n"/>
      <c r="F160" s="16" t="n"/>
      <c r="G160" s="16" t="n"/>
      <c r="H160" s="16" t="n"/>
      <c r="I160" s="16" t="n"/>
      <c r="J160" s="16" t="n"/>
      <c r="K160" s="16" t="n"/>
      <c r="L160" s="17" t="n"/>
      <c r="M160" s="10" t="n"/>
    </row>
    <row r="161">
      <c r="A161" s="16" t="n"/>
      <c r="B161" s="16" t="n"/>
      <c r="C161" s="9" t="n"/>
      <c r="D161" s="9" t="n"/>
      <c r="E161" s="16" t="n"/>
      <c r="F161" s="16" t="n"/>
      <c r="G161" s="16" t="n"/>
      <c r="H161" s="16" t="n"/>
      <c r="I161" s="16" t="n"/>
      <c r="J161" s="16" t="n"/>
      <c r="K161" s="16" t="n"/>
      <c r="L161" s="17" t="n"/>
      <c r="M161" s="10" t="n"/>
    </row>
    <row r="162">
      <c r="A162" s="16" t="n"/>
      <c r="B162" s="16" t="n"/>
      <c r="C162" s="9" t="n"/>
      <c r="D162" s="9" t="n"/>
      <c r="E162" s="16" t="n"/>
      <c r="F162" s="16" t="n"/>
      <c r="G162" s="16" t="n"/>
      <c r="H162" s="16" t="n"/>
      <c r="I162" s="16" t="n"/>
      <c r="J162" s="16" t="n"/>
      <c r="K162" s="16" t="n"/>
      <c r="L162" s="17" t="n"/>
      <c r="M162" s="10" t="n"/>
    </row>
    <row r="163">
      <c r="A163" s="16" t="n"/>
      <c r="B163" s="16" t="n"/>
      <c r="C163" s="9" t="n"/>
      <c r="D163" s="9" t="n"/>
      <c r="E163" s="16" t="n"/>
      <c r="F163" s="16" t="n"/>
      <c r="G163" s="16" t="n"/>
      <c r="H163" s="16" t="n"/>
      <c r="I163" s="16" t="n"/>
      <c r="J163" s="16" t="n"/>
      <c r="K163" s="16" t="n"/>
      <c r="L163" s="17" t="n"/>
      <c r="M163" s="10" t="n"/>
    </row>
    <row r="164">
      <c r="A164" s="16" t="n"/>
      <c r="B164" s="16" t="n"/>
      <c r="C164" s="9" t="n"/>
      <c r="D164" s="9" t="n"/>
      <c r="E164" s="16" t="n"/>
      <c r="F164" s="16" t="n"/>
      <c r="G164" s="16" t="n"/>
      <c r="H164" s="16" t="n"/>
      <c r="I164" s="16" t="n"/>
      <c r="J164" s="16" t="n"/>
      <c r="K164" s="16" t="n"/>
      <c r="L164" s="17" t="n"/>
      <c r="M164" s="10" t="n"/>
    </row>
    <row r="165">
      <c r="A165" s="16" t="n"/>
      <c r="B165" s="16" t="n"/>
      <c r="C165" s="9" t="n"/>
      <c r="D165" s="9" t="n"/>
      <c r="E165" s="16" t="n"/>
      <c r="F165" s="16" t="n"/>
      <c r="G165" s="16" t="n"/>
      <c r="H165" s="16" t="n"/>
      <c r="I165" s="16" t="n"/>
      <c r="J165" s="16" t="n"/>
      <c r="K165" s="16" t="n"/>
      <c r="L165" s="17" t="n"/>
      <c r="M165" s="10" t="n"/>
    </row>
    <row r="166">
      <c r="A166" s="16" t="n"/>
      <c r="B166" s="16" t="n"/>
      <c r="C166" s="9" t="n"/>
      <c r="D166" s="9" t="n"/>
      <c r="E166" s="16" t="n"/>
      <c r="F166" s="16" t="n"/>
      <c r="G166" s="16" t="n"/>
      <c r="H166" s="16" t="n"/>
      <c r="I166" s="16" t="n"/>
      <c r="J166" s="16" t="n"/>
      <c r="K166" s="16" t="n"/>
      <c r="L166" s="17" t="n"/>
      <c r="M166" s="10" t="n"/>
    </row>
    <row r="167">
      <c r="A167" s="16" t="n"/>
      <c r="B167" s="16" t="n"/>
      <c r="C167" s="9" t="n"/>
      <c r="D167" s="9" t="n"/>
      <c r="E167" s="16" t="n"/>
      <c r="F167" s="16" t="n"/>
      <c r="G167" s="16" t="n"/>
      <c r="H167" s="16" t="n"/>
      <c r="I167" s="16" t="n"/>
      <c r="J167" s="16" t="n"/>
      <c r="K167" s="16" t="n"/>
      <c r="L167" s="17" t="n"/>
      <c r="M167" s="10" t="n"/>
    </row>
    <row r="168">
      <c r="A168" s="16" t="n"/>
      <c r="B168" s="16" t="n"/>
      <c r="C168" s="9" t="n"/>
      <c r="D168" s="9" t="n"/>
      <c r="E168" s="16" t="n"/>
      <c r="F168" s="16" t="n"/>
      <c r="G168" s="16" t="n"/>
      <c r="H168" s="16" t="n"/>
      <c r="I168" s="16" t="n"/>
      <c r="J168" s="16" t="n"/>
      <c r="K168" s="16" t="n"/>
      <c r="L168" s="17" t="n"/>
      <c r="M168" s="10" t="n"/>
    </row>
    <row r="169">
      <c r="A169" s="16" t="n"/>
      <c r="B169" s="16" t="n"/>
      <c r="C169" s="9" t="n"/>
      <c r="D169" s="9" t="n"/>
      <c r="E169" s="16" t="n"/>
      <c r="F169" s="16" t="n"/>
      <c r="G169" s="16" t="n"/>
      <c r="H169" s="16" t="n"/>
      <c r="I169" s="16" t="n"/>
      <c r="J169" s="16" t="n"/>
      <c r="K169" s="16" t="n"/>
      <c r="L169" s="17" t="n"/>
      <c r="M169" s="10" t="n"/>
    </row>
    <row r="170">
      <c r="A170" s="16" t="n"/>
      <c r="B170" s="16" t="n"/>
      <c r="C170" s="9" t="n"/>
      <c r="D170" s="9" t="n"/>
      <c r="E170" s="16" t="n"/>
      <c r="F170" s="16" t="n"/>
      <c r="G170" s="16" t="n"/>
      <c r="H170" s="16" t="n"/>
      <c r="I170" s="16" t="n"/>
      <c r="J170" s="16" t="n"/>
      <c r="K170" s="16" t="n"/>
      <c r="L170" s="17" t="n"/>
      <c r="M170" s="10" t="n"/>
    </row>
    <row r="171">
      <c r="A171" s="16" t="n"/>
      <c r="B171" s="16" t="n"/>
      <c r="C171" s="9" t="n"/>
      <c r="D171" s="9" t="n"/>
      <c r="E171" s="16" t="n"/>
      <c r="F171" s="16" t="n"/>
      <c r="G171" s="16" t="n"/>
      <c r="H171" s="16" t="n"/>
      <c r="I171" s="16" t="n"/>
      <c r="J171" s="16" t="n"/>
      <c r="K171" s="16" t="n"/>
      <c r="L171" s="17" t="n"/>
      <c r="M171" s="10" t="n"/>
    </row>
    <row r="172">
      <c r="A172" s="16" t="n"/>
      <c r="B172" s="16" t="n"/>
      <c r="C172" s="9" t="n"/>
      <c r="D172" s="9" t="n"/>
      <c r="E172" s="16" t="n"/>
      <c r="F172" s="16" t="n"/>
      <c r="G172" s="16" t="n"/>
      <c r="H172" s="16" t="n"/>
      <c r="I172" s="16" t="n"/>
      <c r="J172" s="16" t="n"/>
      <c r="K172" s="16" t="n"/>
      <c r="L172" s="17" t="n"/>
      <c r="M172" s="10" t="n"/>
    </row>
    <row r="173">
      <c r="A173" s="16" t="n"/>
      <c r="B173" s="16" t="n"/>
      <c r="C173" s="9" t="n"/>
      <c r="D173" s="9" t="n"/>
      <c r="E173" s="16" t="n"/>
      <c r="F173" s="16" t="n"/>
      <c r="G173" s="16" t="n"/>
      <c r="H173" s="16" t="n"/>
      <c r="I173" s="16" t="n"/>
      <c r="J173" s="16" t="n"/>
      <c r="K173" s="16" t="n"/>
      <c r="L173" s="17" t="n"/>
      <c r="M173" s="10" t="n"/>
    </row>
    <row r="174">
      <c r="A174" s="16" t="n"/>
      <c r="B174" s="16" t="n"/>
      <c r="C174" s="9" t="n"/>
      <c r="D174" s="9" t="n"/>
      <c r="E174" s="16" t="n"/>
      <c r="F174" s="16" t="n"/>
      <c r="G174" s="16" t="n"/>
      <c r="H174" s="16" t="n"/>
      <c r="I174" s="16" t="n"/>
      <c r="J174" s="16" t="n"/>
      <c r="K174" s="16" t="n"/>
      <c r="L174" s="17" t="n"/>
      <c r="M174" s="10" t="n"/>
    </row>
    <row r="175">
      <c r="A175" s="16" t="n"/>
      <c r="B175" s="16" t="n"/>
      <c r="C175" s="9" t="n"/>
      <c r="D175" s="9" t="n"/>
      <c r="E175" s="16" t="n"/>
      <c r="F175" s="16" t="n"/>
      <c r="G175" s="16" t="n"/>
      <c r="H175" s="16" t="n"/>
      <c r="I175" s="16" t="n"/>
      <c r="J175" s="16" t="n"/>
      <c r="K175" s="16" t="n"/>
      <c r="L175" s="17" t="n"/>
      <c r="M175" s="10" t="n"/>
    </row>
    <row r="176">
      <c r="A176" s="16" t="n"/>
      <c r="B176" s="16" t="n"/>
      <c r="C176" s="9" t="n"/>
      <c r="D176" s="9" t="n"/>
      <c r="E176" s="16" t="n"/>
      <c r="F176" s="16" t="n"/>
      <c r="G176" s="16" t="n"/>
      <c r="H176" s="16" t="n"/>
      <c r="I176" s="16" t="n"/>
      <c r="J176" s="16" t="n"/>
      <c r="K176" s="16" t="n"/>
      <c r="L176" s="17" t="n"/>
      <c r="M176" s="10" t="n"/>
    </row>
    <row r="177">
      <c r="A177" s="16" t="n"/>
      <c r="B177" s="16" t="n"/>
      <c r="C177" s="9" t="n"/>
      <c r="D177" s="9" t="n"/>
      <c r="E177" s="16" t="n"/>
      <c r="F177" s="16" t="n"/>
      <c r="G177" s="16" t="n"/>
      <c r="H177" s="16" t="n"/>
      <c r="I177" s="16" t="n"/>
      <c r="J177" s="16" t="n"/>
      <c r="K177" s="16" t="n"/>
      <c r="L177" s="17" t="n"/>
      <c r="M177" s="10" t="n"/>
    </row>
    <row r="178">
      <c r="A178" s="16" t="n"/>
      <c r="B178" s="16" t="n"/>
      <c r="C178" s="9" t="n"/>
      <c r="D178" s="9" t="n"/>
      <c r="E178" s="16" t="n"/>
      <c r="F178" s="16" t="n"/>
      <c r="G178" s="16" t="n"/>
      <c r="H178" s="16" t="n"/>
      <c r="I178" s="16" t="n"/>
      <c r="J178" s="16" t="n"/>
      <c r="K178" s="16" t="n"/>
      <c r="L178" s="17" t="n"/>
      <c r="M178" s="10" t="n"/>
    </row>
    <row r="179">
      <c r="A179" s="16" t="n"/>
      <c r="B179" s="16" t="n"/>
      <c r="C179" s="9" t="n"/>
      <c r="D179" s="9" t="n"/>
      <c r="E179" s="16" t="n"/>
      <c r="F179" s="16" t="n"/>
      <c r="G179" s="16" t="n"/>
      <c r="H179" s="16" t="n"/>
      <c r="I179" s="16" t="n"/>
      <c r="J179" s="16" t="n"/>
      <c r="K179" s="16" t="n"/>
      <c r="L179" s="17" t="n"/>
      <c r="M179" s="10" t="n"/>
    </row>
    <row r="180">
      <c r="A180" s="16" t="n"/>
      <c r="B180" s="16" t="n"/>
      <c r="C180" s="9" t="n"/>
      <c r="D180" s="9" t="n"/>
      <c r="E180" s="16" t="n"/>
      <c r="F180" s="16" t="n"/>
      <c r="G180" s="16" t="n"/>
      <c r="H180" s="16" t="n"/>
      <c r="I180" s="16" t="n"/>
      <c r="J180" s="16" t="n"/>
      <c r="K180" s="16" t="n"/>
      <c r="L180" s="17" t="n"/>
      <c r="M180" s="10" t="n"/>
    </row>
    <row r="181">
      <c r="A181" s="16" t="n"/>
      <c r="B181" s="16" t="n"/>
      <c r="C181" s="9" t="n"/>
      <c r="D181" s="9" t="n"/>
      <c r="E181" s="16" t="n"/>
      <c r="F181" s="16" t="n"/>
      <c r="G181" s="16" t="n"/>
      <c r="H181" s="16" t="n"/>
      <c r="I181" s="16" t="n"/>
      <c r="J181" s="16" t="n"/>
      <c r="K181" s="16" t="n"/>
      <c r="L181" s="17" t="n"/>
      <c r="M181" s="10" t="n"/>
    </row>
    <row r="182">
      <c r="A182" s="16" t="n"/>
      <c r="B182" s="16" t="n"/>
      <c r="C182" s="9" t="n"/>
      <c r="D182" s="9" t="n"/>
      <c r="E182" s="16" t="n"/>
      <c r="F182" s="16" t="n"/>
      <c r="G182" s="16" t="n"/>
      <c r="H182" s="16" t="n"/>
      <c r="I182" s="16" t="n"/>
      <c r="J182" s="16" t="n"/>
      <c r="K182" s="16" t="n"/>
      <c r="L182" s="17" t="n"/>
      <c r="M182" s="10" t="n"/>
    </row>
    <row r="183">
      <c r="A183" s="16" t="n"/>
      <c r="B183" s="16" t="n"/>
      <c r="C183" s="9" t="n"/>
      <c r="D183" s="9" t="n"/>
      <c r="E183" s="16" t="n"/>
      <c r="F183" s="16" t="n"/>
      <c r="G183" s="16" t="n"/>
      <c r="H183" s="16" t="n"/>
      <c r="I183" s="16" t="n"/>
      <c r="J183" s="16" t="n"/>
      <c r="K183" s="16" t="n"/>
      <c r="L183" s="17" t="n"/>
      <c r="M183" s="10" t="n"/>
    </row>
    <row r="184">
      <c r="A184" s="16" t="n"/>
      <c r="B184" s="16" t="n"/>
      <c r="C184" s="9" t="n"/>
      <c r="D184" s="9" t="n"/>
      <c r="E184" s="16" t="n"/>
      <c r="F184" s="16" t="n"/>
      <c r="G184" s="16" t="n"/>
      <c r="H184" s="16" t="n"/>
      <c r="I184" s="16" t="n"/>
      <c r="J184" s="16" t="n"/>
      <c r="K184" s="16" t="n"/>
      <c r="L184" s="17" t="n"/>
      <c r="M184" s="10" t="n"/>
    </row>
    <row r="185">
      <c r="A185" s="16" t="n"/>
      <c r="B185" s="16" t="n"/>
      <c r="C185" s="9" t="n"/>
      <c r="D185" s="9" t="n"/>
      <c r="E185" s="16" t="n"/>
      <c r="F185" s="16" t="n"/>
      <c r="G185" s="16" t="n"/>
      <c r="H185" s="16" t="n"/>
      <c r="I185" s="16" t="n"/>
      <c r="J185" s="16" t="n"/>
      <c r="K185" s="16" t="n"/>
      <c r="L185" s="17" t="n"/>
      <c r="M185" s="10" t="n"/>
    </row>
    <row r="186">
      <c r="A186" s="16" t="n"/>
      <c r="B186" s="16" t="n"/>
      <c r="C186" s="9" t="n"/>
      <c r="D186" s="9" t="n"/>
      <c r="E186" s="16" t="n"/>
      <c r="F186" s="16" t="n"/>
      <c r="G186" s="16" t="n"/>
      <c r="H186" s="16" t="n"/>
      <c r="I186" s="16" t="n"/>
      <c r="J186" s="16" t="n"/>
      <c r="K186" s="16" t="n"/>
      <c r="L186" s="17" t="n"/>
      <c r="M186" s="10" t="n"/>
    </row>
    <row r="187">
      <c r="A187" s="16" t="n"/>
      <c r="B187" s="16" t="n"/>
      <c r="C187" s="9" t="n"/>
      <c r="D187" s="9" t="n"/>
      <c r="E187" s="16" t="n"/>
      <c r="F187" s="16" t="n"/>
      <c r="G187" s="16" t="n"/>
      <c r="H187" s="16" t="n"/>
      <c r="I187" s="16" t="n"/>
      <c r="J187" s="16" t="n"/>
      <c r="K187" s="16" t="n"/>
      <c r="L187" s="17" t="n"/>
      <c r="M187" s="10" t="n"/>
    </row>
    <row r="188">
      <c r="A188" s="16" t="n"/>
      <c r="B188" s="16" t="n"/>
      <c r="C188" s="9" t="n"/>
      <c r="D188" s="9" t="n"/>
      <c r="E188" s="16" t="n"/>
      <c r="F188" s="16" t="n"/>
      <c r="G188" s="16" t="n"/>
      <c r="H188" s="16" t="n"/>
      <c r="I188" s="16" t="n"/>
      <c r="J188" s="16" t="n"/>
      <c r="K188" s="16" t="n"/>
      <c r="L188" s="17" t="n"/>
      <c r="M188" s="10" t="n"/>
    </row>
    <row r="189">
      <c r="A189" s="16" t="n"/>
      <c r="B189" s="16" t="n"/>
      <c r="C189" s="9" t="n"/>
      <c r="D189" s="9" t="n"/>
      <c r="E189" s="16" t="n"/>
      <c r="F189" s="16" t="n"/>
      <c r="G189" s="16" t="n"/>
      <c r="H189" s="16" t="n"/>
      <c r="I189" s="16" t="n"/>
      <c r="J189" s="16" t="n"/>
      <c r="K189" s="16" t="n"/>
      <c r="L189" s="17" t="n"/>
      <c r="M189" s="10" t="n"/>
    </row>
    <row r="190">
      <c r="A190" s="16" t="n"/>
      <c r="B190" s="16" t="n"/>
      <c r="C190" s="9" t="n"/>
      <c r="D190" s="9" t="n"/>
      <c r="E190" s="16" t="n"/>
      <c r="F190" s="16" t="n"/>
      <c r="G190" s="16" t="n"/>
      <c r="H190" s="16" t="n"/>
      <c r="I190" s="16" t="n"/>
      <c r="J190" s="16" t="n"/>
      <c r="K190" s="16" t="n"/>
      <c r="L190" s="17" t="n"/>
      <c r="M190" s="10" t="n"/>
    </row>
    <row r="191">
      <c r="A191" s="16" t="n"/>
      <c r="B191" s="16" t="n"/>
      <c r="C191" s="9" t="n"/>
      <c r="D191" s="9" t="n"/>
      <c r="E191" s="16" t="n"/>
      <c r="F191" s="16" t="n"/>
      <c r="G191" s="16" t="n"/>
      <c r="H191" s="16" t="n"/>
      <c r="I191" s="16" t="n"/>
      <c r="J191" s="16" t="n"/>
      <c r="K191" s="16" t="n"/>
      <c r="L191" s="17" t="n"/>
      <c r="M191" s="10" t="n"/>
    </row>
    <row r="192">
      <c r="A192" s="16" t="n"/>
      <c r="B192" s="16" t="n"/>
      <c r="C192" s="9" t="n"/>
      <c r="D192" s="9" t="n"/>
      <c r="E192" s="16" t="n"/>
      <c r="F192" s="16" t="n"/>
      <c r="G192" s="16" t="n"/>
      <c r="H192" s="16" t="n"/>
      <c r="I192" s="16" t="n"/>
      <c r="J192" s="16" t="n"/>
      <c r="K192" s="16" t="n"/>
      <c r="L192" s="17" t="n"/>
      <c r="M192" s="10" t="n"/>
    </row>
    <row r="193">
      <c r="A193" s="16" t="n"/>
      <c r="B193" s="16" t="n"/>
      <c r="C193" s="9" t="n"/>
      <c r="D193" s="9" t="n"/>
      <c r="E193" s="16" t="n"/>
      <c r="F193" s="16" t="n"/>
      <c r="G193" s="16" t="n"/>
      <c r="H193" s="16" t="n"/>
      <c r="I193" s="16" t="n"/>
      <c r="J193" s="16" t="n"/>
      <c r="K193" s="16" t="n"/>
      <c r="L193" s="17" t="n"/>
      <c r="M193" s="10" t="n"/>
    </row>
    <row r="194">
      <c r="A194" s="16" t="n"/>
      <c r="B194" s="16" t="n"/>
      <c r="C194" s="9" t="n"/>
      <c r="D194" s="9" t="n"/>
      <c r="E194" s="16" t="n"/>
      <c r="F194" s="16" t="n"/>
      <c r="G194" s="16" t="n"/>
      <c r="H194" s="16" t="n"/>
      <c r="I194" s="16" t="n"/>
      <c r="J194" s="16" t="n"/>
      <c r="K194" s="16" t="n"/>
      <c r="L194" s="17" t="n"/>
      <c r="M194" s="10" t="n"/>
    </row>
    <row r="195">
      <c r="A195" s="16" t="n"/>
      <c r="B195" s="16" t="n"/>
      <c r="C195" s="9" t="n"/>
      <c r="D195" s="9" t="n"/>
      <c r="E195" s="16" t="n"/>
      <c r="F195" s="16" t="n"/>
      <c r="G195" s="16" t="n"/>
      <c r="H195" s="16" t="n"/>
      <c r="I195" s="16" t="n"/>
      <c r="J195" s="16" t="n"/>
      <c r="K195" s="16" t="n"/>
      <c r="L195" s="17" t="n"/>
      <c r="M195" s="10" t="n"/>
    </row>
    <row r="196">
      <c r="A196" s="16" t="n"/>
      <c r="B196" s="16" t="n"/>
      <c r="C196" s="9" t="n"/>
      <c r="D196" s="9" t="n"/>
      <c r="E196" s="16" t="n"/>
      <c r="F196" s="16" t="n"/>
      <c r="G196" s="16" t="n"/>
      <c r="H196" s="16" t="n"/>
      <c r="I196" s="16" t="n"/>
      <c r="J196" s="16" t="n"/>
      <c r="K196" s="16" t="n"/>
      <c r="L196" s="17" t="n"/>
      <c r="M196" s="10" t="n"/>
    </row>
    <row r="197">
      <c r="A197" s="16" t="n"/>
      <c r="B197" s="16" t="n"/>
      <c r="C197" s="9" t="n"/>
      <c r="D197" s="9" t="n"/>
      <c r="E197" s="16" t="n"/>
      <c r="F197" s="16" t="n"/>
      <c r="G197" s="16" t="n"/>
      <c r="H197" s="16" t="n"/>
      <c r="I197" s="16" t="n"/>
      <c r="J197" s="16" t="n"/>
      <c r="K197" s="16" t="n"/>
      <c r="L197" s="17" t="n"/>
      <c r="M197" s="10" t="n"/>
    </row>
    <row r="198">
      <c r="A198" s="16" t="n"/>
      <c r="B198" s="16" t="n"/>
      <c r="C198" s="9" t="n"/>
      <c r="D198" s="9" t="n"/>
      <c r="E198" s="16" t="n"/>
      <c r="F198" s="16" t="n"/>
      <c r="G198" s="16" t="n"/>
      <c r="H198" s="16" t="n"/>
      <c r="I198" s="16" t="n"/>
      <c r="J198" s="16" t="n"/>
      <c r="K198" s="16" t="n"/>
      <c r="L198" s="17" t="n"/>
      <c r="M198" s="10" t="n"/>
    </row>
    <row r="199">
      <c r="A199" s="16" t="n"/>
      <c r="B199" s="16" t="n"/>
      <c r="C199" s="9" t="n"/>
      <c r="D199" s="9" t="n"/>
      <c r="E199" s="16" t="n"/>
      <c r="F199" s="16" t="n"/>
      <c r="G199" s="16" t="n"/>
      <c r="H199" s="16" t="n"/>
      <c r="I199" s="16" t="n"/>
      <c r="J199" s="16" t="n"/>
      <c r="K199" s="16" t="n"/>
      <c r="L199" s="17" t="n"/>
      <c r="M199" s="10" t="n"/>
    </row>
    <row r="200">
      <c r="A200" s="16" t="n"/>
      <c r="B200" s="16" t="n"/>
      <c r="C200" s="9" t="n"/>
      <c r="D200" s="9" t="n"/>
      <c r="E200" s="16" t="n"/>
      <c r="F200" s="16" t="n"/>
      <c r="G200" s="16" t="n"/>
      <c r="H200" s="16" t="n"/>
      <c r="I200" s="16" t="n"/>
      <c r="J200" s="16" t="n"/>
      <c r="K200" s="16" t="n"/>
      <c r="L200" s="17" t="n"/>
      <c r="M200" s="10" t="n"/>
    </row>
    <row r="201">
      <c r="A201" s="16" t="n"/>
      <c r="B201" s="16" t="n"/>
      <c r="C201" s="9" t="n"/>
      <c r="D201" s="9" t="n"/>
      <c r="E201" s="16" t="n"/>
      <c r="F201" s="16" t="n"/>
      <c r="G201" s="16" t="n"/>
      <c r="H201" s="16" t="n"/>
      <c r="I201" s="16" t="n"/>
      <c r="J201" s="16" t="n"/>
      <c r="K201" s="16" t="n"/>
      <c r="L201" s="17" t="n"/>
      <c r="M201" s="10" t="n"/>
    </row>
    <row r="202">
      <c r="A202" s="16" t="n"/>
      <c r="B202" s="16" t="n"/>
      <c r="C202" s="9" t="n"/>
      <c r="D202" s="9" t="n"/>
      <c r="E202" s="16" t="n"/>
      <c r="F202" s="16" t="n"/>
      <c r="G202" s="16" t="n"/>
      <c r="H202" s="16" t="n"/>
      <c r="I202" s="16" t="n"/>
      <c r="J202" s="16" t="n"/>
      <c r="K202" s="16" t="n"/>
      <c r="L202" s="17" t="n"/>
      <c r="M202" s="10" t="n"/>
    </row>
    <row r="203">
      <c r="A203" s="16" t="n"/>
      <c r="B203" s="16" t="n"/>
      <c r="C203" s="9" t="n"/>
      <c r="D203" s="9" t="n"/>
      <c r="E203" s="16" t="n"/>
      <c r="F203" s="16" t="n"/>
      <c r="G203" s="16" t="n"/>
      <c r="H203" s="16" t="n"/>
      <c r="I203" s="16" t="n"/>
      <c r="J203" s="16" t="n"/>
      <c r="K203" s="16" t="n"/>
      <c r="L203" s="17" t="n"/>
      <c r="M203" s="10" t="n"/>
    </row>
    <row r="204">
      <c r="A204" s="16" t="n"/>
      <c r="B204" s="16" t="n"/>
      <c r="C204" s="9" t="n"/>
      <c r="D204" s="9" t="n"/>
      <c r="E204" s="16" t="n"/>
      <c r="F204" s="16" t="n"/>
      <c r="G204" s="16" t="n"/>
      <c r="H204" s="16" t="n"/>
      <c r="I204" s="16" t="n"/>
      <c r="J204" s="16" t="n"/>
      <c r="K204" s="16" t="n"/>
      <c r="L204" s="17" t="n"/>
      <c r="M204" s="10" t="n"/>
    </row>
    <row r="205">
      <c r="A205" s="16" t="n"/>
      <c r="B205" s="16" t="n"/>
      <c r="C205" s="9" t="n"/>
      <c r="D205" s="9" t="n"/>
      <c r="E205" s="16" t="n"/>
      <c r="F205" s="16" t="n"/>
      <c r="G205" s="16" t="n"/>
      <c r="H205" s="16" t="n"/>
      <c r="I205" s="16" t="n"/>
      <c r="J205" s="16" t="n"/>
      <c r="K205" s="16" t="n"/>
      <c r="L205" s="17" t="n"/>
      <c r="M205" s="10" t="n"/>
    </row>
    <row r="206">
      <c r="A206" s="16" t="n"/>
      <c r="B206" s="16" t="n"/>
      <c r="C206" s="9" t="n"/>
      <c r="D206" s="9" t="n"/>
      <c r="E206" s="16" t="n"/>
      <c r="F206" s="16" t="n"/>
      <c r="G206" s="16" t="n"/>
      <c r="H206" s="16" t="n"/>
      <c r="I206" s="16" t="n"/>
      <c r="J206" s="16" t="n"/>
      <c r="K206" s="16" t="n"/>
      <c r="L206" s="17" t="n"/>
      <c r="M206" s="10" t="n"/>
    </row>
    <row r="207">
      <c r="A207" s="16" t="n"/>
      <c r="B207" s="16" t="n"/>
      <c r="C207" s="9" t="n"/>
      <c r="D207" s="9" t="n"/>
      <c r="E207" s="16" t="n"/>
      <c r="F207" s="16" t="n"/>
      <c r="G207" s="16" t="n"/>
      <c r="H207" s="16" t="n"/>
      <c r="I207" s="16" t="n"/>
      <c r="J207" s="16" t="n"/>
      <c r="K207" s="16" t="n"/>
      <c r="L207" s="17" t="n"/>
      <c r="M207" s="10" t="n"/>
    </row>
    <row r="208">
      <c r="A208" s="16" t="n"/>
      <c r="B208" s="16" t="n"/>
      <c r="C208" s="9" t="n"/>
      <c r="D208" s="9" t="n"/>
      <c r="E208" s="16" t="n"/>
      <c r="F208" s="16" t="n"/>
      <c r="G208" s="16" t="n"/>
      <c r="H208" s="16" t="n"/>
      <c r="I208" s="16" t="n"/>
      <c r="J208" s="16" t="n"/>
      <c r="K208" s="16" t="n"/>
      <c r="L208" s="17" t="n"/>
      <c r="M208" s="10" t="n"/>
    </row>
    <row r="209">
      <c r="A209" s="16" t="n"/>
      <c r="B209" s="16" t="n"/>
      <c r="C209" s="9" t="n"/>
      <c r="D209" s="9" t="n"/>
      <c r="E209" s="16" t="n"/>
      <c r="F209" s="16" t="n"/>
      <c r="G209" s="16" t="n"/>
      <c r="H209" s="16" t="n"/>
      <c r="I209" s="16" t="n"/>
      <c r="J209" s="16" t="n"/>
      <c r="K209" s="16" t="n"/>
      <c r="L209" s="17" t="n"/>
      <c r="M209" s="10" t="n"/>
    </row>
    <row r="210">
      <c r="A210" s="16" t="n"/>
      <c r="B210" s="16" t="n"/>
      <c r="C210" s="9" t="n"/>
      <c r="D210" s="9" t="n"/>
      <c r="E210" s="16" t="n"/>
      <c r="F210" s="16" t="n"/>
      <c r="G210" s="16" t="n"/>
      <c r="H210" s="16" t="n"/>
      <c r="I210" s="16" t="n"/>
      <c r="J210" s="16" t="n"/>
      <c r="K210" s="16" t="n"/>
      <c r="L210" s="17" t="n"/>
      <c r="M210" s="10" t="n"/>
    </row>
    <row r="211">
      <c r="A211" s="16" t="n"/>
      <c r="B211" s="16" t="n"/>
      <c r="C211" s="9" t="n"/>
      <c r="D211" s="9" t="n"/>
      <c r="E211" s="16" t="n"/>
      <c r="F211" s="16" t="n"/>
      <c r="G211" s="16" t="n"/>
      <c r="H211" s="16" t="n"/>
      <c r="I211" s="16" t="n"/>
      <c r="J211" s="16" t="n"/>
      <c r="K211" s="16" t="n"/>
      <c r="L211" s="17" t="n"/>
      <c r="M211" s="10" t="n"/>
    </row>
    <row r="212">
      <c r="A212" s="16" t="n"/>
      <c r="B212" s="16" t="n"/>
      <c r="C212" s="9" t="n"/>
      <c r="D212" s="9" t="n"/>
      <c r="E212" s="16" t="n"/>
      <c r="F212" s="16" t="n"/>
      <c r="G212" s="16" t="n"/>
      <c r="H212" s="16" t="n"/>
      <c r="I212" s="16" t="n"/>
      <c r="J212" s="16" t="n"/>
      <c r="K212" s="16" t="n"/>
      <c r="L212" s="17" t="n"/>
      <c r="M212" s="10" t="n"/>
    </row>
    <row r="213">
      <c r="A213" s="16" t="n"/>
      <c r="B213" s="16" t="n"/>
      <c r="C213" s="9" t="n"/>
      <c r="D213" s="9" t="n"/>
      <c r="E213" s="16" t="n"/>
      <c r="F213" s="16" t="n"/>
      <c r="G213" s="16" t="n"/>
      <c r="H213" s="16" t="n"/>
      <c r="I213" s="16" t="n"/>
      <c r="J213" s="16" t="n"/>
      <c r="K213" s="16" t="n"/>
      <c r="L213" s="17" t="n"/>
      <c r="M213" s="10" t="n"/>
    </row>
    <row r="214">
      <c r="A214" s="16" t="n"/>
      <c r="B214" s="16" t="n"/>
      <c r="C214" s="9" t="n"/>
      <c r="D214" s="9" t="n"/>
      <c r="E214" s="16" t="n"/>
      <c r="F214" s="16" t="n"/>
      <c r="G214" s="16" t="n"/>
      <c r="H214" s="16" t="n"/>
      <c r="I214" s="16" t="n"/>
      <c r="J214" s="16" t="n"/>
      <c r="K214" s="16" t="n"/>
      <c r="L214" s="17" t="n"/>
      <c r="M214" s="10" t="n"/>
    </row>
    <row r="215">
      <c r="A215" s="16" t="n"/>
      <c r="B215" s="16" t="n"/>
      <c r="C215" s="9" t="n"/>
      <c r="D215" s="9" t="n"/>
      <c r="E215" s="16" t="n"/>
      <c r="F215" s="16" t="n"/>
      <c r="G215" s="16" t="n"/>
      <c r="H215" s="16" t="n"/>
      <c r="I215" s="16" t="n"/>
      <c r="J215" s="16" t="n"/>
      <c r="K215" s="16" t="n"/>
      <c r="L215" s="17" t="n"/>
      <c r="M215" s="10" t="n"/>
    </row>
    <row r="216">
      <c r="A216" s="16" t="n"/>
      <c r="B216" s="16" t="n"/>
      <c r="C216" s="9" t="n"/>
      <c r="D216" s="9" t="n"/>
      <c r="E216" s="16" t="n"/>
      <c r="F216" s="16" t="n"/>
      <c r="G216" s="16" t="n"/>
      <c r="H216" s="16" t="n"/>
      <c r="I216" s="16" t="n"/>
      <c r="J216" s="16" t="n"/>
      <c r="K216" s="16" t="n"/>
      <c r="L216" s="17" t="n"/>
      <c r="M216" s="10" t="n"/>
    </row>
    <row r="217">
      <c r="A217" s="16" t="n"/>
      <c r="B217" s="16" t="n"/>
      <c r="C217" s="9" t="n"/>
      <c r="D217" s="9" t="n"/>
      <c r="E217" s="16" t="n"/>
      <c r="F217" s="16" t="n"/>
      <c r="G217" s="16" t="n"/>
      <c r="H217" s="16" t="n"/>
      <c r="I217" s="16" t="n"/>
      <c r="J217" s="16" t="n"/>
      <c r="K217" s="16" t="n"/>
      <c r="L217" s="17" t="n"/>
      <c r="M217" s="10" t="n"/>
    </row>
    <row r="218">
      <c r="A218" s="16" t="n"/>
      <c r="B218" s="16" t="n"/>
      <c r="C218" s="9" t="n"/>
      <c r="D218" s="9" t="n"/>
      <c r="E218" s="16" t="n"/>
      <c r="F218" s="16" t="n"/>
      <c r="G218" s="16" t="n"/>
      <c r="H218" s="16" t="n"/>
      <c r="I218" s="16" t="n"/>
      <c r="J218" s="16" t="n"/>
      <c r="K218" s="16" t="n"/>
      <c r="L218" s="17" t="n"/>
      <c r="M218" s="10" t="n"/>
    </row>
    <row r="219">
      <c r="A219" s="16" t="n"/>
      <c r="B219" s="16" t="n"/>
      <c r="C219" s="9" t="n"/>
      <c r="D219" s="9" t="n"/>
      <c r="E219" s="16" t="n"/>
      <c r="F219" s="16" t="n"/>
      <c r="G219" s="16" t="n"/>
      <c r="H219" s="16" t="n"/>
      <c r="I219" s="16" t="n"/>
      <c r="J219" s="16" t="n"/>
      <c r="K219" s="16" t="n"/>
      <c r="L219" s="17" t="n"/>
      <c r="M219" s="10" t="n"/>
    </row>
    <row r="220">
      <c r="A220" s="16" t="n"/>
      <c r="B220" s="16" t="n"/>
      <c r="C220" s="9" t="n"/>
      <c r="D220" s="9" t="n"/>
      <c r="E220" s="16" t="n"/>
      <c r="F220" s="16" t="n"/>
      <c r="G220" s="16" t="n"/>
      <c r="H220" s="16" t="n"/>
      <c r="I220" s="16" t="n"/>
      <c r="J220" s="16" t="n"/>
      <c r="K220" s="16" t="n"/>
      <c r="L220" s="17" t="n"/>
      <c r="M220" s="10" t="n"/>
    </row>
    <row r="221">
      <c r="A221" s="16" t="n"/>
      <c r="B221" s="16" t="n"/>
      <c r="C221" s="9" t="n"/>
      <c r="D221" s="9" t="n"/>
      <c r="E221" s="16" t="n"/>
      <c r="F221" s="16" t="n"/>
      <c r="G221" s="16" t="n"/>
      <c r="H221" s="16" t="n"/>
      <c r="I221" s="16" t="n"/>
      <c r="J221" s="16" t="n"/>
      <c r="K221" s="16" t="n"/>
      <c r="L221" s="17" t="n"/>
      <c r="M221" s="10" t="n"/>
    </row>
    <row r="222">
      <c r="A222" s="16" t="n"/>
      <c r="B222" s="16" t="n"/>
      <c r="C222" s="9" t="n"/>
      <c r="D222" s="9" t="n"/>
      <c r="E222" s="16" t="n"/>
      <c r="F222" s="16" t="n"/>
      <c r="G222" s="16" t="n"/>
      <c r="H222" s="16" t="n"/>
      <c r="I222" s="16" t="n"/>
      <c r="J222" s="16" t="n"/>
      <c r="K222" s="16" t="n"/>
      <c r="L222" s="17" t="n"/>
      <c r="M222" s="10" t="n"/>
    </row>
    <row r="223">
      <c r="A223" s="16" t="n"/>
      <c r="B223" s="16" t="n"/>
      <c r="C223" s="9" t="n"/>
      <c r="D223" s="9" t="n"/>
      <c r="E223" s="16" t="n"/>
      <c r="F223" s="16" t="n"/>
      <c r="G223" s="16" t="n"/>
      <c r="H223" s="16" t="n"/>
      <c r="I223" s="16" t="n"/>
      <c r="J223" s="16" t="n"/>
      <c r="K223" s="16" t="n"/>
      <c r="L223" s="17" t="n"/>
      <c r="M223" s="10" t="n"/>
    </row>
    <row r="224">
      <c r="A224" s="16" t="n"/>
      <c r="B224" s="16" t="n"/>
      <c r="C224" s="9" t="n"/>
      <c r="D224" s="9" t="n"/>
      <c r="E224" s="16" t="n"/>
      <c r="F224" s="16" t="n"/>
      <c r="G224" s="16" t="n"/>
      <c r="H224" s="16" t="n"/>
      <c r="I224" s="16" t="n"/>
      <c r="J224" s="16" t="n"/>
      <c r="K224" s="16" t="n"/>
      <c r="L224" s="17" t="n"/>
      <c r="M224" s="10" t="n"/>
    </row>
    <row r="225">
      <c r="A225" s="16" t="n"/>
      <c r="B225" s="16" t="n"/>
      <c r="C225" s="9" t="n"/>
      <c r="D225" s="9" t="n"/>
      <c r="E225" s="16" t="n"/>
      <c r="F225" s="16" t="n"/>
      <c r="G225" s="16" t="n"/>
      <c r="H225" s="16" t="n"/>
      <c r="I225" s="16" t="n"/>
      <c r="J225" s="16" t="n"/>
      <c r="K225" s="16" t="n"/>
      <c r="L225" s="17" t="n"/>
      <c r="M225" s="10" t="n"/>
    </row>
    <row r="226">
      <c r="A226" s="16" t="n"/>
      <c r="B226" s="16" t="n"/>
      <c r="C226" s="9" t="n"/>
      <c r="D226" s="9" t="n"/>
      <c r="E226" s="16" t="n"/>
      <c r="F226" s="16" t="n"/>
      <c r="G226" s="16" t="n"/>
      <c r="H226" s="16" t="n"/>
      <c r="I226" s="16" t="n"/>
      <c r="J226" s="16" t="n"/>
      <c r="K226" s="16" t="n"/>
      <c r="L226" s="17" t="n"/>
      <c r="M226" s="10" t="n"/>
    </row>
    <row r="227">
      <c r="A227" s="16" t="n"/>
      <c r="B227" s="16" t="n"/>
      <c r="C227" s="9" t="n"/>
      <c r="D227" s="9" t="n"/>
      <c r="E227" s="16" t="n"/>
      <c r="F227" s="16" t="n"/>
      <c r="G227" s="16" t="n"/>
      <c r="H227" s="16" t="n"/>
      <c r="I227" s="16" t="n"/>
      <c r="J227" s="16" t="n"/>
      <c r="K227" s="16" t="n"/>
      <c r="L227" s="17" t="n"/>
      <c r="M227" s="10" t="n"/>
    </row>
    <row r="228">
      <c r="A228" s="16" t="n"/>
      <c r="B228" s="16" t="n"/>
      <c r="C228" s="9" t="n"/>
      <c r="D228" s="9" t="n"/>
      <c r="E228" s="16" t="n"/>
      <c r="F228" s="16" t="n"/>
      <c r="G228" s="16" t="n"/>
      <c r="H228" s="16" t="n"/>
      <c r="I228" s="16" t="n"/>
      <c r="J228" s="16" t="n"/>
      <c r="K228" s="16" t="n"/>
      <c r="L228" s="17" t="n"/>
      <c r="M228" s="10" t="n"/>
    </row>
    <row r="229">
      <c r="A229" s="16" t="n"/>
      <c r="B229" s="16" t="n"/>
      <c r="C229" s="9" t="n"/>
      <c r="D229" s="9" t="n"/>
      <c r="E229" s="16" t="n"/>
      <c r="F229" s="16" t="n"/>
      <c r="G229" s="16" t="n"/>
      <c r="H229" s="16" t="n"/>
      <c r="I229" s="16" t="n"/>
      <c r="J229" s="16" t="n"/>
      <c r="K229" s="16" t="n"/>
      <c r="L229" s="17" t="n"/>
      <c r="M229" s="10" t="n"/>
    </row>
    <row r="230">
      <c r="A230" s="16" t="n"/>
      <c r="B230" s="16" t="n"/>
      <c r="C230" s="9" t="n"/>
      <c r="D230" s="9" t="n"/>
      <c r="E230" s="16" t="n"/>
      <c r="F230" s="16" t="n"/>
      <c r="G230" s="16" t="n"/>
      <c r="H230" s="16" t="n"/>
      <c r="I230" s="16" t="n"/>
      <c r="J230" s="16" t="n"/>
      <c r="K230" s="16" t="n"/>
      <c r="L230" s="17" t="n"/>
      <c r="M230" s="10" t="n"/>
    </row>
    <row r="231">
      <c r="A231" s="16" t="n"/>
      <c r="B231" s="16" t="n"/>
      <c r="C231" s="9" t="n"/>
      <c r="D231" s="9" t="n"/>
      <c r="E231" s="16" t="n"/>
      <c r="F231" s="16" t="n"/>
      <c r="G231" s="16" t="n"/>
      <c r="H231" s="16" t="n"/>
      <c r="I231" s="16" t="n"/>
      <c r="J231" s="16" t="n"/>
      <c r="K231" s="16" t="n"/>
      <c r="L231" s="17" t="n"/>
      <c r="M231" s="10" t="n"/>
    </row>
    <row r="232">
      <c r="A232" s="16" t="n"/>
      <c r="B232" s="16" t="n"/>
      <c r="C232" s="9" t="n"/>
      <c r="D232" s="9" t="n"/>
      <c r="E232" s="16" t="n"/>
      <c r="F232" s="16" t="n"/>
      <c r="G232" s="16" t="n"/>
      <c r="H232" s="16" t="n"/>
      <c r="I232" s="16" t="n"/>
      <c r="J232" s="16" t="n"/>
      <c r="K232" s="16" t="n"/>
      <c r="L232" s="17" t="n"/>
      <c r="M232" s="10" t="n"/>
    </row>
    <row r="233">
      <c r="A233" s="16" t="n"/>
      <c r="B233" s="16" t="n"/>
      <c r="C233" s="9" t="n"/>
      <c r="D233" s="9" t="n"/>
      <c r="E233" s="16" t="n"/>
      <c r="F233" s="16" t="n"/>
      <c r="G233" s="16" t="n"/>
      <c r="H233" s="16" t="n"/>
      <c r="I233" s="16" t="n"/>
      <c r="J233" s="16" t="n"/>
      <c r="K233" s="16" t="n"/>
      <c r="L233" s="17" t="n"/>
      <c r="M233" s="10" t="n"/>
    </row>
    <row r="234">
      <c r="A234" s="16" t="n"/>
      <c r="B234" s="16" t="n"/>
      <c r="C234" s="9" t="n"/>
      <c r="D234" s="9" t="n"/>
      <c r="E234" s="16" t="n"/>
      <c r="F234" s="16" t="n"/>
      <c r="G234" s="16" t="n"/>
      <c r="H234" s="16" t="n"/>
      <c r="I234" s="16" t="n"/>
      <c r="J234" s="16" t="n"/>
      <c r="K234" s="16" t="n"/>
      <c r="L234" s="17" t="n"/>
      <c r="M234" s="10" t="n"/>
    </row>
    <row r="235">
      <c r="A235" s="16" t="n"/>
      <c r="B235" s="16" t="n"/>
      <c r="C235" s="9" t="n"/>
      <c r="D235" s="9" t="n"/>
      <c r="E235" s="16" t="n"/>
      <c r="F235" s="16" t="n"/>
      <c r="G235" s="16" t="n"/>
      <c r="H235" s="16" t="n"/>
      <c r="I235" s="16" t="n"/>
      <c r="J235" s="16" t="n"/>
      <c r="K235" s="16" t="n"/>
      <c r="L235" s="17" t="n"/>
      <c r="M235" s="10" t="n"/>
    </row>
    <row r="236">
      <c r="A236" s="16" t="n"/>
      <c r="B236" s="16" t="n"/>
      <c r="C236" s="9" t="n"/>
      <c r="D236" s="9" t="n"/>
      <c r="E236" s="16" t="n"/>
      <c r="F236" s="16" t="n"/>
      <c r="G236" s="16" t="n"/>
      <c r="H236" s="16" t="n"/>
      <c r="I236" s="16" t="n"/>
      <c r="J236" s="16" t="n"/>
      <c r="K236" s="16" t="n"/>
      <c r="L236" s="17" t="n"/>
      <c r="M236" s="10" t="n"/>
    </row>
    <row r="237">
      <c r="A237" s="16" t="n"/>
      <c r="B237" s="16" t="n"/>
      <c r="C237" s="9" t="n"/>
      <c r="D237" s="9" t="n"/>
      <c r="E237" s="16" t="n"/>
      <c r="F237" s="16" t="n"/>
      <c r="G237" s="16" t="n"/>
      <c r="H237" s="16" t="n"/>
      <c r="I237" s="16" t="n"/>
      <c r="J237" s="16" t="n"/>
      <c r="K237" s="16" t="n"/>
      <c r="L237" s="17" t="n"/>
      <c r="M237" s="10" t="n"/>
    </row>
    <row r="238">
      <c r="A238" s="16" t="n"/>
      <c r="B238" s="16" t="n"/>
      <c r="C238" s="9" t="n"/>
      <c r="D238" s="9" t="n"/>
      <c r="E238" s="16" t="n"/>
      <c r="F238" s="16" t="n"/>
      <c r="G238" s="16" t="n"/>
      <c r="H238" s="16" t="n"/>
      <c r="I238" s="16" t="n"/>
      <c r="J238" s="16" t="n"/>
      <c r="K238" s="16" t="n"/>
      <c r="L238" s="17" t="n"/>
      <c r="M238" s="10" t="n"/>
    </row>
    <row r="239">
      <c r="A239" s="16" t="n"/>
      <c r="B239" s="16" t="n"/>
      <c r="C239" s="9" t="n"/>
      <c r="D239" s="9" t="n"/>
      <c r="E239" s="16" t="n"/>
      <c r="F239" s="16" t="n"/>
      <c r="G239" s="16" t="n"/>
      <c r="H239" s="16" t="n"/>
      <c r="I239" s="16" t="n"/>
      <c r="J239" s="16" t="n"/>
      <c r="K239" s="16" t="n"/>
      <c r="L239" s="17" t="n"/>
      <c r="M239" s="10" t="n"/>
    </row>
    <row r="240">
      <c r="A240" s="16" t="n"/>
      <c r="B240" s="16" t="n"/>
      <c r="C240" s="9" t="n"/>
      <c r="D240" s="9" t="n"/>
      <c r="E240" s="16" t="n"/>
      <c r="F240" s="16" t="n"/>
      <c r="G240" s="16" t="n"/>
      <c r="H240" s="16" t="n"/>
      <c r="I240" s="16" t="n"/>
      <c r="J240" s="16" t="n"/>
      <c r="K240" s="16" t="n"/>
      <c r="L240" s="17" t="n"/>
      <c r="M240" s="10" t="n"/>
    </row>
    <row r="241">
      <c r="A241" s="16" t="n"/>
      <c r="B241" s="16" t="n"/>
      <c r="C241" s="9" t="n"/>
      <c r="D241" s="9" t="n"/>
      <c r="E241" s="16" t="n"/>
      <c r="F241" s="16" t="n"/>
      <c r="G241" s="16" t="n"/>
      <c r="H241" s="16" t="n"/>
      <c r="I241" s="16" t="n"/>
      <c r="J241" s="16" t="n"/>
      <c r="K241" s="16" t="n"/>
      <c r="L241" s="17" t="n"/>
      <c r="M241" s="10" t="n"/>
    </row>
    <row r="242">
      <c r="A242" s="16" t="n"/>
      <c r="B242" s="16" t="n"/>
      <c r="C242" s="9" t="n"/>
      <c r="D242" s="9" t="n"/>
      <c r="E242" s="16" t="n"/>
      <c r="F242" s="16" t="n"/>
      <c r="G242" s="16" t="n"/>
      <c r="H242" s="16" t="n"/>
      <c r="I242" s="16" t="n"/>
      <c r="J242" s="16" t="n"/>
      <c r="K242" s="16" t="n"/>
      <c r="L242" s="17" t="n"/>
      <c r="M242" s="10" t="n"/>
    </row>
    <row r="243">
      <c r="A243" s="16" t="n"/>
      <c r="B243" s="16" t="n"/>
      <c r="C243" s="9" t="n"/>
      <c r="D243" s="9" t="n"/>
      <c r="E243" s="16" t="n"/>
      <c r="F243" s="16" t="n"/>
      <c r="G243" s="16" t="n"/>
      <c r="H243" s="16" t="n"/>
      <c r="I243" s="16" t="n"/>
      <c r="J243" s="16" t="n"/>
      <c r="K243" s="16" t="n"/>
      <c r="L243" s="17" t="n"/>
      <c r="M243" s="10" t="n"/>
    </row>
    <row r="244">
      <c r="A244" s="16" t="n"/>
      <c r="B244" s="16" t="n"/>
      <c r="C244" s="9" t="n"/>
      <c r="D244" s="9" t="n"/>
      <c r="E244" s="16" t="n"/>
      <c r="F244" s="16" t="n"/>
      <c r="G244" s="16" t="n"/>
      <c r="H244" s="16" t="n"/>
      <c r="I244" s="16" t="n"/>
      <c r="J244" s="16" t="n"/>
      <c r="K244" s="16" t="n"/>
      <c r="L244" s="17" t="n"/>
      <c r="M244" s="10" t="n"/>
    </row>
    <row r="245">
      <c r="A245" s="16" t="n"/>
      <c r="B245" s="16" t="n"/>
      <c r="C245" s="9" t="n"/>
      <c r="D245" s="9" t="n"/>
      <c r="E245" s="16" t="n"/>
      <c r="F245" s="16" t="n"/>
      <c r="G245" s="16" t="n"/>
      <c r="H245" s="16" t="n"/>
      <c r="I245" s="16" t="n"/>
      <c r="J245" s="16" t="n"/>
      <c r="K245" s="16" t="n"/>
      <c r="L245" s="17" t="n"/>
      <c r="M245" s="10" t="n"/>
    </row>
    <row r="246">
      <c r="A246" s="16" t="n"/>
      <c r="B246" s="16" t="n"/>
      <c r="C246" s="9" t="n"/>
      <c r="D246" s="9" t="n"/>
      <c r="E246" s="16" t="n"/>
      <c r="F246" s="16" t="n"/>
      <c r="G246" s="16" t="n"/>
      <c r="H246" s="16" t="n"/>
      <c r="I246" s="16" t="n"/>
      <c r="J246" s="16" t="n"/>
      <c r="K246" s="16" t="n"/>
      <c r="L246" s="17" t="n"/>
      <c r="M246" s="10" t="n"/>
    </row>
    <row r="247">
      <c r="A247" s="16" t="n"/>
      <c r="B247" s="16" t="n"/>
      <c r="C247" s="9" t="n"/>
      <c r="D247" s="9" t="n"/>
      <c r="E247" s="16" t="n"/>
      <c r="F247" s="16" t="n"/>
      <c r="G247" s="16" t="n"/>
      <c r="H247" s="16" t="n"/>
      <c r="I247" s="16" t="n"/>
      <c r="J247" s="16" t="n"/>
      <c r="K247" s="16" t="n"/>
      <c r="L247" s="17" t="n"/>
      <c r="M247" s="10" t="n"/>
    </row>
    <row r="248">
      <c r="A248" s="16" t="n"/>
      <c r="B248" s="16" t="n"/>
      <c r="C248" s="9" t="n"/>
      <c r="D248" s="9" t="n"/>
      <c r="E248" s="16" t="n"/>
      <c r="F248" s="16" t="n"/>
      <c r="G248" s="16" t="n"/>
      <c r="H248" s="16" t="n"/>
      <c r="I248" s="16" t="n"/>
      <c r="J248" s="16" t="n"/>
      <c r="K248" s="16" t="n"/>
      <c r="L248" s="17" t="n"/>
      <c r="M248" s="10" t="n"/>
    </row>
    <row r="249">
      <c r="A249" s="16" t="n"/>
      <c r="B249" s="16" t="n"/>
      <c r="C249" s="9" t="n"/>
      <c r="D249" s="9" t="n"/>
      <c r="E249" s="16" t="n"/>
      <c r="F249" s="16" t="n"/>
      <c r="G249" s="16" t="n"/>
      <c r="H249" s="16" t="n"/>
      <c r="I249" s="16" t="n"/>
      <c r="J249" s="16" t="n"/>
      <c r="K249" s="16" t="n"/>
      <c r="L249" s="17" t="n"/>
      <c r="M249" s="10" t="n"/>
    </row>
    <row r="250">
      <c r="A250" s="16" t="n"/>
      <c r="B250" s="16" t="n"/>
      <c r="C250" s="9" t="n"/>
      <c r="D250" s="9" t="n"/>
      <c r="E250" s="16" t="n"/>
      <c r="F250" s="16" t="n"/>
      <c r="G250" s="16" t="n"/>
      <c r="H250" s="16" t="n"/>
      <c r="I250" s="16" t="n"/>
      <c r="J250" s="16" t="n"/>
      <c r="K250" s="16" t="n"/>
      <c r="L250" s="17" t="n"/>
      <c r="M250" s="10" t="n"/>
    </row>
    <row r="251">
      <c r="A251" s="16" t="n"/>
      <c r="B251" s="16" t="n"/>
      <c r="C251" s="9" t="n"/>
      <c r="D251" s="9" t="n"/>
      <c r="E251" s="16" t="n"/>
      <c r="F251" s="16" t="n"/>
      <c r="G251" s="16" t="n"/>
      <c r="H251" s="16" t="n"/>
      <c r="I251" s="16" t="n"/>
      <c r="J251" s="16" t="n"/>
      <c r="K251" s="16" t="n"/>
      <c r="L251" s="17" t="n"/>
      <c r="M251" s="10" t="n"/>
    </row>
    <row r="252">
      <c r="A252" s="16" t="n"/>
      <c r="B252" s="16" t="n"/>
      <c r="C252" s="9" t="n"/>
      <c r="D252" s="9" t="n"/>
      <c r="E252" s="16" t="n"/>
      <c r="F252" s="16" t="n"/>
      <c r="G252" s="16" t="n"/>
      <c r="H252" s="16" t="n"/>
      <c r="I252" s="16" t="n"/>
      <c r="J252" s="16" t="n"/>
      <c r="K252" s="16" t="n"/>
      <c r="L252" s="17" t="n"/>
      <c r="M252" s="10" t="n"/>
    </row>
    <row r="253">
      <c r="A253" s="16" t="n"/>
      <c r="B253" s="16" t="n"/>
      <c r="C253" s="9" t="n"/>
      <c r="D253" s="9" t="n"/>
      <c r="E253" s="16" t="n"/>
      <c r="F253" s="16" t="n"/>
      <c r="G253" s="16" t="n"/>
      <c r="H253" s="16" t="n"/>
      <c r="I253" s="16" t="n"/>
      <c r="J253" s="16" t="n"/>
      <c r="K253" s="16" t="n"/>
      <c r="L253" s="17" t="n"/>
      <c r="M253" s="10" t="n"/>
    </row>
    <row r="254">
      <c r="A254" s="16" t="n"/>
      <c r="B254" s="16" t="n"/>
      <c r="C254" s="9" t="n"/>
      <c r="D254" s="9" t="n"/>
      <c r="E254" s="16" t="n"/>
      <c r="F254" s="16" t="n"/>
      <c r="G254" s="16" t="n"/>
      <c r="H254" s="16" t="n"/>
      <c r="I254" s="16" t="n"/>
      <c r="J254" s="16" t="n"/>
      <c r="K254" s="16" t="n"/>
      <c r="L254" s="17" t="n"/>
      <c r="M254" s="10" t="n"/>
    </row>
    <row r="255">
      <c r="A255" s="16" t="n"/>
      <c r="B255" s="16" t="n"/>
      <c r="C255" s="9" t="n"/>
      <c r="D255" s="9" t="n"/>
      <c r="E255" s="16" t="n"/>
      <c r="F255" s="16" t="n"/>
      <c r="G255" s="16" t="n"/>
      <c r="H255" s="16" t="n"/>
      <c r="I255" s="16" t="n"/>
      <c r="J255" s="16" t="n"/>
      <c r="K255" s="16" t="n"/>
      <c r="L255" s="17" t="n"/>
      <c r="M255" s="10" t="n"/>
    </row>
    <row r="256">
      <c r="A256" s="16" t="n"/>
      <c r="B256" s="16" t="n"/>
      <c r="C256" s="9" t="n"/>
      <c r="D256" s="9" t="n"/>
      <c r="E256" s="16" t="n"/>
      <c r="F256" s="16" t="n"/>
      <c r="G256" s="16" t="n"/>
      <c r="H256" s="16" t="n"/>
      <c r="I256" s="16" t="n"/>
      <c r="J256" s="16" t="n"/>
      <c r="K256" s="16" t="n"/>
      <c r="L256" s="17" t="n"/>
      <c r="M256" s="10" t="n"/>
    </row>
    <row r="257">
      <c r="A257" s="16" t="n"/>
      <c r="B257" s="16" t="n"/>
      <c r="C257" s="9" t="n"/>
      <c r="D257" s="9" t="n"/>
      <c r="E257" s="16" t="n"/>
      <c r="F257" s="16" t="n"/>
      <c r="G257" s="16" t="n"/>
      <c r="H257" s="16" t="n"/>
      <c r="I257" s="16" t="n"/>
      <c r="J257" s="16" t="n"/>
      <c r="K257" s="16" t="n"/>
      <c r="L257" s="17" t="n"/>
      <c r="M257" s="10" t="n"/>
    </row>
    <row r="258">
      <c r="A258" s="16" t="n"/>
      <c r="B258" s="16" t="n"/>
      <c r="C258" s="9" t="n"/>
      <c r="D258" s="9" t="n"/>
      <c r="E258" s="16" t="n"/>
      <c r="F258" s="16" t="n"/>
      <c r="G258" s="16" t="n"/>
      <c r="H258" s="16" t="n"/>
      <c r="I258" s="16" t="n"/>
      <c r="J258" s="16" t="n"/>
      <c r="K258" s="16" t="n"/>
      <c r="L258" s="17" t="n"/>
      <c r="M258" s="10" t="n"/>
    </row>
    <row r="259">
      <c r="A259" s="16" t="n"/>
      <c r="B259" s="16" t="n"/>
      <c r="C259" s="9" t="n"/>
      <c r="D259" s="9" t="n"/>
      <c r="E259" s="16" t="n"/>
      <c r="F259" s="16" t="n"/>
      <c r="G259" s="16" t="n"/>
      <c r="H259" s="16" t="n"/>
      <c r="I259" s="16" t="n"/>
      <c r="J259" s="16" t="n"/>
      <c r="K259" s="16" t="n"/>
      <c r="L259" s="17" t="n"/>
      <c r="M259" s="10" t="n"/>
    </row>
    <row r="260">
      <c r="A260" s="16" t="n"/>
      <c r="B260" s="16" t="n"/>
      <c r="C260" s="9" t="n"/>
      <c r="D260" s="9" t="n"/>
      <c r="E260" s="16" t="n"/>
      <c r="F260" s="16" t="n"/>
      <c r="G260" s="16" t="n"/>
      <c r="H260" s="16" t="n"/>
      <c r="I260" s="16" t="n"/>
      <c r="J260" s="16" t="n"/>
      <c r="K260" s="16" t="n"/>
      <c r="L260" s="17" t="n"/>
      <c r="M260" s="10" t="n"/>
    </row>
    <row r="261">
      <c r="A261" s="16" t="n"/>
      <c r="B261" s="16" t="n"/>
      <c r="C261" s="9" t="n"/>
      <c r="D261" s="9" t="n"/>
      <c r="E261" s="16" t="n"/>
      <c r="F261" s="16" t="n"/>
      <c r="G261" s="16" t="n"/>
      <c r="H261" s="16" t="n"/>
      <c r="I261" s="16" t="n"/>
      <c r="J261" s="16" t="n"/>
      <c r="K261" s="16" t="n"/>
      <c r="L261" s="17" t="n"/>
      <c r="M261" s="10" t="n"/>
    </row>
    <row r="262">
      <c r="A262" s="16" t="n"/>
      <c r="B262" s="16" t="n"/>
      <c r="C262" s="9" t="n"/>
      <c r="D262" s="9" t="n"/>
      <c r="E262" s="16" t="n"/>
      <c r="F262" s="16" t="n"/>
      <c r="G262" s="16" t="n"/>
      <c r="H262" s="16" t="n"/>
      <c r="I262" s="16" t="n"/>
      <c r="J262" s="16" t="n"/>
      <c r="K262" s="16" t="n"/>
      <c r="L262" s="17" t="n"/>
      <c r="M262" s="10" t="n"/>
    </row>
    <row r="263">
      <c r="A263" s="16" t="n"/>
      <c r="B263" s="16" t="n"/>
      <c r="C263" s="9" t="n"/>
      <c r="D263" s="9" t="n"/>
      <c r="E263" s="16" t="n"/>
      <c r="F263" s="16" t="n"/>
      <c r="G263" s="16" t="n"/>
      <c r="H263" s="16" t="n"/>
      <c r="I263" s="16" t="n"/>
      <c r="J263" s="16" t="n"/>
      <c r="K263" s="16" t="n"/>
      <c r="L263" s="17" t="n"/>
      <c r="M263" s="10" t="n"/>
    </row>
    <row r="264">
      <c r="A264" s="16" t="n"/>
      <c r="B264" s="16" t="n"/>
      <c r="C264" s="9" t="n"/>
      <c r="D264" s="9" t="n"/>
      <c r="E264" s="16" t="n"/>
      <c r="F264" s="16" t="n"/>
      <c r="G264" s="16" t="n"/>
      <c r="H264" s="16" t="n"/>
      <c r="I264" s="16" t="n"/>
      <c r="J264" s="16" t="n"/>
      <c r="K264" s="16" t="n"/>
      <c r="L264" s="17" t="n"/>
      <c r="M264" s="10" t="n"/>
    </row>
    <row r="265">
      <c r="A265" s="16" t="n"/>
      <c r="B265" s="16" t="n"/>
      <c r="C265" s="9" t="n"/>
      <c r="D265" s="9" t="n"/>
      <c r="E265" s="16" t="n"/>
      <c r="F265" s="16" t="n"/>
      <c r="G265" s="16" t="n"/>
      <c r="H265" s="16" t="n"/>
      <c r="I265" s="16" t="n"/>
      <c r="J265" s="16" t="n"/>
      <c r="K265" s="16" t="n"/>
      <c r="L265" s="17" t="n"/>
      <c r="M265" s="10" t="n"/>
    </row>
    <row r="266">
      <c r="A266" s="16" t="n"/>
      <c r="B266" s="16" t="n"/>
      <c r="C266" s="9" t="n"/>
      <c r="D266" s="9" t="n"/>
      <c r="E266" s="16" t="n"/>
      <c r="F266" s="16" t="n"/>
      <c r="G266" s="16" t="n"/>
      <c r="H266" s="16" t="n"/>
      <c r="I266" s="16" t="n"/>
      <c r="J266" s="16" t="n"/>
      <c r="K266" s="16" t="n"/>
      <c r="L266" s="17" t="n"/>
      <c r="M266" s="10" t="n"/>
    </row>
    <row r="267">
      <c r="A267" s="16" t="n"/>
      <c r="B267" s="16" t="n"/>
      <c r="C267" s="9" t="n"/>
      <c r="D267" s="9" t="n"/>
      <c r="E267" s="16" t="n"/>
      <c r="F267" s="16" t="n"/>
      <c r="G267" s="16" t="n"/>
      <c r="H267" s="16" t="n"/>
      <c r="I267" s="16" t="n"/>
      <c r="J267" s="16" t="n"/>
      <c r="K267" s="16" t="n"/>
      <c r="L267" s="17" t="n"/>
      <c r="M267" s="10" t="n"/>
    </row>
    <row r="268">
      <c r="A268" s="16" t="n"/>
      <c r="B268" s="16" t="n"/>
      <c r="C268" s="9" t="n"/>
      <c r="D268" s="9" t="n"/>
      <c r="E268" s="16" t="n"/>
      <c r="F268" s="16" t="n"/>
      <c r="G268" s="16" t="n"/>
      <c r="H268" s="16" t="n"/>
      <c r="I268" s="16" t="n"/>
      <c r="J268" s="16" t="n"/>
      <c r="K268" s="16" t="n"/>
      <c r="L268" s="17" t="n"/>
      <c r="M268" s="10" t="n"/>
    </row>
    <row r="269">
      <c r="A269" s="16" t="n"/>
      <c r="B269" s="16" t="n"/>
      <c r="C269" s="9" t="n"/>
      <c r="D269" s="9" t="n"/>
      <c r="E269" s="16" t="n"/>
      <c r="F269" s="16" t="n"/>
      <c r="G269" s="16" t="n"/>
      <c r="H269" s="16" t="n"/>
      <c r="I269" s="16" t="n"/>
      <c r="J269" s="16" t="n"/>
      <c r="K269" s="16" t="n"/>
      <c r="L269" s="17" t="n"/>
      <c r="M269" s="10" t="n"/>
    </row>
    <row r="270">
      <c r="A270" s="16" t="n"/>
      <c r="B270" s="16" t="n"/>
      <c r="C270" s="9" t="n"/>
      <c r="D270" s="9" t="n"/>
      <c r="E270" s="16" t="n"/>
      <c r="F270" s="16" t="n"/>
      <c r="G270" s="16" t="n"/>
      <c r="H270" s="16" t="n"/>
      <c r="I270" s="16" t="n"/>
      <c r="J270" s="16" t="n"/>
      <c r="K270" s="16" t="n"/>
      <c r="L270" s="17" t="n"/>
      <c r="M270" s="10" t="n"/>
    </row>
    <row r="271">
      <c r="A271" s="16" t="n"/>
      <c r="B271" s="16" t="n"/>
      <c r="C271" s="9" t="n"/>
      <c r="D271" s="9" t="n"/>
      <c r="E271" s="16" t="n"/>
      <c r="F271" s="16" t="n"/>
      <c r="G271" s="16" t="n"/>
      <c r="H271" s="16" t="n"/>
      <c r="I271" s="16" t="n"/>
      <c r="J271" s="16" t="n"/>
      <c r="K271" s="16" t="n"/>
      <c r="L271" s="17" t="n"/>
      <c r="M271" s="10" t="n"/>
    </row>
    <row r="272">
      <c r="A272" s="16" t="n"/>
      <c r="B272" s="16" t="n"/>
      <c r="C272" s="9" t="n"/>
      <c r="D272" s="9" t="n"/>
      <c r="E272" s="16" t="n"/>
      <c r="F272" s="16" t="n"/>
      <c r="G272" s="16" t="n"/>
      <c r="H272" s="16" t="n"/>
      <c r="I272" s="16" t="n"/>
      <c r="J272" s="16" t="n"/>
      <c r="K272" s="16" t="n"/>
      <c r="L272" s="17" t="n"/>
      <c r="M272" s="10" t="n"/>
    </row>
    <row r="273">
      <c r="A273" s="16" t="n"/>
      <c r="B273" s="16" t="n"/>
      <c r="C273" s="9" t="n"/>
      <c r="D273" s="9" t="n"/>
      <c r="E273" s="16" t="n"/>
      <c r="F273" s="16" t="n"/>
      <c r="G273" s="16" t="n"/>
      <c r="H273" s="16" t="n"/>
      <c r="I273" s="16" t="n"/>
      <c r="J273" s="16" t="n"/>
      <c r="K273" s="16" t="n"/>
      <c r="L273" s="17" t="n"/>
      <c r="M273" s="10" t="n"/>
    </row>
    <row r="274">
      <c r="A274" s="16" t="n"/>
      <c r="B274" s="16" t="n"/>
      <c r="C274" s="9" t="n"/>
      <c r="D274" s="9" t="n"/>
      <c r="E274" s="16" t="n"/>
      <c r="F274" s="16" t="n"/>
      <c r="G274" s="16" t="n"/>
      <c r="H274" s="16" t="n"/>
      <c r="I274" s="16" t="n"/>
      <c r="J274" s="16" t="n"/>
      <c r="K274" s="16" t="n"/>
      <c r="L274" s="17" t="n"/>
      <c r="M274" s="10" t="n"/>
    </row>
    <row r="275">
      <c r="A275" s="16" t="n"/>
      <c r="B275" s="16" t="n"/>
      <c r="C275" s="9" t="n"/>
      <c r="D275" s="9" t="n"/>
      <c r="E275" s="16" t="n"/>
      <c r="F275" s="16" t="n"/>
      <c r="G275" s="16" t="n"/>
      <c r="H275" s="16" t="n"/>
      <c r="I275" s="16" t="n"/>
      <c r="J275" s="16" t="n"/>
      <c r="K275" s="16" t="n"/>
      <c r="L275" s="17" t="n"/>
      <c r="M275" s="10" t="n"/>
    </row>
    <row r="276">
      <c r="A276" s="16" t="n"/>
      <c r="B276" s="16" t="n"/>
      <c r="C276" s="9" t="n"/>
      <c r="D276" s="9" t="n"/>
      <c r="E276" s="16" t="n"/>
      <c r="F276" s="16" t="n"/>
      <c r="G276" s="16" t="n"/>
      <c r="H276" s="16" t="n"/>
      <c r="I276" s="16" t="n"/>
      <c r="J276" s="16" t="n"/>
      <c r="K276" s="16" t="n"/>
      <c r="L276" s="17" t="n"/>
      <c r="M276" s="10" t="n"/>
    </row>
    <row r="277">
      <c r="A277" s="16" t="n"/>
      <c r="B277" s="16" t="n"/>
      <c r="C277" s="9" t="n"/>
      <c r="D277" s="9" t="n"/>
      <c r="E277" s="16" t="n"/>
      <c r="F277" s="16" t="n"/>
      <c r="G277" s="16" t="n"/>
      <c r="H277" s="16" t="n"/>
      <c r="I277" s="16" t="n"/>
      <c r="J277" s="16" t="n"/>
      <c r="K277" s="16" t="n"/>
      <c r="L277" s="17" t="n"/>
      <c r="M277" s="10" t="n"/>
    </row>
    <row r="278">
      <c r="A278" s="16" t="n"/>
      <c r="B278" s="16" t="n"/>
      <c r="C278" s="9" t="n"/>
      <c r="D278" s="9" t="n"/>
      <c r="E278" s="16" t="n"/>
      <c r="F278" s="16" t="n"/>
      <c r="G278" s="16" t="n"/>
      <c r="H278" s="16" t="n"/>
      <c r="I278" s="16" t="n"/>
      <c r="J278" s="16" t="n"/>
      <c r="K278" s="16" t="n"/>
      <c r="L278" s="17" t="n"/>
      <c r="M278" s="10" t="n"/>
    </row>
    <row r="279">
      <c r="A279" s="16" t="n"/>
      <c r="B279" s="16" t="n"/>
      <c r="C279" s="9" t="n"/>
      <c r="D279" s="9" t="n"/>
      <c r="E279" s="16" t="n"/>
      <c r="F279" s="16" t="n"/>
      <c r="G279" s="16" t="n"/>
      <c r="H279" s="16" t="n"/>
      <c r="I279" s="16" t="n"/>
      <c r="J279" s="16" t="n"/>
      <c r="K279" s="16" t="n"/>
      <c r="L279" s="17" t="n"/>
      <c r="M279" s="10" t="n"/>
    </row>
    <row r="280">
      <c r="A280" s="16" t="n"/>
      <c r="B280" s="16" t="n"/>
      <c r="C280" s="9" t="n"/>
      <c r="D280" s="9" t="n"/>
      <c r="E280" s="16" t="n"/>
      <c r="F280" s="16" t="n"/>
      <c r="G280" s="16" t="n"/>
      <c r="H280" s="16" t="n"/>
      <c r="I280" s="16" t="n"/>
      <c r="J280" s="16" t="n"/>
      <c r="K280" s="16" t="n"/>
      <c r="L280" s="17" t="n"/>
      <c r="M280" s="10" t="n"/>
    </row>
    <row r="281">
      <c r="A281" s="16" t="n"/>
      <c r="B281" s="16" t="n"/>
      <c r="C281" s="9" t="n"/>
      <c r="D281" s="9" t="n"/>
      <c r="E281" s="16" t="n"/>
      <c r="F281" s="16" t="n"/>
      <c r="G281" s="16" t="n"/>
      <c r="H281" s="16" t="n"/>
      <c r="I281" s="16" t="n"/>
      <c r="J281" s="16" t="n"/>
      <c r="K281" s="16" t="n"/>
      <c r="L281" s="17" t="n"/>
      <c r="M281" s="10" t="n"/>
    </row>
    <row r="282">
      <c r="A282" s="16" t="n"/>
      <c r="B282" s="16" t="n"/>
      <c r="C282" s="9" t="n"/>
      <c r="D282" s="9" t="n"/>
      <c r="E282" s="16" t="n"/>
      <c r="F282" s="16" t="n"/>
      <c r="G282" s="16" t="n"/>
      <c r="H282" s="16" t="n"/>
      <c r="I282" s="16" t="n"/>
      <c r="J282" s="16" t="n"/>
      <c r="K282" s="16" t="n"/>
      <c r="L282" s="17" t="n"/>
      <c r="M282" s="10" t="n"/>
    </row>
    <row r="283">
      <c r="A283" s="16" t="n"/>
      <c r="B283" s="16" t="n"/>
      <c r="C283" s="9" t="n"/>
      <c r="D283" s="9" t="n"/>
      <c r="E283" s="16" t="n"/>
      <c r="F283" s="16" t="n"/>
      <c r="G283" s="16" t="n"/>
      <c r="H283" s="16" t="n"/>
      <c r="I283" s="16" t="n"/>
      <c r="J283" s="16" t="n"/>
      <c r="K283" s="16" t="n"/>
      <c r="L283" s="17" t="n"/>
      <c r="M283" s="10" t="n"/>
    </row>
    <row r="284">
      <c r="A284" s="16" t="n"/>
      <c r="B284" s="16" t="n"/>
      <c r="C284" s="9" t="n"/>
      <c r="D284" s="9" t="n"/>
      <c r="E284" s="16" t="n"/>
      <c r="F284" s="16" t="n"/>
      <c r="G284" s="16" t="n"/>
      <c r="H284" s="16" t="n"/>
      <c r="I284" s="16" t="n"/>
      <c r="J284" s="16" t="n"/>
      <c r="K284" s="16" t="n"/>
      <c r="L284" s="17" t="n"/>
      <c r="M284" s="10" t="n"/>
    </row>
    <row r="285">
      <c r="A285" s="16" t="n"/>
      <c r="B285" s="16" t="n"/>
      <c r="C285" s="9" t="n"/>
      <c r="D285" s="9" t="n"/>
      <c r="E285" s="16" t="n"/>
      <c r="F285" s="16" t="n"/>
      <c r="G285" s="16" t="n"/>
      <c r="H285" s="16" t="n"/>
      <c r="I285" s="16" t="n"/>
      <c r="J285" s="16" t="n"/>
      <c r="K285" s="16" t="n"/>
      <c r="L285" s="17" t="n"/>
      <c r="M285" s="10" t="n"/>
    </row>
    <row r="286">
      <c r="A286" s="16" t="n"/>
      <c r="B286" s="16" t="n"/>
      <c r="C286" s="9" t="n"/>
      <c r="D286" s="9" t="n"/>
      <c r="E286" s="16" t="n"/>
      <c r="F286" s="16" t="n"/>
      <c r="G286" s="16" t="n"/>
      <c r="H286" s="16" t="n"/>
      <c r="I286" s="16" t="n"/>
      <c r="J286" s="16" t="n"/>
      <c r="K286" s="16" t="n"/>
      <c r="L286" s="17" t="n"/>
      <c r="M286" s="10" t="n"/>
    </row>
    <row r="287">
      <c r="A287" s="16" t="n"/>
      <c r="B287" s="16" t="n"/>
      <c r="C287" s="9" t="n"/>
      <c r="D287" s="9" t="n"/>
      <c r="E287" s="16" t="n"/>
      <c r="F287" s="16" t="n"/>
      <c r="G287" s="16" t="n"/>
      <c r="H287" s="16" t="n"/>
      <c r="I287" s="16" t="n"/>
      <c r="J287" s="16" t="n"/>
      <c r="K287" s="16" t="n"/>
      <c r="L287" s="17" t="n"/>
      <c r="M287" s="10" t="n"/>
    </row>
    <row r="288">
      <c r="A288" s="16" t="n"/>
      <c r="B288" s="16" t="n"/>
      <c r="C288" s="9" t="n"/>
      <c r="D288" s="9" t="n"/>
      <c r="E288" s="16" t="n"/>
      <c r="F288" s="16" t="n"/>
      <c r="G288" s="16" t="n"/>
      <c r="H288" s="16" t="n"/>
      <c r="I288" s="16" t="n"/>
      <c r="J288" s="16" t="n"/>
      <c r="K288" s="16" t="n"/>
      <c r="L288" s="17" t="n"/>
      <c r="M288" s="10" t="n"/>
    </row>
    <row r="289">
      <c r="A289" s="16" t="n"/>
      <c r="B289" s="16" t="n"/>
      <c r="C289" s="9" t="n"/>
      <c r="D289" s="9" t="n"/>
      <c r="E289" s="16" t="n"/>
      <c r="F289" s="16" t="n"/>
      <c r="G289" s="16" t="n"/>
      <c r="H289" s="16" t="n"/>
      <c r="I289" s="16" t="n"/>
      <c r="J289" s="16" t="n"/>
      <c r="K289" s="16" t="n"/>
      <c r="L289" s="17" t="n"/>
      <c r="M289" s="10" t="n"/>
    </row>
    <row r="290">
      <c r="A290" s="16" t="n"/>
      <c r="B290" s="16" t="n"/>
      <c r="C290" s="9" t="n"/>
      <c r="D290" s="9" t="n"/>
      <c r="E290" s="16" t="n"/>
      <c r="F290" s="16" t="n"/>
      <c r="G290" s="16" t="n"/>
      <c r="H290" s="16" t="n"/>
      <c r="I290" s="16" t="n"/>
      <c r="J290" s="16" t="n"/>
      <c r="K290" s="16" t="n"/>
      <c r="L290" s="17" t="n"/>
      <c r="M290" s="10" t="n"/>
    </row>
    <row r="291">
      <c r="A291" s="16" t="n"/>
      <c r="B291" s="16" t="n"/>
      <c r="C291" s="9" t="n"/>
      <c r="D291" s="9" t="n"/>
      <c r="E291" s="16" t="n"/>
      <c r="F291" s="16" t="n"/>
      <c r="G291" s="16" t="n"/>
      <c r="H291" s="16" t="n"/>
      <c r="I291" s="16" t="n"/>
      <c r="J291" s="16" t="n"/>
      <c r="K291" s="16" t="n"/>
      <c r="L291" s="17" t="n"/>
      <c r="M291" s="10" t="n"/>
    </row>
    <row r="292">
      <c r="A292" s="16" t="n"/>
      <c r="B292" s="16" t="n"/>
      <c r="C292" s="9" t="n"/>
      <c r="D292" s="9" t="n"/>
      <c r="E292" s="16" t="n"/>
      <c r="F292" s="16" t="n"/>
      <c r="G292" s="16" t="n"/>
      <c r="H292" s="16" t="n"/>
      <c r="I292" s="16" t="n"/>
      <c r="J292" s="16" t="n"/>
      <c r="K292" s="16" t="n"/>
      <c r="L292" s="17" t="n"/>
      <c r="M292" s="10" t="n"/>
    </row>
    <row r="293">
      <c r="A293" s="16" t="n"/>
      <c r="B293" s="16" t="n"/>
      <c r="C293" s="9" t="n"/>
      <c r="D293" s="9" t="n"/>
      <c r="E293" s="16" t="n"/>
      <c r="F293" s="16" t="n"/>
      <c r="G293" s="16" t="n"/>
      <c r="H293" s="16" t="n"/>
      <c r="I293" s="16" t="n"/>
      <c r="J293" s="16" t="n"/>
      <c r="K293" s="16" t="n"/>
      <c r="L293" s="17" t="n"/>
      <c r="M293" s="10" t="n"/>
    </row>
    <row r="294">
      <c r="A294" s="16" t="n"/>
      <c r="B294" s="16" t="n"/>
      <c r="C294" s="9" t="n"/>
      <c r="D294" s="9" t="n"/>
      <c r="E294" s="16" t="n"/>
      <c r="F294" s="16" t="n"/>
      <c r="G294" s="16" t="n"/>
      <c r="H294" s="16" t="n"/>
      <c r="I294" s="16" t="n"/>
      <c r="J294" s="16" t="n"/>
      <c r="K294" s="16" t="n"/>
      <c r="L294" s="17" t="n"/>
      <c r="M294" s="10" t="n"/>
    </row>
    <row r="295">
      <c r="A295" s="16" t="n"/>
      <c r="B295" s="16" t="n"/>
      <c r="C295" s="9" t="n"/>
      <c r="D295" s="9" t="n"/>
      <c r="E295" s="16" t="n"/>
      <c r="F295" s="16" t="n"/>
      <c r="G295" s="16" t="n"/>
      <c r="H295" s="16" t="n"/>
      <c r="I295" s="16" t="n"/>
      <c r="J295" s="16" t="n"/>
      <c r="K295" s="16" t="n"/>
      <c r="L295" s="17" t="n"/>
      <c r="M295" s="10" t="n"/>
    </row>
    <row r="296">
      <c r="A296" s="16" t="n"/>
      <c r="B296" s="16" t="n"/>
      <c r="C296" s="9" t="n"/>
      <c r="D296" s="9" t="n"/>
      <c r="E296" s="16" t="n"/>
      <c r="F296" s="16" t="n"/>
      <c r="G296" s="16" t="n"/>
      <c r="H296" s="16" t="n"/>
      <c r="I296" s="16" t="n"/>
      <c r="J296" s="16" t="n"/>
      <c r="K296" s="16" t="n"/>
      <c r="L296" s="17" t="n"/>
      <c r="M296" s="10" t="n"/>
    </row>
    <row r="297">
      <c r="A297" s="16" t="n"/>
      <c r="B297" s="16" t="n"/>
      <c r="C297" s="9" t="n"/>
      <c r="D297" s="9" t="n"/>
      <c r="E297" s="16" t="n"/>
      <c r="F297" s="16" t="n"/>
      <c r="G297" s="16" t="n"/>
      <c r="H297" s="16" t="n"/>
      <c r="I297" s="16" t="n"/>
      <c r="J297" s="16" t="n"/>
      <c r="K297" s="16" t="n"/>
      <c r="L297" s="17" t="n"/>
      <c r="M297" s="10" t="n"/>
    </row>
    <row r="298">
      <c r="A298" s="16" t="n"/>
      <c r="B298" s="16" t="n"/>
      <c r="C298" s="9" t="n"/>
      <c r="D298" s="9" t="n"/>
      <c r="E298" s="16" t="n"/>
      <c r="F298" s="16" t="n"/>
      <c r="G298" s="16" t="n"/>
      <c r="H298" s="16" t="n"/>
      <c r="I298" s="16" t="n"/>
      <c r="J298" s="16" t="n"/>
      <c r="K298" s="16" t="n"/>
      <c r="L298" s="17" t="n"/>
      <c r="M298" s="10" t="n"/>
    </row>
    <row r="299">
      <c r="A299" s="16" t="n"/>
      <c r="B299" s="16" t="n"/>
      <c r="C299" s="9" t="n"/>
      <c r="D299" s="9" t="n"/>
      <c r="E299" s="16" t="n"/>
      <c r="F299" s="16" t="n"/>
      <c r="G299" s="16" t="n"/>
      <c r="H299" s="16" t="n"/>
      <c r="I299" s="16" t="n"/>
      <c r="J299" s="16" t="n"/>
      <c r="K299" s="16" t="n"/>
      <c r="L299" s="17" t="n"/>
      <c r="M299" s="10" t="n"/>
    </row>
    <row r="300">
      <c r="A300" s="16" t="n"/>
      <c r="B300" s="16" t="n"/>
      <c r="C300" s="9" t="n"/>
      <c r="D300" s="9" t="n"/>
      <c r="E300" s="16" t="n"/>
      <c r="F300" s="16" t="n"/>
      <c r="G300" s="16" t="n"/>
      <c r="H300" s="16" t="n"/>
      <c r="I300" s="16" t="n"/>
      <c r="J300" s="16" t="n"/>
      <c r="K300" s="16" t="n"/>
      <c r="L300" s="17" t="n"/>
      <c r="M300" s="10" t="n"/>
    </row>
    <row r="301">
      <c r="A301" s="16" t="n"/>
      <c r="B301" s="16" t="n"/>
      <c r="C301" s="9" t="n"/>
      <c r="D301" s="9" t="n"/>
      <c r="E301" s="16" t="n"/>
      <c r="F301" s="16" t="n"/>
      <c r="G301" s="16" t="n"/>
      <c r="H301" s="16" t="n"/>
      <c r="I301" s="16" t="n"/>
      <c r="J301" s="16" t="n"/>
      <c r="K301" s="16" t="n"/>
      <c r="L301" s="17" t="n"/>
      <c r="M301" s="10" t="n"/>
    </row>
    <row r="302">
      <c r="A302" s="16" t="n"/>
      <c r="B302" s="16" t="n"/>
      <c r="C302" s="9" t="n"/>
      <c r="D302" s="9" t="n"/>
      <c r="E302" s="16" t="n"/>
      <c r="F302" s="16" t="n"/>
      <c r="G302" s="16" t="n"/>
      <c r="H302" s="16" t="n"/>
      <c r="I302" s="16" t="n"/>
      <c r="J302" s="16" t="n"/>
      <c r="K302" s="16" t="n"/>
      <c r="L302" s="17" t="n"/>
      <c r="M302" s="10" t="n"/>
    </row>
    <row r="303">
      <c r="A303" s="16" t="n"/>
      <c r="B303" s="16" t="n"/>
      <c r="C303" s="9" t="n"/>
      <c r="D303" s="9" t="n"/>
      <c r="E303" s="16" t="n"/>
      <c r="F303" s="16" t="n"/>
      <c r="G303" s="16" t="n"/>
      <c r="H303" s="16" t="n"/>
      <c r="I303" s="16" t="n"/>
      <c r="J303" s="16" t="n"/>
      <c r="K303" s="16" t="n"/>
      <c r="L303" s="17" t="n"/>
      <c r="M303" s="10" t="n"/>
    </row>
    <row r="304">
      <c r="A304" s="16" t="n"/>
      <c r="B304" s="16" t="n"/>
      <c r="C304" s="9" t="n"/>
      <c r="D304" s="9" t="n"/>
      <c r="E304" s="16" t="n"/>
      <c r="F304" s="16" t="n"/>
      <c r="G304" s="16" t="n"/>
      <c r="H304" s="16" t="n"/>
      <c r="I304" s="16" t="n"/>
      <c r="J304" s="16" t="n"/>
      <c r="K304" s="16" t="n"/>
      <c r="L304" s="17" t="n"/>
      <c r="M304" s="10" t="n"/>
    </row>
    <row r="305">
      <c r="A305" s="16" t="n"/>
      <c r="B305" s="16" t="n"/>
      <c r="C305" s="9" t="n"/>
      <c r="D305" s="9" t="n"/>
      <c r="E305" s="16" t="n"/>
      <c r="F305" s="16" t="n"/>
      <c r="G305" s="16" t="n"/>
      <c r="H305" s="16" t="n"/>
      <c r="I305" s="16" t="n"/>
      <c r="J305" s="16" t="n"/>
      <c r="K305" s="16" t="n"/>
      <c r="L305" s="17" t="n"/>
      <c r="M305" s="1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M305"/>
  <mergeCells count="1">
    <mergeCell ref="A2:M2"/>
  </mergeCells>
  <conditionalFormatting sqref="H6:H305">
    <cfRule type="expression" priority="1" dxfId="0">
      <formula>OR(H6="Pending Review",H6="Draft",H6="Needs Review",H6="Suggested")</formula>
    </cfRule>
    <cfRule type="expression" priority="2" dxfId="1">
      <formula>OR(H6="Rejected",H6="Expired")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L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8" customWidth="1" min="4" max="4"/>
    <col width="14" customWidth="1" min="5" max="5"/>
    <col width="12" customWidth="1" min="6" max="6"/>
    <col width="16" customWidth="1" min="7" max="7"/>
    <col width="10" customWidth="1" min="8" max="8"/>
    <col width="12" customWidth="1" min="9" max="9"/>
    <col width="16" customWidth="1" min="10" max="10"/>
    <col width="16" customWidth="1" min="11" max="11"/>
    <col width="50" customWidth="1" min="12" max="12"/>
  </cols>
  <sheetData>
    <row r="1">
      <c r="A1" s="4" t="inlineStr">
        <is>
          <t>Indirect Costs &amp; Project Duration</t>
        </is>
      </c>
    </row>
    <row r="2" ht="48" customHeight="1">
      <c r="A2" s="3" t="inlineStr">
        <is>
          <t>Fixed, percentage and duration-based costs. Project duration must be approved before duration-based items calculate. Items included in a subcontract quotation are excluded to avoid double counting.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code</t>
        </is>
      </c>
      <c r="B4" t="inlineStr">
        <is>
          <t>category</t>
        </is>
      </c>
      <c r="C4" t="inlineStr">
        <is>
          <t>description</t>
        </is>
      </c>
      <c r="D4" t="inlineStr">
        <is>
          <t>method</t>
        </is>
      </c>
      <c r="E4" t="inlineStr">
        <is>
          <t>amount</t>
        </is>
      </c>
      <c r="F4" t="inlineStr">
        <is>
          <t>quantity</t>
        </is>
      </c>
      <c r="G4" t="inlineStr">
        <is>
          <t>allocation_method</t>
        </is>
      </c>
      <c r="H4" t="inlineStr">
        <is>
          <t>allocation_target</t>
        </is>
      </c>
      <c r="I4" t="inlineStr">
        <is>
          <t>included_in_subcontract</t>
        </is>
      </c>
      <c r="J4" t="inlineStr">
        <is>
          <t>status</t>
        </is>
      </c>
      <c r="K4" t="inlineStr">
        <is>
          <t>engine_amount</t>
        </is>
      </c>
      <c r="L4" t="inlineStr">
        <is>
          <t>basis</t>
        </is>
      </c>
    </row>
    <row r="5" ht="34" customHeight="1">
      <c r="A5" s="15" t="inlineStr">
        <is>
          <t>Code</t>
        </is>
      </c>
      <c r="B5" s="15" t="inlineStr">
        <is>
          <t>Category</t>
        </is>
      </c>
      <c r="C5" s="15" t="inlineStr">
        <is>
          <t>Description</t>
        </is>
      </c>
      <c r="D5" s="15" t="inlineStr">
        <is>
          <t>Method</t>
        </is>
      </c>
      <c r="E5" s="15" t="inlineStr">
        <is>
          <t>Rate / amount</t>
        </is>
      </c>
      <c r="F5" s="15" t="inlineStr">
        <is>
          <t>Quantity (people/units)</t>
        </is>
      </c>
      <c r="G5" s="15" t="inlineStr">
        <is>
          <t>Allocation</t>
        </is>
      </c>
      <c r="H5" s="15" t="inlineStr">
        <is>
          <t>Alloc. target</t>
        </is>
      </c>
      <c r="I5" s="15" t="inlineStr">
        <is>
          <t>Incl. in subcontract (1/0)</t>
        </is>
      </c>
      <c r="J5" s="15" t="inlineStr">
        <is>
          <t>Status</t>
        </is>
      </c>
      <c r="K5" s="15" t="inlineStr">
        <is>
          <t>Calculated amount</t>
        </is>
      </c>
      <c r="L5" s="15" t="inlineStr">
        <is>
          <t>Calculation basis</t>
        </is>
      </c>
    </row>
    <row r="6">
      <c r="A6" s="17" t="n"/>
      <c r="B6" s="17" t="n"/>
      <c r="C6" s="10" t="n"/>
      <c r="D6" s="17" t="n"/>
      <c r="E6" s="24" t="n"/>
      <c r="F6" s="17" t="n"/>
      <c r="G6" s="17" t="n"/>
      <c r="H6" s="17" t="n"/>
      <c r="I6" s="17" t="n"/>
      <c r="J6" s="16" t="n"/>
      <c r="K6" s="19" t="n"/>
      <c r="L6" s="9" t="n"/>
    </row>
    <row r="7">
      <c r="A7" s="17" t="n"/>
      <c r="B7" s="17" t="n"/>
      <c r="C7" s="10" t="n"/>
      <c r="D7" s="17" t="n"/>
      <c r="E7" s="24" t="n"/>
      <c r="F7" s="17" t="n"/>
      <c r="G7" s="17" t="n"/>
      <c r="H7" s="17" t="n"/>
      <c r="I7" s="17" t="n"/>
      <c r="J7" s="16" t="n"/>
      <c r="K7" s="19" t="n"/>
      <c r="L7" s="9" t="n"/>
    </row>
    <row r="8">
      <c r="A8" s="17" t="n"/>
      <c r="B8" s="17" t="n"/>
      <c r="C8" s="10" t="n"/>
      <c r="D8" s="17" t="n"/>
      <c r="E8" s="24" t="n"/>
      <c r="F8" s="17" t="n"/>
      <c r="G8" s="17" t="n"/>
      <c r="H8" s="17" t="n"/>
      <c r="I8" s="17" t="n"/>
      <c r="J8" s="16" t="n"/>
      <c r="K8" s="19" t="n"/>
      <c r="L8" s="9" t="n"/>
    </row>
    <row r="9">
      <c r="A9" s="17" t="n"/>
      <c r="B9" s="17" t="n"/>
      <c r="C9" s="10" t="n"/>
      <c r="D9" s="17" t="n"/>
      <c r="E9" s="24" t="n"/>
      <c r="F9" s="17" t="n"/>
      <c r="G9" s="17" t="n"/>
      <c r="H9" s="17" t="n"/>
      <c r="I9" s="17" t="n"/>
      <c r="J9" s="16" t="n"/>
      <c r="K9" s="19" t="n"/>
      <c r="L9" s="9" t="n"/>
    </row>
    <row r="10">
      <c r="A10" s="17" t="n"/>
      <c r="B10" s="17" t="n"/>
      <c r="C10" s="10" t="n"/>
      <c r="D10" s="17" t="n"/>
      <c r="E10" s="24" t="n"/>
      <c r="F10" s="17" t="n"/>
      <c r="G10" s="17" t="n"/>
      <c r="H10" s="17" t="n"/>
      <c r="I10" s="17" t="n"/>
      <c r="J10" s="16" t="n"/>
      <c r="K10" s="19" t="n"/>
      <c r="L10" s="9" t="n"/>
    </row>
    <row r="11">
      <c r="A11" s="17" t="n"/>
      <c r="B11" s="17" t="n"/>
      <c r="C11" s="10" t="n"/>
      <c r="D11" s="17" t="n"/>
      <c r="E11" s="24" t="n"/>
      <c r="F11" s="17" t="n"/>
      <c r="G11" s="17" t="n"/>
      <c r="H11" s="17" t="n"/>
      <c r="I11" s="17" t="n"/>
      <c r="J11" s="16" t="n"/>
      <c r="K11" s="19" t="n"/>
      <c r="L11" s="9" t="n"/>
    </row>
    <row r="12">
      <c r="A12" s="17" t="n"/>
      <c r="B12" s="17" t="n"/>
      <c r="C12" s="10" t="n"/>
      <c r="D12" s="17" t="n"/>
      <c r="E12" s="24" t="n"/>
      <c r="F12" s="17" t="n"/>
      <c r="G12" s="17" t="n"/>
      <c r="H12" s="17" t="n"/>
      <c r="I12" s="17" t="n"/>
      <c r="J12" s="16" t="n"/>
      <c r="K12" s="19" t="n"/>
      <c r="L12" s="9" t="n"/>
    </row>
    <row r="13">
      <c r="A13" s="17" t="n"/>
      <c r="B13" s="17" t="n"/>
      <c r="C13" s="10" t="n"/>
      <c r="D13" s="17" t="n"/>
      <c r="E13" s="24" t="n"/>
      <c r="F13" s="17" t="n"/>
      <c r="G13" s="17" t="n"/>
      <c r="H13" s="17" t="n"/>
      <c r="I13" s="17" t="n"/>
      <c r="J13" s="16" t="n"/>
      <c r="K13" s="19" t="n"/>
      <c r="L13" s="9" t="n"/>
    </row>
    <row r="14">
      <c r="A14" s="17" t="n"/>
      <c r="B14" s="17" t="n"/>
      <c r="C14" s="10" t="n"/>
      <c r="D14" s="17" t="n"/>
      <c r="E14" s="24" t="n"/>
      <c r="F14" s="17" t="n"/>
      <c r="G14" s="17" t="n"/>
      <c r="H14" s="17" t="n"/>
      <c r="I14" s="17" t="n"/>
      <c r="J14" s="16" t="n"/>
      <c r="K14" s="19" t="n"/>
      <c r="L14" s="9" t="n"/>
    </row>
    <row r="15">
      <c r="A15" s="17" t="n"/>
      <c r="B15" s="17" t="n"/>
      <c r="C15" s="10" t="n"/>
      <c r="D15" s="17" t="n"/>
      <c r="E15" s="24" t="n"/>
      <c r="F15" s="17" t="n"/>
      <c r="G15" s="17" t="n"/>
      <c r="H15" s="17" t="n"/>
      <c r="I15" s="17" t="n"/>
      <c r="J15" s="16" t="n"/>
      <c r="K15" s="19" t="n"/>
      <c r="L15" s="9" t="n"/>
    </row>
    <row r="16">
      <c r="A16" s="17" t="n"/>
      <c r="B16" s="17" t="n"/>
      <c r="C16" s="10" t="n"/>
      <c r="D16" s="17" t="n"/>
      <c r="E16" s="24" t="n"/>
      <c r="F16" s="17" t="n"/>
      <c r="G16" s="17" t="n"/>
      <c r="H16" s="17" t="n"/>
      <c r="I16" s="17" t="n"/>
      <c r="J16" s="16" t="n"/>
      <c r="K16" s="19" t="n"/>
      <c r="L16" s="9" t="n"/>
    </row>
    <row r="17">
      <c r="A17" s="17" t="n"/>
      <c r="B17" s="17" t="n"/>
      <c r="C17" s="10" t="n"/>
      <c r="D17" s="17" t="n"/>
      <c r="E17" s="24" t="n"/>
      <c r="F17" s="17" t="n"/>
      <c r="G17" s="17" t="n"/>
      <c r="H17" s="17" t="n"/>
      <c r="I17" s="17" t="n"/>
      <c r="J17" s="16" t="n"/>
      <c r="K17" s="19" t="n"/>
      <c r="L17" s="9" t="n"/>
    </row>
    <row r="18">
      <c r="A18" s="17" t="n"/>
      <c r="B18" s="17" t="n"/>
      <c r="C18" s="10" t="n"/>
      <c r="D18" s="17" t="n"/>
      <c r="E18" s="24" t="n"/>
      <c r="F18" s="17" t="n"/>
      <c r="G18" s="17" t="n"/>
      <c r="H18" s="17" t="n"/>
      <c r="I18" s="17" t="n"/>
      <c r="J18" s="16" t="n"/>
      <c r="K18" s="19" t="n"/>
      <c r="L18" s="9" t="n"/>
    </row>
    <row r="19">
      <c r="A19" s="17" t="n"/>
      <c r="B19" s="17" t="n"/>
      <c r="C19" s="10" t="n"/>
      <c r="D19" s="17" t="n"/>
      <c r="E19" s="24" t="n"/>
      <c r="F19" s="17" t="n"/>
      <c r="G19" s="17" t="n"/>
      <c r="H19" s="17" t="n"/>
      <c r="I19" s="17" t="n"/>
      <c r="J19" s="16" t="n"/>
      <c r="K19" s="19" t="n"/>
      <c r="L19" s="9" t="n"/>
    </row>
    <row r="20">
      <c r="A20" s="17" t="n"/>
      <c r="B20" s="17" t="n"/>
      <c r="C20" s="10" t="n"/>
      <c r="D20" s="17" t="n"/>
      <c r="E20" s="24" t="n"/>
      <c r="F20" s="17" t="n"/>
      <c r="G20" s="17" t="n"/>
      <c r="H20" s="17" t="n"/>
      <c r="I20" s="17" t="n"/>
      <c r="J20" s="16" t="n"/>
      <c r="K20" s="19" t="n"/>
      <c r="L20" s="9" t="n"/>
    </row>
    <row r="21">
      <c r="A21" s="17" t="n"/>
      <c r="B21" s="17" t="n"/>
      <c r="C21" s="10" t="n"/>
      <c r="D21" s="17" t="n"/>
      <c r="E21" s="24" t="n"/>
      <c r="F21" s="17" t="n"/>
      <c r="G21" s="17" t="n"/>
      <c r="H21" s="17" t="n"/>
      <c r="I21" s="17" t="n"/>
      <c r="J21" s="16" t="n"/>
      <c r="K21" s="19" t="n"/>
      <c r="L21" s="9" t="n"/>
    </row>
    <row r="22">
      <c r="A22" s="17" t="n"/>
      <c r="B22" s="17" t="n"/>
      <c r="C22" s="10" t="n"/>
      <c r="D22" s="17" t="n"/>
      <c r="E22" s="24" t="n"/>
      <c r="F22" s="17" t="n"/>
      <c r="G22" s="17" t="n"/>
      <c r="H22" s="17" t="n"/>
      <c r="I22" s="17" t="n"/>
      <c r="J22" s="16" t="n"/>
      <c r="K22" s="19" t="n"/>
      <c r="L22" s="9" t="n"/>
    </row>
    <row r="23">
      <c r="A23" s="17" t="n"/>
      <c r="B23" s="17" t="n"/>
      <c r="C23" s="10" t="n"/>
      <c r="D23" s="17" t="n"/>
      <c r="E23" s="24" t="n"/>
      <c r="F23" s="17" t="n"/>
      <c r="G23" s="17" t="n"/>
      <c r="H23" s="17" t="n"/>
      <c r="I23" s="17" t="n"/>
      <c r="J23" s="16" t="n"/>
      <c r="K23" s="19" t="n"/>
      <c r="L23" s="9" t="n"/>
    </row>
    <row r="24">
      <c r="A24" s="17" t="n"/>
      <c r="B24" s="17" t="n"/>
      <c r="C24" s="10" t="n"/>
      <c r="D24" s="17" t="n"/>
      <c r="E24" s="24" t="n"/>
      <c r="F24" s="17" t="n"/>
      <c r="G24" s="17" t="n"/>
      <c r="H24" s="17" t="n"/>
      <c r="I24" s="17" t="n"/>
      <c r="J24" s="16" t="n"/>
      <c r="K24" s="19" t="n"/>
      <c r="L24" s="9" t="n"/>
    </row>
    <row r="25">
      <c r="A25" s="17" t="n"/>
      <c r="B25" s="17" t="n"/>
      <c r="C25" s="10" t="n"/>
      <c r="D25" s="17" t="n"/>
      <c r="E25" s="24" t="n"/>
      <c r="F25" s="17" t="n"/>
      <c r="G25" s="17" t="n"/>
      <c r="H25" s="17" t="n"/>
      <c r="I25" s="17" t="n"/>
      <c r="J25" s="16" t="n"/>
      <c r="K25" s="19" t="n"/>
      <c r="L25" s="9" t="n"/>
    </row>
    <row r="26">
      <c r="A26" s="17" t="n"/>
      <c r="B26" s="17" t="n"/>
      <c r="C26" s="10" t="n"/>
      <c r="D26" s="17" t="n"/>
      <c r="E26" s="24" t="n"/>
      <c r="F26" s="17" t="n"/>
      <c r="G26" s="17" t="n"/>
      <c r="H26" s="17" t="n"/>
      <c r="I26" s="17" t="n"/>
      <c r="J26" s="16" t="n"/>
      <c r="K26" s="19" t="n"/>
      <c r="L26" s="9" t="n"/>
    </row>
    <row r="27">
      <c r="A27" s="17" t="n"/>
      <c r="B27" s="17" t="n"/>
      <c r="C27" s="10" t="n"/>
      <c r="D27" s="17" t="n"/>
      <c r="E27" s="24" t="n"/>
      <c r="F27" s="17" t="n"/>
      <c r="G27" s="17" t="n"/>
      <c r="H27" s="17" t="n"/>
      <c r="I27" s="17" t="n"/>
      <c r="J27" s="16" t="n"/>
      <c r="K27" s="19" t="n"/>
      <c r="L27" s="9" t="n"/>
    </row>
    <row r="28">
      <c r="A28" s="17" t="n"/>
      <c r="B28" s="17" t="n"/>
      <c r="C28" s="10" t="n"/>
      <c r="D28" s="17" t="n"/>
      <c r="E28" s="24" t="n"/>
      <c r="F28" s="17" t="n"/>
      <c r="G28" s="17" t="n"/>
      <c r="H28" s="17" t="n"/>
      <c r="I28" s="17" t="n"/>
      <c r="J28" s="16" t="n"/>
      <c r="K28" s="19" t="n"/>
      <c r="L28" s="9" t="n"/>
    </row>
    <row r="29">
      <c r="A29" s="17" t="n"/>
      <c r="B29" s="17" t="n"/>
      <c r="C29" s="10" t="n"/>
      <c r="D29" s="17" t="n"/>
      <c r="E29" s="24" t="n"/>
      <c r="F29" s="17" t="n"/>
      <c r="G29" s="17" t="n"/>
      <c r="H29" s="17" t="n"/>
      <c r="I29" s="17" t="n"/>
      <c r="J29" s="16" t="n"/>
      <c r="K29" s="19" t="n"/>
      <c r="L29" s="9" t="n"/>
    </row>
    <row r="30">
      <c r="A30" s="17" t="n"/>
      <c r="B30" s="17" t="n"/>
      <c r="C30" s="10" t="n"/>
      <c r="D30" s="17" t="n"/>
      <c r="E30" s="24" t="n"/>
      <c r="F30" s="17" t="n"/>
      <c r="G30" s="17" t="n"/>
      <c r="H30" s="17" t="n"/>
      <c r="I30" s="17" t="n"/>
      <c r="J30" s="16" t="n"/>
      <c r="K30" s="19" t="n"/>
      <c r="L30" s="9" t="n"/>
    </row>
    <row r="31">
      <c r="A31" s="17" t="n"/>
      <c r="B31" s="17" t="n"/>
      <c r="C31" s="10" t="n"/>
      <c r="D31" s="17" t="n"/>
      <c r="E31" s="24" t="n"/>
      <c r="F31" s="17" t="n"/>
      <c r="G31" s="17" t="n"/>
      <c r="H31" s="17" t="n"/>
      <c r="I31" s="17" t="n"/>
      <c r="J31" s="16" t="n"/>
      <c r="K31" s="19" t="n"/>
      <c r="L31" s="9" t="n"/>
    </row>
    <row r="32">
      <c r="A32" s="17" t="n"/>
      <c r="B32" s="17" t="n"/>
      <c r="C32" s="10" t="n"/>
      <c r="D32" s="17" t="n"/>
      <c r="E32" s="24" t="n"/>
      <c r="F32" s="17" t="n"/>
      <c r="G32" s="17" t="n"/>
      <c r="H32" s="17" t="n"/>
      <c r="I32" s="17" t="n"/>
      <c r="J32" s="16" t="n"/>
      <c r="K32" s="19" t="n"/>
      <c r="L32" s="9" t="n"/>
    </row>
    <row r="33">
      <c r="A33" s="17" t="n"/>
      <c r="B33" s="17" t="n"/>
      <c r="C33" s="10" t="n"/>
      <c r="D33" s="17" t="n"/>
      <c r="E33" s="24" t="n"/>
      <c r="F33" s="17" t="n"/>
      <c r="G33" s="17" t="n"/>
      <c r="H33" s="17" t="n"/>
      <c r="I33" s="17" t="n"/>
      <c r="J33" s="16" t="n"/>
      <c r="K33" s="19" t="n"/>
      <c r="L33" s="9" t="n"/>
    </row>
    <row r="34">
      <c r="A34" s="17" t="n"/>
      <c r="B34" s="17" t="n"/>
      <c r="C34" s="10" t="n"/>
      <c r="D34" s="17" t="n"/>
      <c r="E34" s="24" t="n"/>
      <c r="F34" s="17" t="n"/>
      <c r="G34" s="17" t="n"/>
      <c r="H34" s="17" t="n"/>
      <c r="I34" s="17" t="n"/>
      <c r="J34" s="16" t="n"/>
      <c r="K34" s="19" t="n"/>
      <c r="L34" s="9" t="n"/>
    </row>
    <row r="35">
      <c r="A35" s="17" t="n"/>
      <c r="B35" s="17" t="n"/>
      <c r="C35" s="10" t="n"/>
      <c r="D35" s="17" t="n"/>
      <c r="E35" s="24" t="n"/>
      <c r="F35" s="17" t="n"/>
      <c r="G35" s="17" t="n"/>
      <c r="H35" s="17" t="n"/>
      <c r="I35" s="17" t="n"/>
      <c r="J35" s="16" t="n"/>
      <c r="K35" s="19" t="n"/>
      <c r="L35" s="9" t="n"/>
    </row>
    <row r="36">
      <c r="A36" s="17" t="n"/>
      <c r="B36" s="17" t="n"/>
      <c r="C36" s="10" t="n"/>
      <c r="D36" s="17" t="n"/>
      <c r="E36" s="24" t="n"/>
      <c r="F36" s="17" t="n"/>
      <c r="G36" s="17" t="n"/>
      <c r="H36" s="17" t="n"/>
      <c r="I36" s="17" t="n"/>
      <c r="J36" s="16" t="n"/>
      <c r="K36" s="19" t="n"/>
      <c r="L36" s="9" t="n"/>
    </row>
    <row r="37">
      <c r="A37" s="17" t="n"/>
      <c r="B37" s="17" t="n"/>
      <c r="C37" s="10" t="n"/>
      <c r="D37" s="17" t="n"/>
      <c r="E37" s="24" t="n"/>
      <c r="F37" s="17" t="n"/>
      <c r="G37" s="17" t="n"/>
      <c r="H37" s="17" t="n"/>
      <c r="I37" s="17" t="n"/>
      <c r="J37" s="16" t="n"/>
      <c r="K37" s="19" t="n"/>
      <c r="L37" s="9" t="n"/>
    </row>
    <row r="38">
      <c r="A38" s="17" t="n"/>
      <c r="B38" s="17" t="n"/>
      <c r="C38" s="10" t="n"/>
      <c r="D38" s="17" t="n"/>
      <c r="E38" s="24" t="n"/>
      <c r="F38" s="17" t="n"/>
      <c r="G38" s="17" t="n"/>
      <c r="H38" s="17" t="n"/>
      <c r="I38" s="17" t="n"/>
      <c r="J38" s="16" t="n"/>
      <c r="K38" s="19" t="n"/>
      <c r="L38" s="9" t="n"/>
    </row>
    <row r="39">
      <c r="A39" s="17" t="n"/>
      <c r="B39" s="17" t="n"/>
      <c r="C39" s="10" t="n"/>
      <c r="D39" s="17" t="n"/>
      <c r="E39" s="24" t="n"/>
      <c r="F39" s="17" t="n"/>
      <c r="G39" s="17" t="n"/>
      <c r="H39" s="17" t="n"/>
      <c r="I39" s="17" t="n"/>
      <c r="J39" s="16" t="n"/>
      <c r="K39" s="19" t="n"/>
      <c r="L39" s="9" t="n"/>
    </row>
    <row r="40">
      <c r="A40" s="17" t="n"/>
      <c r="B40" s="17" t="n"/>
      <c r="C40" s="10" t="n"/>
      <c r="D40" s="17" t="n"/>
      <c r="E40" s="24" t="n"/>
      <c r="F40" s="17" t="n"/>
      <c r="G40" s="17" t="n"/>
      <c r="H40" s="17" t="n"/>
      <c r="I40" s="17" t="n"/>
      <c r="J40" s="16" t="n"/>
      <c r="K40" s="19" t="n"/>
      <c r="L40" s="9" t="n"/>
    </row>
    <row r="41">
      <c r="A41" s="17" t="n"/>
      <c r="B41" s="17" t="n"/>
      <c r="C41" s="10" t="n"/>
      <c r="D41" s="17" t="n"/>
      <c r="E41" s="24" t="n"/>
      <c r="F41" s="17" t="n"/>
      <c r="G41" s="17" t="n"/>
      <c r="H41" s="17" t="n"/>
      <c r="I41" s="17" t="n"/>
      <c r="J41" s="16" t="n"/>
      <c r="K41" s="19" t="n"/>
      <c r="L41" s="9" t="n"/>
    </row>
    <row r="42">
      <c r="A42" s="17" t="n"/>
      <c r="B42" s="17" t="n"/>
      <c r="C42" s="10" t="n"/>
      <c r="D42" s="17" t="n"/>
      <c r="E42" s="24" t="n"/>
      <c r="F42" s="17" t="n"/>
      <c r="G42" s="17" t="n"/>
      <c r="H42" s="17" t="n"/>
      <c r="I42" s="17" t="n"/>
      <c r="J42" s="16" t="n"/>
      <c r="K42" s="19" t="n"/>
      <c r="L42" s="9" t="n"/>
    </row>
    <row r="43">
      <c r="A43" s="17" t="n"/>
      <c r="B43" s="17" t="n"/>
      <c r="C43" s="10" t="n"/>
      <c r="D43" s="17" t="n"/>
      <c r="E43" s="24" t="n"/>
      <c r="F43" s="17" t="n"/>
      <c r="G43" s="17" t="n"/>
      <c r="H43" s="17" t="n"/>
      <c r="I43" s="17" t="n"/>
      <c r="J43" s="16" t="n"/>
      <c r="K43" s="19" t="n"/>
      <c r="L43" s="9" t="n"/>
    </row>
    <row r="44">
      <c r="A44" s="17" t="n"/>
      <c r="B44" s="17" t="n"/>
      <c r="C44" s="10" t="n"/>
      <c r="D44" s="17" t="n"/>
      <c r="E44" s="24" t="n"/>
      <c r="F44" s="17" t="n"/>
      <c r="G44" s="17" t="n"/>
      <c r="H44" s="17" t="n"/>
      <c r="I44" s="17" t="n"/>
      <c r="J44" s="16" t="n"/>
      <c r="K44" s="19" t="n"/>
      <c r="L44" s="9" t="n"/>
    </row>
    <row r="45">
      <c r="A45" s="17" t="n"/>
      <c r="B45" s="17" t="n"/>
      <c r="C45" s="10" t="n"/>
      <c r="D45" s="17" t="n"/>
      <c r="E45" s="24" t="n"/>
      <c r="F45" s="17" t="n"/>
      <c r="G45" s="17" t="n"/>
      <c r="H45" s="17" t="n"/>
      <c r="I45" s="17" t="n"/>
      <c r="J45" s="16" t="n"/>
      <c r="K45" s="19" t="n"/>
      <c r="L45" s="9" t="n"/>
    </row>
    <row r="46">
      <c r="A46" s="17" t="n"/>
      <c r="B46" s="17" t="n"/>
      <c r="C46" s="10" t="n"/>
      <c r="D46" s="17" t="n"/>
      <c r="E46" s="24" t="n"/>
      <c r="F46" s="17" t="n"/>
      <c r="G46" s="17" t="n"/>
      <c r="H46" s="17" t="n"/>
      <c r="I46" s="17" t="n"/>
      <c r="J46" s="16" t="n"/>
      <c r="K46" s="19" t="n"/>
      <c r="L46" s="9" t="n"/>
    </row>
    <row r="47">
      <c r="A47" s="17" t="n"/>
      <c r="B47" s="17" t="n"/>
      <c r="C47" s="10" t="n"/>
      <c r="D47" s="17" t="n"/>
      <c r="E47" s="24" t="n"/>
      <c r="F47" s="17" t="n"/>
      <c r="G47" s="17" t="n"/>
      <c r="H47" s="17" t="n"/>
      <c r="I47" s="17" t="n"/>
      <c r="J47" s="16" t="n"/>
      <c r="K47" s="19" t="n"/>
      <c r="L47" s="9" t="n"/>
    </row>
    <row r="48">
      <c r="A48" s="17" t="n"/>
      <c r="B48" s="17" t="n"/>
      <c r="C48" s="10" t="n"/>
      <c r="D48" s="17" t="n"/>
      <c r="E48" s="24" t="n"/>
      <c r="F48" s="17" t="n"/>
      <c r="G48" s="17" t="n"/>
      <c r="H48" s="17" t="n"/>
      <c r="I48" s="17" t="n"/>
      <c r="J48" s="16" t="n"/>
      <c r="K48" s="19" t="n"/>
      <c r="L48" s="9" t="n"/>
    </row>
    <row r="49">
      <c r="A49" s="17" t="n"/>
      <c r="B49" s="17" t="n"/>
      <c r="C49" s="10" t="n"/>
      <c r="D49" s="17" t="n"/>
      <c r="E49" s="24" t="n"/>
      <c r="F49" s="17" t="n"/>
      <c r="G49" s="17" t="n"/>
      <c r="H49" s="17" t="n"/>
      <c r="I49" s="17" t="n"/>
      <c r="J49" s="16" t="n"/>
      <c r="K49" s="19" t="n"/>
      <c r="L49" s="9" t="n"/>
    </row>
    <row r="50">
      <c r="A50" s="17" t="n"/>
      <c r="B50" s="17" t="n"/>
      <c r="C50" s="10" t="n"/>
      <c r="D50" s="17" t="n"/>
      <c r="E50" s="24" t="n"/>
      <c r="F50" s="17" t="n"/>
      <c r="G50" s="17" t="n"/>
      <c r="H50" s="17" t="n"/>
      <c r="I50" s="17" t="n"/>
      <c r="J50" s="16" t="n"/>
      <c r="K50" s="19" t="n"/>
      <c r="L50" s="9" t="n"/>
    </row>
    <row r="51">
      <c r="A51" s="17" t="n"/>
      <c r="B51" s="17" t="n"/>
      <c r="C51" s="10" t="n"/>
      <c r="D51" s="17" t="n"/>
      <c r="E51" s="24" t="n"/>
      <c r="F51" s="17" t="n"/>
      <c r="G51" s="17" t="n"/>
      <c r="H51" s="17" t="n"/>
      <c r="I51" s="17" t="n"/>
      <c r="J51" s="16" t="n"/>
      <c r="K51" s="19" t="n"/>
      <c r="L51" s="9" t="n"/>
    </row>
    <row r="52">
      <c r="A52" s="17" t="n"/>
      <c r="B52" s="17" t="n"/>
      <c r="C52" s="10" t="n"/>
      <c r="D52" s="17" t="n"/>
      <c r="E52" s="24" t="n"/>
      <c r="F52" s="17" t="n"/>
      <c r="G52" s="17" t="n"/>
      <c r="H52" s="17" t="n"/>
      <c r="I52" s="17" t="n"/>
      <c r="J52" s="16" t="n"/>
      <c r="K52" s="19" t="n"/>
      <c r="L52" s="9" t="n"/>
    </row>
    <row r="53">
      <c r="A53" s="17" t="n"/>
      <c r="B53" s="17" t="n"/>
      <c r="C53" s="10" t="n"/>
      <c r="D53" s="17" t="n"/>
      <c r="E53" s="24" t="n"/>
      <c r="F53" s="17" t="n"/>
      <c r="G53" s="17" t="n"/>
      <c r="H53" s="17" t="n"/>
      <c r="I53" s="17" t="n"/>
      <c r="J53" s="16" t="n"/>
      <c r="K53" s="19" t="n"/>
      <c r="L53" s="9" t="n"/>
    </row>
    <row r="54">
      <c r="A54" s="17" t="n"/>
      <c r="B54" s="17" t="n"/>
      <c r="C54" s="10" t="n"/>
      <c r="D54" s="17" t="n"/>
      <c r="E54" s="24" t="n"/>
      <c r="F54" s="17" t="n"/>
      <c r="G54" s="17" t="n"/>
      <c r="H54" s="17" t="n"/>
      <c r="I54" s="17" t="n"/>
      <c r="J54" s="16" t="n"/>
      <c r="K54" s="19" t="n"/>
      <c r="L54" s="9" t="n"/>
    </row>
    <row r="55">
      <c r="A55" s="17" t="n"/>
      <c r="B55" s="17" t="n"/>
      <c r="C55" s="10" t="n"/>
      <c r="D55" s="17" t="n"/>
      <c r="E55" s="24" t="n"/>
      <c r="F55" s="17" t="n"/>
      <c r="G55" s="17" t="n"/>
      <c r="H55" s="17" t="n"/>
      <c r="I55" s="17" t="n"/>
      <c r="J55" s="16" t="n"/>
      <c r="K55" s="19" t="n"/>
      <c r="L55" s="9" t="n"/>
    </row>
    <row r="56">
      <c r="A56" s="17" t="n"/>
      <c r="B56" s="17" t="n"/>
      <c r="C56" s="10" t="n"/>
      <c r="D56" s="17" t="n"/>
      <c r="E56" s="24" t="n"/>
      <c r="F56" s="17" t="n"/>
      <c r="G56" s="17" t="n"/>
      <c r="H56" s="17" t="n"/>
      <c r="I56" s="17" t="n"/>
      <c r="J56" s="16" t="n"/>
      <c r="K56" s="19" t="n"/>
      <c r="L56" s="9" t="n"/>
    </row>
    <row r="57">
      <c r="A57" s="17" t="n"/>
      <c r="B57" s="17" t="n"/>
      <c r="C57" s="10" t="n"/>
      <c r="D57" s="17" t="n"/>
      <c r="E57" s="24" t="n"/>
      <c r="F57" s="17" t="n"/>
      <c r="G57" s="17" t="n"/>
      <c r="H57" s="17" t="n"/>
      <c r="I57" s="17" t="n"/>
      <c r="J57" s="16" t="n"/>
      <c r="K57" s="19" t="n"/>
      <c r="L57" s="9" t="n"/>
    </row>
    <row r="58">
      <c r="A58" s="17" t="n"/>
      <c r="B58" s="17" t="n"/>
      <c r="C58" s="10" t="n"/>
      <c r="D58" s="17" t="n"/>
      <c r="E58" s="24" t="n"/>
      <c r="F58" s="17" t="n"/>
      <c r="G58" s="17" t="n"/>
      <c r="H58" s="17" t="n"/>
      <c r="I58" s="17" t="n"/>
      <c r="J58" s="16" t="n"/>
      <c r="K58" s="19" t="n"/>
      <c r="L58" s="9" t="n"/>
    </row>
    <row r="59">
      <c r="A59" s="17" t="n"/>
      <c r="B59" s="17" t="n"/>
      <c r="C59" s="10" t="n"/>
      <c r="D59" s="17" t="n"/>
      <c r="E59" s="24" t="n"/>
      <c r="F59" s="17" t="n"/>
      <c r="G59" s="17" t="n"/>
      <c r="H59" s="17" t="n"/>
      <c r="I59" s="17" t="n"/>
      <c r="J59" s="16" t="n"/>
      <c r="K59" s="19" t="n"/>
      <c r="L59" s="9" t="n"/>
    </row>
    <row r="60">
      <c r="A60" s="17" t="n"/>
      <c r="B60" s="17" t="n"/>
      <c r="C60" s="10" t="n"/>
      <c r="D60" s="17" t="n"/>
      <c r="E60" s="24" t="n"/>
      <c r="F60" s="17" t="n"/>
      <c r="G60" s="17" t="n"/>
      <c r="H60" s="17" t="n"/>
      <c r="I60" s="17" t="n"/>
      <c r="J60" s="16" t="n"/>
      <c r="K60" s="19" t="n"/>
      <c r="L60" s="9" t="n"/>
    </row>
    <row r="61">
      <c r="A61" s="17" t="n"/>
      <c r="B61" s="17" t="n"/>
      <c r="C61" s="10" t="n"/>
      <c r="D61" s="17" t="n"/>
      <c r="E61" s="24" t="n"/>
      <c r="F61" s="17" t="n"/>
      <c r="G61" s="17" t="n"/>
      <c r="H61" s="17" t="n"/>
      <c r="I61" s="17" t="n"/>
      <c r="J61" s="16" t="n"/>
      <c r="K61" s="19" t="n"/>
      <c r="L61" s="9" t="n"/>
    </row>
    <row r="62">
      <c r="A62" s="17" t="n"/>
      <c r="B62" s="17" t="n"/>
      <c r="C62" s="10" t="n"/>
      <c r="D62" s="17" t="n"/>
      <c r="E62" s="24" t="n"/>
      <c r="F62" s="17" t="n"/>
      <c r="G62" s="17" t="n"/>
      <c r="H62" s="17" t="n"/>
      <c r="I62" s="17" t="n"/>
      <c r="J62" s="16" t="n"/>
      <c r="K62" s="19" t="n"/>
      <c r="L62" s="9" t="n"/>
    </row>
    <row r="63">
      <c r="A63" s="17" t="n"/>
      <c r="B63" s="17" t="n"/>
      <c r="C63" s="10" t="n"/>
      <c r="D63" s="17" t="n"/>
      <c r="E63" s="24" t="n"/>
      <c r="F63" s="17" t="n"/>
      <c r="G63" s="17" t="n"/>
      <c r="H63" s="17" t="n"/>
      <c r="I63" s="17" t="n"/>
      <c r="J63" s="16" t="n"/>
      <c r="K63" s="19" t="n"/>
      <c r="L63" s="9" t="n"/>
    </row>
    <row r="64">
      <c r="A64" s="17" t="n"/>
      <c r="B64" s="17" t="n"/>
      <c r="C64" s="10" t="n"/>
      <c r="D64" s="17" t="n"/>
      <c r="E64" s="24" t="n"/>
      <c r="F64" s="17" t="n"/>
      <c r="G64" s="17" t="n"/>
      <c r="H64" s="17" t="n"/>
      <c r="I64" s="17" t="n"/>
      <c r="J64" s="16" t="n"/>
      <c r="K64" s="19" t="n"/>
      <c r="L64" s="9" t="n"/>
    </row>
    <row r="65">
      <c r="A65" s="17" t="n"/>
      <c r="B65" s="17" t="n"/>
      <c r="C65" s="10" t="n"/>
      <c r="D65" s="17" t="n"/>
      <c r="E65" s="24" t="n"/>
      <c r="F65" s="17" t="n"/>
      <c r="G65" s="17" t="n"/>
      <c r="H65" s="17" t="n"/>
      <c r="I65" s="17" t="n"/>
      <c r="J65" s="16" t="n"/>
      <c r="K65" s="19" t="n"/>
      <c r="L65" s="9" t="n"/>
    </row>
    <row r="66">
      <c r="A66" s="17" t="n"/>
      <c r="B66" s="17" t="n"/>
      <c r="C66" s="10" t="n"/>
      <c r="D66" s="17" t="n"/>
      <c r="E66" s="24" t="n"/>
      <c r="F66" s="17" t="n"/>
      <c r="G66" s="17" t="n"/>
      <c r="H66" s="17" t="n"/>
      <c r="I66" s="17" t="n"/>
      <c r="J66" s="16" t="n"/>
      <c r="K66" s="19" t="n"/>
      <c r="L66" s="9" t="n"/>
    </row>
    <row r="67">
      <c r="A67" s="17" t="n"/>
      <c r="B67" s="17" t="n"/>
      <c r="C67" s="10" t="n"/>
      <c r="D67" s="17" t="n"/>
      <c r="E67" s="24" t="n"/>
      <c r="F67" s="17" t="n"/>
      <c r="G67" s="17" t="n"/>
      <c r="H67" s="17" t="n"/>
      <c r="I67" s="17" t="n"/>
      <c r="J67" s="16" t="n"/>
      <c r="K67" s="19" t="n"/>
      <c r="L67" s="9" t="n"/>
    </row>
    <row r="68">
      <c r="A68" s="17" t="n"/>
      <c r="B68" s="17" t="n"/>
      <c r="C68" s="10" t="n"/>
      <c r="D68" s="17" t="n"/>
      <c r="E68" s="24" t="n"/>
      <c r="F68" s="17" t="n"/>
      <c r="G68" s="17" t="n"/>
      <c r="H68" s="17" t="n"/>
      <c r="I68" s="17" t="n"/>
      <c r="J68" s="16" t="n"/>
      <c r="K68" s="19" t="n"/>
      <c r="L68" s="9" t="n"/>
    </row>
    <row r="69">
      <c r="A69" s="17" t="n"/>
      <c r="B69" s="17" t="n"/>
      <c r="C69" s="10" t="n"/>
      <c r="D69" s="17" t="n"/>
      <c r="E69" s="24" t="n"/>
      <c r="F69" s="17" t="n"/>
      <c r="G69" s="17" t="n"/>
      <c r="H69" s="17" t="n"/>
      <c r="I69" s="17" t="n"/>
      <c r="J69" s="16" t="n"/>
      <c r="K69" s="19" t="n"/>
      <c r="L69" s="9" t="n"/>
    </row>
    <row r="70">
      <c r="A70" s="17" t="n"/>
      <c r="B70" s="17" t="n"/>
      <c r="C70" s="10" t="n"/>
      <c r="D70" s="17" t="n"/>
      <c r="E70" s="24" t="n"/>
      <c r="F70" s="17" t="n"/>
      <c r="G70" s="17" t="n"/>
      <c r="H70" s="17" t="n"/>
      <c r="I70" s="17" t="n"/>
      <c r="J70" s="16" t="n"/>
      <c r="K70" s="19" t="n"/>
      <c r="L70" s="9" t="n"/>
    </row>
    <row r="71">
      <c r="A71" s="17" t="n"/>
      <c r="B71" s="17" t="n"/>
      <c r="C71" s="10" t="n"/>
      <c r="D71" s="17" t="n"/>
      <c r="E71" s="24" t="n"/>
      <c r="F71" s="17" t="n"/>
      <c r="G71" s="17" t="n"/>
      <c r="H71" s="17" t="n"/>
      <c r="I71" s="17" t="n"/>
      <c r="J71" s="16" t="n"/>
      <c r="K71" s="19" t="n"/>
      <c r="L71" s="9" t="n"/>
    </row>
    <row r="72">
      <c r="A72" s="17" t="n"/>
      <c r="B72" s="17" t="n"/>
      <c r="C72" s="10" t="n"/>
      <c r="D72" s="17" t="n"/>
      <c r="E72" s="24" t="n"/>
      <c r="F72" s="17" t="n"/>
      <c r="G72" s="17" t="n"/>
      <c r="H72" s="17" t="n"/>
      <c r="I72" s="17" t="n"/>
      <c r="J72" s="16" t="n"/>
      <c r="K72" s="19" t="n"/>
      <c r="L72" s="9" t="n"/>
    </row>
    <row r="73">
      <c r="A73" s="17" t="n"/>
      <c r="B73" s="17" t="n"/>
      <c r="C73" s="10" t="n"/>
      <c r="D73" s="17" t="n"/>
      <c r="E73" s="24" t="n"/>
      <c r="F73" s="17" t="n"/>
      <c r="G73" s="17" t="n"/>
      <c r="H73" s="17" t="n"/>
      <c r="I73" s="17" t="n"/>
      <c r="J73" s="16" t="n"/>
      <c r="K73" s="19" t="n"/>
      <c r="L73" s="9" t="n"/>
    </row>
    <row r="74">
      <c r="A74" s="17" t="n"/>
      <c r="B74" s="17" t="n"/>
      <c r="C74" s="10" t="n"/>
      <c r="D74" s="17" t="n"/>
      <c r="E74" s="24" t="n"/>
      <c r="F74" s="17" t="n"/>
      <c r="G74" s="17" t="n"/>
      <c r="H74" s="17" t="n"/>
      <c r="I74" s="17" t="n"/>
      <c r="J74" s="16" t="n"/>
      <c r="K74" s="19" t="n"/>
      <c r="L74" s="9" t="n"/>
    </row>
    <row r="75">
      <c r="A75" s="17" t="n"/>
      <c r="B75" s="17" t="n"/>
      <c r="C75" s="10" t="n"/>
      <c r="D75" s="17" t="n"/>
      <c r="E75" s="24" t="n"/>
      <c r="F75" s="17" t="n"/>
      <c r="G75" s="17" t="n"/>
      <c r="H75" s="17" t="n"/>
      <c r="I75" s="17" t="n"/>
      <c r="J75" s="16" t="n"/>
      <c r="K75" s="19" t="n"/>
      <c r="L75" s="9" t="n"/>
    </row>
    <row r="76">
      <c r="A76" s="17" t="n"/>
      <c r="B76" s="17" t="n"/>
      <c r="C76" s="10" t="n"/>
      <c r="D76" s="17" t="n"/>
      <c r="E76" s="24" t="n"/>
      <c r="F76" s="17" t="n"/>
      <c r="G76" s="17" t="n"/>
      <c r="H76" s="17" t="n"/>
      <c r="I76" s="17" t="n"/>
      <c r="J76" s="16" t="n"/>
      <c r="K76" s="19" t="n"/>
      <c r="L76" s="9" t="n"/>
    </row>
    <row r="77">
      <c r="A77" s="17" t="n"/>
      <c r="B77" s="17" t="n"/>
      <c r="C77" s="10" t="n"/>
      <c r="D77" s="17" t="n"/>
      <c r="E77" s="24" t="n"/>
      <c r="F77" s="17" t="n"/>
      <c r="G77" s="17" t="n"/>
      <c r="H77" s="17" t="n"/>
      <c r="I77" s="17" t="n"/>
      <c r="J77" s="16" t="n"/>
      <c r="K77" s="19" t="n"/>
      <c r="L77" s="9" t="n"/>
    </row>
    <row r="78">
      <c r="A78" s="17" t="n"/>
      <c r="B78" s="17" t="n"/>
      <c r="C78" s="10" t="n"/>
      <c r="D78" s="17" t="n"/>
      <c r="E78" s="24" t="n"/>
      <c r="F78" s="17" t="n"/>
      <c r="G78" s="17" t="n"/>
      <c r="H78" s="17" t="n"/>
      <c r="I78" s="17" t="n"/>
      <c r="J78" s="16" t="n"/>
      <c r="K78" s="19" t="n"/>
      <c r="L78" s="9" t="n"/>
    </row>
    <row r="79">
      <c r="A79" s="17" t="n"/>
      <c r="B79" s="17" t="n"/>
      <c r="C79" s="10" t="n"/>
      <c r="D79" s="17" t="n"/>
      <c r="E79" s="24" t="n"/>
      <c r="F79" s="17" t="n"/>
      <c r="G79" s="17" t="n"/>
      <c r="H79" s="17" t="n"/>
      <c r="I79" s="17" t="n"/>
      <c r="J79" s="16" t="n"/>
      <c r="K79" s="19" t="n"/>
      <c r="L79" s="9" t="n"/>
    </row>
    <row r="80">
      <c r="A80" s="17" t="n"/>
      <c r="B80" s="17" t="n"/>
      <c r="C80" s="10" t="n"/>
      <c r="D80" s="17" t="n"/>
      <c r="E80" s="24" t="n"/>
      <c r="F80" s="17" t="n"/>
      <c r="G80" s="17" t="n"/>
      <c r="H80" s="17" t="n"/>
      <c r="I80" s="17" t="n"/>
      <c r="J80" s="16" t="n"/>
      <c r="K80" s="19" t="n"/>
      <c r="L80" s="9" t="n"/>
    </row>
    <row r="81">
      <c r="A81" s="17" t="n"/>
      <c r="B81" s="17" t="n"/>
      <c r="C81" s="10" t="n"/>
      <c r="D81" s="17" t="n"/>
      <c r="E81" s="24" t="n"/>
      <c r="F81" s="17" t="n"/>
      <c r="G81" s="17" t="n"/>
      <c r="H81" s="17" t="n"/>
      <c r="I81" s="17" t="n"/>
      <c r="J81" s="16" t="n"/>
      <c r="K81" s="19" t="n"/>
      <c r="L81" s="9" t="n"/>
    </row>
    <row r="82">
      <c r="A82" s="17" t="n"/>
      <c r="B82" s="17" t="n"/>
      <c r="C82" s="10" t="n"/>
      <c r="D82" s="17" t="n"/>
      <c r="E82" s="24" t="n"/>
      <c r="F82" s="17" t="n"/>
      <c r="G82" s="17" t="n"/>
      <c r="H82" s="17" t="n"/>
      <c r="I82" s="17" t="n"/>
      <c r="J82" s="16" t="n"/>
      <c r="K82" s="19" t="n"/>
      <c r="L82" s="9" t="n"/>
    </row>
    <row r="83">
      <c r="A83" s="17" t="n"/>
      <c r="B83" s="17" t="n"/>
      <c r="C83" s="10" t="n"/>
      <c r="D83" s="17" t="n"/>
      <c r="E83" s="24" t="n"/>
      <c r="F83" s="17" t="n"/>
      <c r="G83" s="17" t="n"/>
      <c r="H83" s="17" t="n"/>
      <c r="I83" s="17" t="n"/>
      <c r="J83" s="16" t="n"/>
      <c r="K83" s="19" t="n"/>
      <c r="L83" s="9" t="n"/>
    </row>
    <row r="84">
      <c r="A84" s="17" t="n"/>
      <c r="B84" s="17" t="n"/>
      <c r="C84" s="10" t="n"/>
      <c r="D84" s="17" t="n"/>
      <c r="E84" s="24" t="n"/>
      <c r="F84" s="17" t="n"/>
      <c r="G84" s="17" t="n"/>
      <c r="H84" s="17" t="n"/>
      <c r="I84" s="17" t="n"/>
      <c r="J84" s="16" t="n"/>
      <c r="K84" s="19" t="n"/>
      <c r="L84" s="9" t="n"/>
    </row>
    <row r="85">
      <c r="A85" s="17" t="n"/>
      <c r="B85" s="17" t="n"/>
      <c r="C85" s="10" t="n"/>
      <c r="D85" s="17" t="n"/>
      <c r="E85" s="24" t="n"/>
      <c r="F85" s="17" t="n"/>
      <c r="G85" s="17" t="n"/>
      <c r="H85" s="17" t="n"/>
      <c r="I85" s="17" t="n"/>
      <c r="J85" s="16" t="n"/>
      <c r="K85" s="19" t="n"/>
      <c r="L85" s="9" t="n"/>
    </row>
    <row r="86">
      <c r="A86" s="17" t="n"/>
      <c r="B86" s="17" t="n"/>
      <c r="C86" s="10" t="n"/>
      <c r="D86" s="17" t="n"/>
      <c r="E86" s="24" t="n"/>
      <c r="F86" s="17" t="n"/>
      <c r="G86" s="17" t="n"/>
      <c r="H86" s="17" t="n"/>
      <c r="I86" s="17" t="n"/>
      <c r="J86" s="16" t="n"/>
      <c r="K86" s="19" t="n"/>
      <c r="L86" s="9" t="n"/>
    </row>
    <row r="87">
      <c r="A87" s="17" t="n"/>
      <c r="B87" s="17" t="n"/>
      <c r="C87" s="10" t="n"/>
      <c r="D87" s="17" t="n"/>
      <c r="E87" s="24" t="n"/>
      <c r="F87" s="17" t="n"/>
      <c r="G87" s="17" t="n"/>
      <c r="H87" s="17" t="n"/>
      <c r="I87" s="17" t="n"/>
      <c r="J87" s="16" t="n"/>
      <c r="K87" s="19" t="n"/>
      <c r="L87" s="9" t="n"/>
    </row>
    <row r="88">
      <c r="A88" s="17" t="n"/>
      <c r="B88" s="17" t="n"/>
      <c r="C88" s="10" t="n"/>
      <c r="D88" s="17" t="n"/>
      <c r="E88" s="24" t="n"/>
      <c r="F88" s="17" t="n"/>
      <c r="G88" s="17" t="n"/>
      <c r="H88" s="17" t="n"/>
      <c r="I88" s="17" t="n"/>
      <c r="J88" s="16" t="n"/>
      <c r="K88" s="19" t="n"/>
      <c r="L88" s="9" t="n"/>
    </row>
    <row r="89">
      <c r="A89" s="17" t="n"/>
      <c r="B89" s="17" t="n"/>
      <c r="C89" s="10" t="n"/>
      <c r="D89" s="17" t="n"/>
      <c r="E89" s="24" t="n"/>
      <c r="F89" s="17" t="n"/>
      <c r="G89" s="17" t="n"/>
      <c r="H89" s="17" t="n"/>
      <c r="I89" s="17" t="n"/>
      <c r="J89" s="16" t="n"/>
      <c r="K89" s="19" t="n"/>
      <c r="L89" s="9" t="n"/>
    </row>
    <row r="90">
      <c r="A90" s="17" t="n"/>
      <c r="B90" s="17" t="n"/>
      <c r="C90" s="10" t="n"/>
      <c r="D90" s="17" t="n"/>
      <c r="E90" s="24" t="n"/>
      <c r="F90" s="17" t="n"/>
      <c r="G90" s="17" t="n"/>
      <c r="H90" s="17" t="n"/>
      <c r="I90" s="17" t="n"/>
      <c r="J90" s="16" t="n"/>
      <c r="K90" s="19" t="n"/>
      <c r="L90" s="9" t="n"/>
    </row>
    <row r="91">
      <c r="A91" s="17" t="n"/>
      <c r="B91" s="17" t="n"/>
      <c r="C91" s="10" t="n"/>
      <c r="D91" s="17" t="n"/>
      <c r="E91" s="24" t="n"/>
      <c r="F91" s="17" t="n"/>
      <c r="G91" s="17" t="n"/>
      <c r="H91" s="17" t="n"/>
      <c r="I91" s="17" t="n"/>
      <c r="J91" s="16" t="n"/>
      <c r="K91" s="19" t="n"/>
      <c r="L91" s="9" t="n"/>
    </row>
    <row r="92">
      <c r="A92" s="17" t="n"/>
      <c r="B92" s="17" t="n"/>
      <c r="C92" s="10" t="n"/>
      <c r="D92" s="17" t="n"/>
      <c r="E92" s="24" t="n"/>
      <c r="F92" s="17" t="n"/>
      <c r="G92" s="17" t="n"/>
      <c r="H92" s="17" t="n"/>
      <c r="I92" s="17" t="n"/>
      <c r="J92" s="16" t="n"/>
      <c r="K92" s="19" t="n"/>
      <c r="L92" s="9" t="n"/>
    </row>
    <row r="93">
      <c r="A93" s="17" t="n"/>
      <c r="B93" s="17" t="n"/>
      <c r="C93" s="10" t="n"/>
      <c r="D93" s="17" t="n"/>
      <c r="E93" s="24" t="n"/>
      <c r="F93" s="17" t="n"/>
      <c r="G93" s="17" t="n"/>
      <c r="H93" s="17" t="n"/>
      <c r="I93" s="17" t="n"/>
      <c r="J93" s="16" t="n"/>
      <c r="K93" s="19" t="n"/>
      <c r="L93" s="9" t="n"/>
    </row>
    <row r="94">
      <c r="A94" s="17" t="n"/>
      <c r="B94" s="17" t="n"/>
      <c r="C94" s="10" t="n"/>
      <c r="D94" s="17" t="n"/>
      <c r="E94" s="24" t="n"/>
      <c r="F94" s="17" t="n"/>
      <c r="G94" s="17" t="n"/>
      <c r="H94" s="17" t="n"/>
      <c r="I94" s="17" t="n"/>
      <c r="J94" s="16" t="n"/>
      <c r="K94" s="19" t="n"/>
      <c r="L94" s="9" t="n"/>
    </row>
    <row r="95">
      <c r="A95" s="17" t="n"/>
      <c r="B95" s="17" t="n"/>
      <c r="C95" s="10" t="n"/>
      <c r="D95" s="17" t="n"/>
      <c r="E95" s="24" t="n"/>
      <c r="F95" s="17" t="n"/>
      <c r="G95" s="17" t="n"/>
      <c r="H95" s="17" t="n"/>
      <c r="I95" s="17" t="n"/>
      <c r="J95" s="16" t="n"/>
      <c r="K95" s="19" t="n"/>
      <c r="L95" s="9" t="n"/>
    </row>
    <row r="96">
      <c r="A96" s="17" t="n"/>
      <c r="B96" s="17" t="n"/>
      <c r="C96" s="10" t="n"/>
      <c r="D96" s="17" t="n"/>
      <c r="E96" s="24" t="n"/>
      <c r="F96" s="17" t="n"/>
      <c r="G96" s="17" t="n"/>
      <c r="H96" s="17" t="n"/>
      <c r="I96" s="17" t="n"/>
      <c r="J96" s="16" t="n"/>
      <c r="K96" s="19" t="n"/>
      <c r="L96" s="9" t="n"/>
    </row>
    <row r="97">
      <c r="A97" s="17" t="n"/>
      <c r="B97" s="17" t="n"/>
      <c r="C97" s="10" t="n"/>
      <c r="D97" s="17" t="n"/>
      <c r="E97" s="24" t="n"/>
      <c r="F97" s="17" t="n"/>
      <c r="G97" s="17" t="n"/>
      <c r="H97" s="17" t="n"/>
      <c r="I97" s="17" t="n"/>
      <c r="J97" s="16" t="n"/>
      <c r="K97" s="19" t="n"/>
      <c r="L97" s="9" t="n"/>
    </row>
    <row r="98">
      <c r="A98" s="17" t="n"/>
      <c r="B98" s="17" t="n"/>
      <c r="C98" s="10" t="n"/>
      <c r="D98" s="17" t="n"/>
      <c r="E98" s="24" t="n"/>
      <c r="F98" s="17" t="n"/>
      <c r="G98" s="17" t="n"/>
      <c r="H98" s="17" t="n"/>
      <c r="I98" s="17" t="n"/>
      <c r="J98" s="16" t="n"/>
      <c r="K98" s="19" t="n"/>
      <c r="L98" s="9" t="n"/>
    </row>
    <row r="99">
      <c r="A99" s="17" t="n"/>
      <c r="B99" s="17" t="n"/>
      <c r="C99" s="10" t="n"/>
      <c r="D99" s="17" t="n"/>
      <c r="E99" s="24" t="n"/>
      <c r="F99" s="17" t="n"/>
      <c r="G99" s="17" t="n"/>
      <c r="H99" s="17" t="n"/>
      <c r="I99" s="17" t="n"/>
      <c r="J99" s="16" t="n"/>
      <c r="K99" s="19" t="n"/>
      <c r="L99" s="9" t="n"/>
    </row>
    <row r="100">
      <c r="A100" s="17" t="n"/>
      <c r="B100" s="17" t="n"/>
      <c r="C100" s="10" t="n"/>
      <c r="D100" s="17" t="n"/>
      <c r="E100" s="24" t="n"/>
      <c r="F100" s="17" t="n"/>
      <c r="G100" s="17" t="n"/>
      <c r="H100" s="17" t="n"/>
      <c r="I100" s="17" t="n"/>
      <c r="J100" s="16" t="n"/>
      <c r="K100" s="19" t="n"/>
      <c r="L100" s="9" t="n"/>
    </row>
    <row r="101">
      <c r="A101" s="17" t="n"/>
      <c r="B101" s="17" t="n"/>
      <c r="C101" s="10" t="n"/>
      <c r="D101" s="17" t="n"/>
      <c r="E101" s="24" t="n"/>
      <c r="F101" s="17" t="n"/>
      <c r="G101" s="17" t="n"/>
      <c r="H101" s="17" t="n"/>
      <c r="I101" s="17" t="n"/>
      <c r="J101" s="16" t="n"/>
      <c r="K101" s="19" t="n"/>
      <c r="L101" s="9" t="n"/>
    </row>
    <row r="102">
      <c r="A102" s="17" t="n"/>
      <c r="B102" s="17" t="n"/>
      <c r="C102" s="10" t="n"/>
      <c r="D102" s="17" t="n"/>
      <c r="E102" s="24" t="n"/>
      <c r="F102" s="17" t="n"/>
      <c r="G102" s="17" t="n"/>
      <c r="H102" s="17" t="n"/>
      <c r="I102" s="17" t="n"/>
      <c r="J102" s="16" t="n"/>
      <c r="K102" s="19" t="n"/>
      <c r="L102" s="9" t="n"/>
    </row>
    <row r="103">
      <c r="A103" s="17" t="n"/>
      <c r="B103" s="17" t="n"/>
      <c r="C103" s="10" t="n"/>
      <c r="D103" s="17" t="n"/>
      <c r="E103" s="24" t="n"/>
      <c r="F103" s="17" t="n"/>
      <c r="G103" s="17" t="n"/>
      <c r="H103" s="17" t="n"/>
      <c r="I103" s="17" t="n"/>
      <c r="J103" s="16" t="n"/>
      <c r="K103" s="19" t="n"/>
      <c r="L103" s="9" t="n"/>
    </row>
    <row r="104">
      <c r="A104" s="17" t="n"/>
      <c r="B104" s="17" t="n"/>
      <c r="C104" s="10" t="n"/>
      <c r="D104" s="17" t="n"/>
      <c r="E104" s="24" t="n"/>
      <c r="F104" s="17" t="n"/>
      <c r="G104" s="17" t="n"/>
      <c r="H104" s="17" t="n"/>
      <c r="I104" s="17" t="n"/>
      <c r="J104" s="16" t="n"/>
      <c r="K104" s="19" t="n"/>
      <c r="L104" s="9" t="n"/>
    </row>
    <row r="105">
      <c r="A105" s="17" t="n"/>
      <c r="B105" s="17" t="n"/>
      <c r="C105" s="10" t="n"/>
      <c r="D105" s="17" t="n"/>
      <c r="E105" s="24" t="n"/>
      <c r="F105" s="17" t="n"/>
      <c r="G105" s="17" t="n"/>
      <c r="H105" s="17" t="n"/>
      <c r="I105" s="17" t="n"/>
      <c r="J105" s="16" t="n"/>
      <c r="K105" s="19" t="n"/>
      <c r="L105" s="9" t="n"/>
    </row>
    <row r="106">
      <c r="A106" s="17" t="n"/>
      <c r="B106" s="17" t="n"/>
      <c r="C106" s="10" t="n"/>
      <c r="D106" s="17" t="n"/>
      <c r="E106" s="24" t="n"/>
      <c r="F106" s="17" t="n"/>
      <c r="G106" s="17" t="n"/>
      <c r="H106" s="17" t="n"/>
      <c r="I106" s="17" t="n"/>
      <c r="J106" s="16" t="n"/>
      <c r="K106" s="19" t="n"/>
      <c r="L106" s="9" t="n"/>
    </row>
    <row r="107">
      <c r="A107" s="17" t="n"/>
      <c r="B107" s="17" t="n"/>
      <c r="C107" s="10" t="n"/>
      <c r="D107" s="17" t="n"/>
      <c r="E107" s="24" t="n"/>
      <c r="F107" s="17" t="n"/>
      <c r="G107" s="17" t="n"/>
      <c r="H107" s="17" t="n"/>
      <c r="I107" s="17" t="n"/>
      <c r="J107" s="16" t="n"/>
      <c r="K107" s="19" t="n"/>
      <c r="L107" s="9" t="n"/>
    </row>
    <row r="108">
      <c r="A108" s="17" t="n"/>
      <c r="B108" s="17" t="n"/>
      <c r="C108" s="10" t="n"/>
      <c r="D108" s="17" t="n"/>
      <c r="E108" s="24" t="n"/>
      <c r="F108" s="17" t="n"/>
      <c r="G108" s="17" t="n"/>
      <c r="H108" s="17" t="n"/>
      <c r="I108" s="17" t="n"/>
      <c r="J108" s="16" t="n"/>
      <c r="K108" s="19" t="n"/>
      <c r="L108" s="9" t="n"/>
    </row>
    <row r="109">
      <c r="A109" s="17" t="n"/>
      <c r="B109" s="17" t="n"/>
      <c r="C109" s="10" t="n"/>
      <c r="D109" s="17" t="n"/>
      <c r="E109" s="24" t="n"/>
      <c r="F109" s="17" t="n"/>
      <c r="G109" s="17" t="n"/>
      <c r="H109" s="17" t="n"/>
      <c r="I109" s="17" t="n"/>
      <c r="J109" s="16" t="n"/>
      <c r="K109" s="19" t="n"/>
      <c r="L109" s="9" t="n"/>
    </row>
    <row r="110">
      <c r="A110" s="17" t="n"/>
      <c r="B110" s="17" t="n"/>
      <c r="C110" s="10" t="n"/>
      <c r="D110" s="17" t="n"/>
      <c r="E110" s="24" t="n"/>
      <c r="F110" s="17" t="n"/>
      <c r="G110" s="17" t="n"/>
      <c r="H110" s="17" t="n"/>
      <c r="I110" s="17" t="n"/>
      <c r="J110" s="16" t="n"/>
      <c r="K110" s="19" t="n"/>
      <c r="L110" s="9" t="n"/>
    </row>
    <row r="111">
      <c r="A111" s="17" t="n"/>
      <c r="B111" s="17" t="n"/>
      <c r="C111" s="10" t="n"/>
      <c r="D111" s="17" t="n"/>
      <c r="E111" s="24" t="n"/>
      <c r="F111" s="17" t="n"/>
      <c r="G111" s="17" t="n"/>
      <c r="H111" s="17" t="n"/>
      <c r="I111" s="17" t="n"/>
      <c r="J111" s="16" t="n"/>
      <c r="K111" s="19" t="n"/>
      <c r="L111" s="9" t="n"/>
    </row>
    <row r="112">
      <c r="A112" s="17" t="n"/>
      <c r="B112" s="17" t="n"/>
      <c r="C112" s="10" t="n"/>
      <c r="D112" s="17" t="n"/>
      <c r="E112" s="24" t="n"/>
      <c r="F112" s="17" t="n"/>
      <c r="G112" s="17" t="n"/>
      <c r="H112" s="17" t="n"/>
      <c r="I112" s="17" t="n"/>
      <c r="J112" s="16" t="n"/>
      <c r="K112" s="19" t="n"/>
      <c r="L112" s="9" t="n"/>
    </row>
    <row r="113">
      <c r="A113" s="17" t="n"/>
      <c r="B113" s="17" t="n"/>
      <c r="C113" s="10" t="n"/>
      <c r="D113" s="17" t="n"/>
      <c r="E113" s="24" t="n"/>
      <c r="F113" s="17" t="n"/>
      <c r="G113" s="17" t="n"/>
      <c r="H113" s="17" t="n"/>
      <c r="I113" s="17" t="n"/>
      <c r="J113" s="16" t="n"/>
      <c r="K113" s="19" t="n"/>
      <c r="L113" s="9" t="n"/>
    </row>
    <row r="114">
      <c r="A114" s="17" t="n"/>
      <c r="B114" s="17" t="n"/>
      <c r="C114" s="10" t="n"/>
      <c r="D114" s="17" t="n"/>
      <c r="E114" s="24" t="n"/>
      <c r="F114" s="17" t="n"/>
      <c r="G114" s="17" t="n"/>
      <c r="H114" s="17" t="n"/>
      <c r="I114" s="17" t="n"/>
      <c r="J114" s="16" t="n"/>
      <c r="K114" s="19" t="n"/>
      <c r="L114" s="9" t="n"/>
    </row>
    <row r="115">
      <c r="A115" s="17" t="n"/>
      <c r="B115" s="17" t="n"/>
      <c r="C115" s="10" t="n"/>
      <c r="D115" s="17" t="n"/>
      <c r="E115" s="24" t="n"/>
      <c r="F115" s="17" t="n"/>
      <c r="G115" s="17" t="n"/>
      <c r="H115" s="17" t="n"/>
      <c r="I115" s="17" t="n"/>
      <c r="J115" s="16" t="n"/>
      <c r="K115" s="19" t="n"/>
      <c r="L115" s="9" t="n"/>
    </row>
    <row r="116">
      <c r="A116" s="17" t="n"/>
      <c r="B116" s="17" t="n"/>
      <c r="C116" s="10" t="n"/>
      <c r="D116" s="17" t="n"/>
      <c r="E116" s="24" t="n"/>
      <c r="F116" s="17" t="n"/>
      <c r="G116" s="17" t="n"/>
      <c r="H116" s="17" t="n"/>
      <c r="I116" s="17" t="n"/>
      <c r="J116" s="16" t="n"/>
      <c r="K116" s="19" t="n"/>
      <c r="L116" s="9" t="n"/>
    </row>
    <row r="117">
      <c r="A117" s="17" t="n"/>
      <c r="B117" s="17" t="n"/>
      <c r="C117" s="10" t="n"/>
      <c r="D117" s="17" t="n"/>
      <c r="E117" s="24" t="n"/>
      <c r="F117" s="17" t="n"/>
      <c r="G117" s="17" t="n"/>
      <c r="H117" s="17" t="n"/>
      <c r="I117" s="17" t="n"/>
      <c r="J117" s="16" t="n"/>
      <c r="K117" s="19" t="n"/>
      <c r="L117" s="9" t="n"/>
    </row>
    <row r="118">
      <c r="A118" s="17" t="n"/>
      <c r="B118" s="17" t="n"/>
      <c r="C118" s="10" t="n"/>
      <c r="D118" s="17" t="n"/>
      <c r="E118" s="24" t="n"/>
      <c r="F118" s="17" t="n"/>
      <c r="G118" s="17" t="n"/>
      <c r="H118" s="17" t="n"/>
      <c r="I118" s="17" t="n"/>
      <c r="J118" s="16" t="n"/>
      <c r="K118" s="19" t="n"/>
      <c r="L118" s="9" t="n"/>
    </row>
    <row r="119">
      <c r="A119" s="17" t="n"/>
      <c r="B119" s="17" t="n"/>
      <c r="C119" s="10" t="n"/>
      <c r="D119" s="17" t="n"/>
      <c r="E119" s="24" t="n"/>
      <c r="F119" s="17" t="n"/>
      <c r="G119" s="17" t="n"/>
      <c r="H119" s="17" t="n"/>
      <c r="I119" s="17" t="n"/>
      <c r="J119" s="16" t="n"/>
      <c r="K119" s="19" t="n"/>
      <c r="L119" s="9" t="n"/>
    </row>
    <row r="120">
      <c r="A120" s="17" t="n"/>
      <c r="B120" s="17" t="n"/>
      <c r="C120" s="10" t="n"/>
      <c r="D120" s="17" t="n"/>
      <c r="E120" s="24" t="n"/>
      <c r="F120" s="17" t="n"/>
      <c r="G120" s="17" t="n"/>
      <c r="H120" s="17" t="n"/>
      <c r="I120" s="17" t="n"/>
      <c r="J120" s="16" t="n"/>
      <c r="K120" s="19" t="n"/>
      <c r="L120" s="9" t="n"/>
    </row>
    <row r="121">
      <c r="A121" s="17" t="n"/>
      <c r="B121" s="17" t="n"/>
      <c r="C121" s="10" t="n"/>
      <c r="D121" s="17" t="n"/>
      <c r="E121" s="24" t="n"/>
      <c r="F121" s="17" t="n"/>
      <c r="G121" s="17" t="n"/>
      <c r="H121" s="17" t="n"/>
      <c r="I121" s="17" t="n"/>
      <c r="J121" s="16" t="n"/>
      <c r="K121" s="19" t="n"/>
      <c r="L121" s="9" t="n"/>
    </row>
    <row r="122">
      <c r="A122" s="17" t="n"/>
      <c r="B122" s="17" t="n"/>
      <c r="C122" s="10" t="n"/>
      <c r="D122" s="17" t="n"/>
      <c r="E122" s="24" t="n"/>
      <c r="F122" s="17" t="n"/>
      <c r="G122" s="17" t="n"/>
      <c r="H122" s="17" t="n"/>
      <c r="I122" s="17" t="n"/>
      <c r="J122" s="16" t="n"/>
      <c r="K122" s="19" t="n"/>
      <c r="L122" s="9" t="n"/>
    </row>
    <row r="123">
      <c r="A123" s="17" t="n"/>
      <c r="B123" s="17" t="n"/>
      <c r="C123" s="10" t="n"/>
      <c r="D123" s="17" t="n"/>
      <c r="E123" s="24" t="n"/>
      <c r="F123" s="17" t="n"/>
      <c r="G123" s="17" t="n"/>
      <c r="H123" s="17" t="n"/>
      <c r="I123" s="17" t="n"/>
      <c r="J123" s="16" t="n"/>
      <c r="K123" s="19" t="n"/>
      <c r="L123" s="9" t="n"/>
    </row>
    <row r="124">
      <c r="A124" s="17" t="n"/>
      <c r="B124" s="17" t="n"/>
      <c r="C124" s="10" t="n"/>
      <c r="D124" s="17" t="n"/>
      <c r="E124" s="24" t="n"/>
      <c r="F124" s="17" t="n"/>
      <c r="G124" s="17" t="n"/>
      <c r="H124" s="17" t="n"/>
      <c r="I124" s="17" t="n"/>
      <c r="J124" s="16" t="n"/>
      <c r="K124" s="19" t="n"/>
      <c r="L124" s="9" t="n"/>
    </row>
    <row r="125">
      <c r="A125" s="17" t="n"/>
      <c r="B125" s="17" t="n"/>
      <c r="C125" s="10" t="n"/>
      <c r="D125" s="17" t="n"/>
      <c r="E125" s="24" t="n"/>
      <c r="F125" s="17" t="n"/>
      <c r="G125" s="17" t="n"/>
      <c r="H125" s="17" t="n"/>
      <c r="I125" s="17" t="n"/>
      <c r="J125" s="16" t="n"/>
      <c r="K125" s="19" t="n"/>
      <c r="L125" s="9" t="n"/>
    </row>
    <row r="126">
      <c r="A126" s="17" t="n"/>
      <c r="B126" s="17" t="n"/>
      <c r="C126" s="10" t="n"/>
      <c r="D126" s="17" t="n"/>
      <c r="E126" s="24" t="n"/>
      <c r="F126" s="17" t="n"/>
      <c r="G126" s="17" t="n"/>
      <c r="H126" s="17" t="n"/>
      <c r="I126" s="17" t="n"/>
      <c r="J126" s="16" t="n"/>
      <c r="K126" s="19" t="n"/>
      <c r="L126" s="9" t="n"/>
    </row>
    <row r="127">
      <c r="A127" s="17" t="n"/>
      <c r="B127" s="17" t="n"/>
      <c r="C127" s="10" t="n"/>
      <c r="D127" s="17" t="n"/>
      <c r="E127" s="24" t="n"/>
      <c r="F127" s="17" t="n"/>
      <c r="G127" s="17" t="n"/>
      <c r="H127" s="17" t="n"/>
      <c r="I127" s="17" t="n"/>
      <c r="J127" s="16" t="n"/>
      <c r="K127" s="19" t="n"/>
      <c r="L127" s="9" t="n"/>
    </row>
    <row r="128">
      <c r="A128" s="17" t="n"/>
      <c r="B128" s="17" t="n"/>
      <c r="C128" s="10" t="n"/>
      <c r="D128" s="17" t="n"/>
      <c r="E128" s="24" t="n"/>
      <c r="F128" s="17" t="n"/>
      <c r="G128" s="17" t="n"/>
      <c r="H128" s="17" t="n"/>
      <c r="I128" s="17" t="n"/>
      <c r="J128" s="16" t="n"/>
      <c r="K128" s="19" t="n"/>
      <c r="L128" s="9" t="n"/>
    </row>
    <row r="129">
      <c r="A129" s="17" t="n"/>
      <c r="B129" s="17" t="n"/>
      <c r="C129" s="10" t="n"/>
      <c r="D129" s="17" t="n"/>
      <c r="E129" s="24" t="n"/>
      <c r="F129" s="17" t="n"/>
      <c r="G129" s="17" t="n"/>
      <c r="H129" s="17" t="n"/>
      <c r="I129" s="17" t="n"/>
      <c r="J129" s="16" t="n"/>
      <c r="K129" s="19" t="n"/>
      <c r="L129" s="9" t="n"/>
    </row>
    <row r="130">
      <c r="A130" s="17" t="n"/>
      <c r="B130" s="17" t="n"/>
      <c r="C130" s="10" t="n"/>
      <c r="D130" s="17" t="n"/>
      <c r="E130" s="24" t="n"/>
      <c r="F130" s="17" t="n"/>
      <c r="G130" s="17" t="n"/>
      <c r="H130" s="17" t="n"/>
      <c r="I130" s="17" t="n"/>
      <c r="J130" s="16" t="n"/>
      <c r="K130" s="19" t="n"/>
      <c r="L130" s="9" t="n"/>
    </row>
    <row r="131">
      <c r="A131" s="17" t="n"/>
      <c r="B131" s="17" t="n"/>
      <c r="C131" s="10" t="n"/>
      <c r="D131" s="17" t="n"/>
      <c r="E131" s="24" t="n"/>
      <c r="F131" s="17" t="n"/>
      <c r="G131" s="17" t="n"/>
      <c r="H131" s="17" t="n"/>
      <c r="I131" s="17" t="n"/>
      <c r="J131" s="16" t="n"/>
      <c r="K131" s="19" t="n"/>
      <c r="L131" s="9" t="n"/>
    </row>
    <row r="132">
      <c r="A132" s="17" t="n"/>
      <c r="B132" s="17" t="n"/>
      <c r="C132" s="10" t="n"/>
      <c r="D132" s="17" t="n"/>
      <c r="E132" s="24" t="n"/>
      <c r="F132" s="17" t="n"/>
      <c r="G132" s="17" t="n"/>
      <c r="H132" s="17" t="n"/>
      <c r="I132" s="17" t="n"/>
      <c r="J132" s="16" t="n"/>
      <c r="K132" s="19" t="n"/>
      <c r="L132" s="9" t="n"/>
    </row>
    <row r="133">
      <c r="A133" s="17" t="n"/>
      <c r="B133" s="17" t="n"/>
      <c r="C133" s="10" t="n"/>
      <c r="D133" s="17" t="n"/>
      <c r="E133" s="24" t="n"/>
      <c r="F133" s="17" t="n"/>
      <c r="G133" s="17" t="n"/>
      <c r="H133" s="17" t="n"/>
      <c r="I133" s="17" t="n"/>
      <c r="J133" s="16" t="n"/>
      <c r="K133" s="19" t="n"/>
      <c r="L133" s="9" t="n"/>
    </row>
    <row r="134">
      <c r="A134" s="17" t="n"/>
      <c r="B134" s="17" t="n"/>
      <c r="C134" s="10" t="n"/>
      <c r="D134" s="17" t="n"/>
      <c r="E134" s="24" t="n"/>
      <c r="F134" s="17" t="n"/>
      <c r="G134" s="17" t="n"/>
      <c r="H134" s="17" t="n"/>
      <c r="I134" s="17" t="n"/>
      <c r="J134" s="16" t="n"/>
      <c r="K134" s="19" t="n"/>
      <c r="L134" s="9" t="n"/>
    </row>
    <row r="135">
      <c r="A135" s="17" t="n"/>
      <c r="B135" s="17" t="n"/>
      <c r="C135" s="10" t="n"/>
      <c r="D135" s="17" t="n"/>
      <c r="E135" s="24" t="n"/>
      <c r="F135" s="17" t="n"/>
      <c r="G135" s="17" t="n"/>
      <c r="H135" s="17" t="n"/>
      <c r="I135" s="17" t="n"/>
      <c r="J135" s="16" t="n"/>
      <c r="K135" s="19" t="n"/>
      <c r="L135" s="9" t="n"/>
    </row>
    <row r="136">
      <c r="A136" s="17" t="n"/>
      <c r="B136" s="17" t="n"/>
      <c r="C136" s="10" t="n"/>
      <c r="D136" s="17" t="n"/>
      <c r="E136" s="24" t="n"/>
      <c r="F136" s="17" t="n"/>
      <c r="G136" s="17" t="n"/>
      <c r="H136" s="17" t="n"/>
      <c r="I136" s="17" t="n"/>
      <c r="J136" s="16" t="n"/>
      <c r="K136" s="19" t="n"/>
      <c r="L136" s="9" t="n"/>
    </row>
    <row r="137">
      <c r="A137" s="17" t="n"/>
      <c r="B137" s="17" t="n"/>
      <c r="C137" s="10" t="n"/>
      <c r="D137" s="17" t="n"/>
      <c r="E137" s="24" t="n"/>
      <c r="F137" s="17" t="n"/>
      <c r="G137" s="17" t="n"/>
      <c r="H137" s="17" t="n"/>
      <c r="I137" s="17" t="n"/>
      <c r="J137" s="16" t="n"/>
      <c r="K137" s="19" t="n"/>
      <c r="L137" s="9" t="n"/>
    </row>
    <row r="138">
      <c r="A138" s="17" t="n"/>
      <c r="B138" s="17" t="n"/>
      <c r="C138" s="10" t="n"/>
      <c r="D138" s="17" t="n"/>
      <c r="E138" s="24" t="n"/>
      <c r="F138" s="17" t="n"/>
      <c r="G138" s="17" t="n"/>
      <c r="H138" s="17" t="n"/>
      <c r="I138" s="17" t="n"/>
      <c r="J138" s="16" t="n"/>
      <c r="K138" s="19" t="n"/>
      <c r="L138" s="9" t="n"/>
    </row>
    <row r="139">
      <c r="A139" s="17" t="n"/>
      <c r="B139" s="17" t="n"/>
      <c r="C139" s="10" t="n"/>
      <c r="D139" s="17" t="n"/>
      <c r="E139" s="24" t="n"/>
      <c r="F139" s="17" t="n"/>
      <c r="G139" s="17" t="n"/>
      <c r="H139" s="17" t="n"/>
      <c r="I139" s="17" t="n"/>
      <c r="J139" s="16" t="n"/>
      <c r="K139" s="19" t="n"/>
      <c r="L139" s="9" t="n"/>
    </row>
    <row r="140">
      <c r="A140" s="17" t="n"/>
      <c r="B140" s="17" t="n"/>
      <c r="C140" s="10" t="n"/>
      <c r="D140" s="17" t="n"/>
      <c r="E140" s="24" t="n"/>
      <c r="F140" s="17" t="n"/>
      <c r="G140" s="17" t="n"/>
      <c r="H140" s="17" t="n"/>
      <c r="I140" s="17" t="n"/>
      <c r="J140" s="16" t="n"/>
      <c r="K140" s="19" t="n"/>
      <c r="L140" s="9" t="n"/>
    </row>
    <row r="141">
      <c r="A141" s="17" t="n"/>
      <c r="B141" s="17" t="n"/>
      <c r="C141" s="10" t="n"/>
      <c r="D141" s="17" t="n"/>
      <c r="E141" s="24" t="n"/>
      <c r="F141" s="17" t="n"/>
      <c r="G141" s="17" t="n"/>
      <c r="H141" s="17" t="n"/>
      <c r="I141" s="17" t="n"/>
      <c r="J141" s="16" t="n"/>
      <c r="K141" s="19" t="n"/>
      <c r="L141" s="9" t="n"/>
    </row>
    <row r="142">
      <c r="A142" s="17" t="n"/>
      <c r="B142" s="17" t="n"/>
      <c r="C142" s="10" t="n"/>
      <c r="D142" s="17" t="n"/>
      <c r="E142" s="24" t="n"/>
      <c r="F142" s="17" t="n"/>
      <c r="G142" s="17" t="n"/>
      <c r="H142" s="17" t="n"/>
      <c r="I142" s="17" t="n"/>
      <c r="J142" s="16" t="n"/>
      <c r="K142" s="19" t="n"/>
      <c r="L142" s="9" t="n"/>
    </row>
    <row r="143">
      <c r="A143" s="17" t="n"/>
      <c r="B143" s="17" t="n"/>
      <c r="C143" s="10" t="n"/>
      <c r="D143" s="17" t="n"/>
      <c r="E143" s="24" t="n"/>
      <c r="F143" s="17" t="n"/>
      <c r="G143" s="17" t="n"/>
      <c r="H143" s="17" t="n"/>
      <c r="I143" s="17" t="n"/>
      <c r="J143" s="16" t="n"/>
      <c r="K143" s="19" t="n"/>
      <c r="L143" s="9" t="n"/>
    </row>
    <row r="144">
      <c r="A144" s="17" t="n"/>
      <c r="B144" s="17" t="n"/>
      <c r="C144" s="10" t="n"/>
      <c r="D144" s="17" t="n"/>
      <c r="E144" s="24" t="n"/>
      <c r="F144" s="17" t="n"/>
      <c r="G144" s="17" t="n"/>
      <c r="H144" s="17" t="n"/>
      <c r="I144" s="17" t="n"/>
      <c r="J144" s="16" t="n"/>
      <c r="K144" s="19" t="n"/>
      <c r="L144" s="9" t="n"/>
    </row>
    <row r="145">
      <c r="A145" s="17" t="n"/>
      <c r="B145" s="17" t="n"/>
      <c r="C145" s="10" t="n"/>
      <c r="D145" s="17" t="n"/>
      <c r="E145" s="24" t="n"/>
      <c r="F145" s="17" t="n"/>
      <c r="G145" s="17" t="n"/>
      <c r="H145" s="17" t="n"/>
      <c r="I145" s="17" t="n"/>
      <c r="J145" s="16" t="n"/>
      <c r="K145" s="19" t="n"/>
      <c r="L145" s="9" t="n"/>
    </row>
    <row r="146">
      <c r="A146" s="17" t="n"/>
      <c r="B146" s="17" t="n"/>
      <c r="C146" s="10" t="n"/>
      <c r="D146" s="17" t="n"/>
      <c r="E146" s="24" t="n"/>
      <c r="F146" s="17" t="n"/>
      <c r="G146" s="17" t="n"/>
      <c r="H146" s="17" t="n"/>
      <c r="I146" s="17" t="n"/>
      <c r="J146" s="16" t="n"/>
      <c r="K146" s="19" t="n"/>
      <c r="L146" s="9" t="n"/>
    </row>
    <row r="147">
      <c r="A147" s="17" t="n"/>
      <c r="B147" s="17" t="n"/>
      <c r="C147" s="10" t="n"/>
      <c r="D147" s="17" t="n"/>
      <c r="E147" s="24" t="n"/>
      <c r="F147" s="17" t="n"/>
      <c r="G147" s="17" t="n"/>
      <c r="H147" s="17" t="n"/>
      <c r="I147" s="17" t="n"/>
      <c r="J147" s="16" t="n"/>
      <c r="K147" s="19" t="n"/>
      <c r="L147" s="9" t="n"/>
    </row>
    <row r="148">
      <c r="A148" s="17" t="n"/>
      <c r="B148" s="17" t="n"/>
      <c r="C148" s="10" t="n"/>
      <c r="D148" s="17" t="n"/>
      <c r="E148" s="24" t="n"/>
      <c r="F148" s="17" t="n"/>
      <c r="G148" s="17" t="n"/>
      <c r="H148" s="17" t="n"/>
      <c r="I148" s="17" t="n"/>
      <c r="J148" s="16" t="n"/>
      <c r="K148" s="19" t="n"/>
      <c r="L148" s="9" t="n"/>
    </row>
    <row r="149">
      <c r="A149" s="17" t="n"/>
      <c r="B149" s="17" t="n"/>
      <c r="C149" s="10" t="n"/>
      <c r="D149" s="17" t="n"/>
      <c r="E149" s="24" t="n"/>
      <c r="F149" s="17" t="n"/>
      <c r="G149" s="17" t="n"/>
      <c r="H149" s="17" t="n"/>
      <c r="I149" s="17" t="n"/>
      <c r="J149" s="16" t="n"/>
      <c r="K149" s="19" t="n"/>
      <c r="L149" s="9" t="n"/>
    </row>
    <row r="150">
      <c r="A150" s="17" t="n"/>
      <c r="B150" s="17" t="n"/>
      <c r="C150" s="10" t="n"/>
      <c r="D150" s="17" t="n"/>
      <c r="E150" s="24" t="n"/>
      <c r="F150" s="17" t="n"/>
      <c r="G150" s="17" t="n"/>
      <c r="H150" s="17" t="n"/>
      <c r="I150" s="17" t="n"/>
      <c r="J150" s="16" t="n"/>
      <c r="K150" s="19" t="n"/>
      <c r="L150" s="9" t="n"/>
    </row>
    <row r="151">
      <c r="A151" s="17" t="n"/>
      <c r="B151" s="17" t="n"/>
      <c r="C151" s="10" t="n"/>
      <c r="D151" s="17" t="n"/>
      <c r="E151" s="24" t="n"/>
      <c r="F151" s="17" t="n"/>
      <c r="G151" s="17" t="n"/>
      <c r="H151" s="17" t="n"/>
      <c r="I151" s="17" t="n"/>
      <c r="J151" s="16" t="n"/>
      <c r="K151" s="19" t="n"/>
      <c r="L151" s="9" t="n"/>
    </row>
    <row r="152">
      <c r="A152" s="17" t="n"/>
      <c r="B152" s="17" t="n"/>
      <c r="C152" s="10" t="n"/>
      <c r="D152" s="17" t="n"/>
      <c r="E152" s="24" t="n"/>
      <c r="F152" s="17" t="n"/>
      <c r="G152" s="17" t="n"/>
      <c r="H152" s="17" t="n"/>
      <c r="I152" s="17" t="n"/>
      <c r="J152" s="16" t="n"/>
      <c r="K152" s="19" t="n"/>
      <c r="L152" s="9" t="n"/>
    </row>
    <row r="153">
      <c r="A153" s="17" t="n"/>
      <c r="B153" s="17" t="n"/>
      <c r="C153" s="10" t="n"/>
      <c r="D153" s="17" t="n"/>
      <c r="E153" s="24" t="n"/>
      <c r="F153" s="17" t="n"/>
      <c r="G153" s="17" t="n"/>
      <c r="H153" s="17" t="n"/>
      <c r="I153" s="17" t="n"/>
      <c r="J153" s="16" t="n"/>
      <c r="K153" s="19" t="n"/>
      <c r="L153" s="9" t="n"/>
    </row>
    <row r="154">
      <c r="A154" s="17" t="n"/>
      <c r="B154" s="17" t="n"/>
      <c r="C154" s="10" t="n"/>
      <c r="D154" s="17" t="n"/>
      <c r="E154" s="24" t="n"/>
      <c r="F154" s="17" t="n"/>
      <c r="G154" s="17" t="n"/>
      <c r="H154" s="17" t="n"/>
      <c r="I154" s="17" t="n"/>
      <c r="J154" s="16" t="n"/>
      <c r="K154" s="19" t="n"/>
      <c r="L154" s="9" t="n"/>
    </row>
    <row r="155">
      <c r="A155" s="17" t="n"/>
      <c r="B155" s="17" t="n"/>
      <c r="C155" s="10" t="n"/>
      <c r="D155" s="17" t="n"/>
      <c r="E155" s="24" t="n"/>
      <c r="F155" s="17" t="n"/>
      <c r="G155" s="17" t="n"/>
      <c r="H155" s="17" t="n"/>
      <c r="I155" s="17" t="n"/>
      <c r="J155" s="16" t="n"/>
      <c r="K155" s="19" t="n"/>
      <c r="L155" s="9" t="n"/>
    </row>
    <row r="156">
      <c r="A156" s="17" t="n"/>
      <c r="B156" s="17" t="n"/>
      <c r="C156" s="10" t="n"/>
      <c r="D156" s="17" t="n"/>
      <c r="E156" s="24" t="n"/>
      <c r="F156" s="17" t="n"/>
      <c r="G156" s="17" t="n"/>
      <c r="H156" s="17" t="n"/>
      <c r="I156" s="17" t="n"/>
      <c r="J156" s="16" t="n"/>
      <c r="K156" s="19" t="n"/>
      <c r="L156" s="9" t="n"/>
    </row>
    <row r="157">
      <c r="A157" s="17" t="n"/>
      <c r="B157" s="17" t="n"/>
      <c r="C157" s="10" t="n"/>
      <c r="D157" s="17" t="n"/>
      <c r="E157" s="24" t="n"/>
      <c r="F157" s="17" t="n"/>
      <c r="G157" s="17" t="n"/>
      <c r="H157" s="17" t="n"/>
      <c r="I157" s="17" t="n"/>
      <c r="J157" s="16" t="n"/>
      <c r="K157" s="19" t="n"/>
      <c r="L157" s="9" t="n"/>
    </row>
    <row r="158">
      <c r="A158" s="17" t="n"/>
      <c r="B158" s="17" t="n"/>
      <c r="C158" s="10" t="n"/>
      <c r="D158" s="17" t="n"/>
      <c r="E158" s="24" t="n"/>
      <c r="F158" s="17" t="n"/>
      <c r="G158" s="17" t="n"/>
      <c r="H158" s="17" t="n"/>
      <c r="I158" s="17" t="n"/>
      <c r="J158" s="16" t="n"/>
      <c r="K158" s="19" t="n"/>
      <c r="L158" s="9" t="n"/>
    </row>
    <row r="159">
      <c r="A159" s="17" t="n"/>
      <c r="B159" s="17" t="n"/>
      <c r="C159" s="10" t="n"/>
      <c r="D159" s="17" t="n"/>
      <c r="E159" s="24" t="n"/>
      <c r="F159" s="17" t="n"/>
      <c r="G159" s="17" t="n"/>
      <c r="H159" s="17" t="n"/>
      <c r="I159" s="17" t="n"/>
      <c r="J159" s="16" t="n"/>
      <c r="K159" s="19" t="n"/>
      <c r="L159" s="9" t="n"/>
    </row>
    <row r="160">
      <c r="A160" s="17" t="n"/>
      <c r="B160" s="17" t="n"/>
      <c r="C160" s="10" t="n"/>
      <c r="D160" s="17" t="n"/>
      <c r="E160" s="24" t="n"/>
      <c r="F160" s="17" t="n"/>
      <c r="G160" s="17" t="n"/>
      <c r="H160" s="17" t="n"/>
      <c r="I160" s="17" t="n"/>
      <c r="J160" s="16" t="n"/>
      <c r="K160" s="19" t="n"/>
      <c r="L160" s="9" t="n"/>
    </row>
    <row r="161">
      <c r="A161" s="17" t="n"/>
      <c r="B161" s="17" t="n"/>
      <c r="C161" s="10" t="n"/>
      <c r="D161" s="17" t="n"/>
      <c r="E161" s="24" t="n"/>
      <c r="F161" s="17" t="n"/>
      <c r="G161" s="17" t="n"/>
      <c r="H161" s="17" t="n"/>
      <c r="I161" s="17" t="n"/>
      <c r="J161" s="16" t="n"/>
      <c r="K161" s="19" t="n"/>
      <c r="L161" s="9" t="n"/>
    </row>
    <row r="162">
      <c r="A162" s="17" t="n"/>
      <c r="B162" s="17" t="n"/>
      <c r="C162" s="10" t="n"/>
      <c r="D162" s="17" t="n"/>
      <c r="E162" s="24" t="n"/>
      <c r="F162" s="17" t="n"/>
      <c r="G162" s="17" t="n"/>
      <c r="H162" s="17" t="n"/>
      <c r="I162" s="17" t="n"/>
      <c r="J162" s="16" t="n"/>
      <c r="K162" s="19" t="n"/>
      <c r="L162" s="9" t="n"/>
    </row>
    <row r="163">
      <c r="A163" s="17" t="n"/>
      <c r="B163" s="17" t="n"/>
      <c r="C163" s="10" t="n"/>
      <c r="D163" s="17" t="n"/>
      <c r="E163" s="24" t="n"/>
      <c r="F163" s="17" t="n"/>
      <c r="G163" s="17" t="n"/>
      <c r="H163" s="17" t="n"/>
      <c r="I163" s="17" t="n"/>
      <c r="J163" s="16" t="n"/>
      <c r="K163" s="19" t="n"/>
      <c r="L163" s="9" t="n"/>
    </row>
    <row r="164">
      <c r="A164" s="17" t="n"/>
      <c r="B164" s="17" t="n"/>
      <c r="C164" s="10" t="n"/>
      <c r="D164" s="17" t="n"/>
      <c r="E164" s="24" t="n"/>
      <c r="F164" s="17" t="n"/>
      <c r="G164" s="17" t="n"/>
      <c r="H164" s="17" t="n"/>
      <c r="I164" s="17" t="n"/>
      <c r="J164" s="16" t="n"/>
      <c r="K164" s="19" t="n"/>
      <c r="L164" s="9" t="n"/>
    </row>
    <row r="165">
      <c r="A165" s="17" t="n"/>
      <c r="B165" s="17" t="n"/>
      <c r="C165" s="10" t="n"/>
      <c r="D165" s="17" t="n"/>
      <c r="E165" s="24" t="n"/>
      <c r="F165" s="17" t="n"/>
      <c r="G165" s="17" t="n"/>
      <c r="H165" s="17" t="n"/>
      <c r="I165" s="17" t="n"/>
      <c r="J165" s="16" t="n"/>
      <c r="K165" s="19" t="n"/>
      <c r="L165" s="9" t="n"/>
    </row>
    <row r="166">
      <c r="A166" s="17" t="n"/>
      <c r="B166" s="17" t="n"/>
      <c r="C166" s="10" t="n"/>
      <c r="D166" s="17" t="n"/>
      <c r="E166" s="24" t="n"/>
      <c r="F166" s="17" t="n"/>
      <c r="G166" s="17" t="n"/>
      <c r="H166" s="17" t="n"/>
      <c r="I166" s="17" t="n"/>
      <c r="J166" s="16" t="n"/>
      <c r="K166" s="19" t="n"/>
      <c r="L166" s="9" t="n"/>
    </row>
    <row r="167">
      <c r="A167" s="17" t="n"/>
      <c r="B167" s="17" t="n"/>
      <c r="C167" s="10" t="n"/>
      <c r="D167" s="17" t="n"/>
      <c r="E167" s="24" t="n"/>
      <c r="F167" s="17" t="n"/>
      <c r="G167" s="17" t="n"/>
      <c r="H167" s="17" t="n"/>
      <c r="I167" s="17" t="n"/>
      <c r="J167" s="16" t="n"/>
      <c r="K167" s="19" t="n"/>
      <c r="L167" s="9" t="n"/>
    </row>
    <row r="168">
      <c r="A168" s="17" t="n"/>
      <c r="B168" s="17" t="n"/>
      <c r="C168" s="10" t="n"/>
      <c r="D168" s="17" t="n"/>
      <c r="E168" s="24" t="n"/>
      <c r="F168" s="17" t="n"/>
      <c r="G168" s="17" t="n"/>
      <c r="H168" s="17" t="n"/>
      <c r="I168" s="17" t="n"/>
      <c r="J168" s="16" t="n"/>
      <c r="K168" s="19" t="n"/>
      <c r="L168" s="9" t="n"/>
    </row>
    <row r="169">
      <c r="A169" s="17" t="n"/>
      <c r="B169" s="17" t="n"/>
      <c r="C169" s="10" t="n"/>
      <c r="D169" s="17" t="n"/>
      <c r="E169" s="24" t="n"/>
      <c r="F169" s="17" t="n"/>
      <c r="G169" s="17" t="n"/>
      <c r="H169" s="17" t="n"/>
      <c r="I169" s="17" t="n"/>
      <c r="J169" s="16" t="n"/>
      <c r="K169" s="19" t="n"/>
      <c r="L169" s="9" t="n"/>
    </row>
    <row r="170">
      <c r="A170" s="17" t="n"/>
      <c r="B170" s="17" t="n"/>
      <c r="C170" s="10" t="n"/>
      <c r="D170" s="17" t="n"/>
      <c r="E170" s="24" t="n"/>
      <c r="F170" s="17" t="n"/>
      <c r="G170" s="17" t="n"/>
      <c r="H170" s="17" t="n"/>
      <c r="I170" s="17" t="n"/>
      <c r="J170" s="16" t="n"/>
      <c r="K170" s="19" t="n"/>
      <c r="L170" s="9" t="n"/>
    </row>
    <row r="171">
      <c r="A171" s="17" t="n"/>
      <c r="B171" s="17" t="n"/>
      <c r="C171" s="10" t="n"/>
      <c r="D171" s="17" t="n"/>
      <c r="E171" s="24" t="n"/>
      <c r="F171" s="17" t="n"/>
      <c r="G171" s="17" t="n"/>
      <c r="H171" s="17" t="n"/>
      <c r="I171" s="17" t="n"/>
      <c r="J171" s="16" t="n"/>
      <c r="K171" s="19" t="n"/>
      <c r="L171" s="9" t="n"/>
    </row>
    <row r="172">
      <c r="A172" s="17" t="n"/>
      <c r="B172" s="17" t="n"/>
      <c r="C172" s="10" t="n"/>
      <c r="D172" s="17" t="n"/>
      <c r="E172" s="24" t="n"/>
      <c r="F172" s="17" t="n"/>
      <c r="G172" s="17" t="n"/>
      <c r="H172" s="17" t="n"/>
      <c r="I172" s="17" t="n"/>
      <c r="J172" s="16" t="n"/>
      <c r="K172" s="19" t="n"/>
      <c r="L172" s="9" t="n"/>
    </row>
    <row r="173">
      <c r="A173" s="17" t="n"/>
      <c r="B173" s="17" t="n"/>
      <c r="C173" s="10" t="n"/>
      <c r="D173" s="17" t="n"/>
      <c r="E173" s="24" t="n"/>
      <c r="F173" s="17" t="n"/>
      <c r="G173" s="17" t="n"/>
      <c r="H173" s="17" t="n"/>
      <c r="I173" s="17" t="n"/>
      <c r="J173" s="16" t="n"/>
      <c r="K173" s="19" t="n"/>
      <c r="L173" s="9" t="n"/>
    </row>
    <row r="174">
      <c r="A174" s="17" t="n"/>
      <c r="B174" s="17" t="n"/>
      <c r="C174" s="10" t="n"/>
      <c r="D174" s="17" t="n"/>
      <c r="E174" s="24" t="n"/>
      <c r="F174" s="17" t="n"/>
      <c r="G174" s="17" t="n"/>
      <c r="H174" s="17" t="n"/>
      <c r="I174" s="17" t="n"/>
      <c r="J174" s="16" t="n"/>
      <c r="K174" s="19" t="n"/>
      <c r="L174" s="9" t="n"/>
    </row>
    <row r="175">
      <c r="A175" s="17" t="n"/>
      <c r="B175" s="17" t="n"/>
      <c r="C175" s="10" t="n"/>
      <c r="D175" s="17" t="n"/>
      <c r="E175" s="24" t="n"/>
      <c r="F175" s="17" t="n"/>
      <c r="G175" s="17" t="n"/>
      <c r="H175" s="17" t="n"/>
      <c r="I175" s="17" t="n"/>
      <c r="J175" s="16" t="n"/>
      <c r="K175" s="19" t="n"/>
      <c r="L175" s="9" t="n"/>
    </row>
    <row r="176">
      <c r="A176" s="17" t="n"/>
      <c r="B176" s="17" t="n"/>
      <c r="C176" s="10" t="n"/>
      <c r="D176" s="17" t="n"/>
      <c r="E176" s="24" t="n"/>
      <c r="F176" s="17" t="n"/>
      <c r="G176" s="17" t="n"/>
      <c r="H176" s="17" t="n"/>
      <c r="I176" s="17" t="n"/>
      <c r="J176" s="16" t="n"/>
      <c r="K176" s="19" t="n"/>
      <c r="L176" s="9" t="n"/>
    </row>
    <row r="177">
      <c r="A177" s="17" t="n"/>
      <c r="B177" s="17" t="n"/>
      <c r="C177" s="10" t="n"/>
      <c r="D177" s="17" t="n"/>
      <c r="E177" s="24" t="n"/>
      <c r="F177" s="17" t="n"/>
      <c r="G177" s="17" t="n"/>
      <c r="H177" s="17" t="n"/>
      <c r="I177" s="17" t="n"/>
      <c r="J177" s="16" t="n"/>
      <c r="K177" s="19" t="n"/>
      <c r="L177" s="9" t="n"/>
    </row>
    <row r="178">
      <c r="A178" s="17" t="n"/>
      <c r="B178" s="17" t="n"/>
      <c r="C178" s="10" t="n"/>
      <c r="D178" s="17" t="n"/>
      <c r="E178" s="24" t="n"/>
      <c r="F178" s="17" t="n"/>
      <c r="G178" s="17" t="n"/>
      <c r="H178" s="17" t="n"/>
      <c r="I178" s="17" t="n"/>
      <c r="J178" s="16" t="n"/>
      <c r="K178" s="19" t="n"/>
      <c r="L178" s="9" t="n"/>
    </row>
    <row r="179">
      <c r="A179" s="17" t="n"/>
      <c r="B179" s="17" t="n"/>
      <c r="C179" s="10" t="n"/>
      <c r="D179" s="17" t="n"/>
      <c r="E179" s="24" t="n"/>
      <c r="F179" s="17" t="n"/>
      <c r="G179" s="17" t="n"/>
      <c r="H179" s="17" t="n"/>
      <c r="I179" s="17" t="n"/>
      <c r="J179" s="16" t="n"/>
      <c r="K179" s="19" t="n"/>
      <c r="L179" s="9" t="n"/>
    </row>
    <row r="180">
      <c r="A180" s="17" t="n"/>
      <c r="B180" s="17" t="n"/>
      <c r="C180" s="10" t="n"/>
      <c r="D180" s="17" t="n"/>
      <c r="E180" s="24" t="n"/>
      <c r="F180" s="17" t="n"/>
      <c r="G180" s="17" t="n"/>
      <c r="H180" s="17" t="n"/>
      <c r="I180" s="17" t="n"/>
      <c r="J180" s="16" t="n"/>
      <c r="K180" s="19" t="n"/>
      <c r="L180" s="9" t="n"/>
    </row>
    <row r="181">
      <c r="A181" s="17" t="n"/>
      <c r="B181" s="17" t="n"/>
      <c r="C181" s="10" t="n"/>
      <c r="D181" s="17" t="n"/>
      <c r="E181" s="24" t="n"/>
      <c r="F181" s="17" t="n"/>
      <c r="G181" s="17" t="n"/>
      <c r="H181" s="17" t="n"/>
      <c r="I181" s="17" t="n"/>
      <c r="J181" s="16" t="n"/>
      <c r="K181" s="19" t="n"/>
      <c r="L181" s="9" t="n"/>
    </row>
    <row r="182">
      <c r="A182" s="17" t="n"/>
      <c r="B182" s="17" t="n"/>
      <c r="C182" s="10" t="n"/>
      <c r="D182" s="17" t="n"/>
      <c r="E182" s="24" t="n"/>
      <c r="F182" s="17" t="n"/>
      <c r="G182" s="17" t="n"/>
      <c r="H182" s="17" t="n"/>
      <c r="I182" s="17" t="n"/>
      <c r="J182" s="16" t="n"/>
      <c r="K182" s="19" t="n"/>
      <c r="L182" s="9" t="n"/>
    </row>
    <row r="183">
      <c r="A183" s="17" t="n"/>
      <c r="B183" s="17" t="n"/>
      <c r="C183" s="10" t="n"/>
      <c r="D183" s="17" t="n"/>
      <c r="E183" s="24" t="n"/>
      <c r="F183" s="17" t="n"/>
      <c r="G183" s="17" t="n"/>
      <c r="H183" s="17" t="n"/>
      <c r="I183" s="17" t="n"/>
      <c r="J183" s="16" t="n"/>
      <c r="K183" s="19" t="n"/>
      <c r="L183" s="9" t="n"/>
    </row>
    <row r="184">
      <c r="A184" s="17" t="n"/>
      <c r="B184" s="17" t="n"/>
      <c r="C184" s="10" t="n"/>
      <c r="D184" s="17" t="n"/>
      <c r="E184" s="24" t="n"/>
      <c r="F184" s="17" t="n"/>
      <c r="G184" s="17" t="n"/>
      <c r="H184" s="17" t="n"/>
      <c r="I184" s="17" t="n"/>
      <c r="J184" s="16" t="n"/>
      <c r="K184" s="19" t="n"/>
      <c r="L184" s="9" t="n"/>
    </row>
    <row r="185">
      <c r="A185" s="17" t="n"/>
      <c r="B185" s="17" t="n"/>
      <c r="C185" s="10" t="n"/>
      <c r="D185" s="17" t="n"/>
      <c r="E185" s="24" t="n"/>
      <c r="F185" s="17" t="n"/>
      <c r="G185" s="17" t="n"/>
      <c r="H185" s="17" t="n"/>
      <c r="I185" s="17" t="n"/>
      <c r="J185" s="16" t="n"/>
      <c r="K185" s="19" t="n"/>
      <c r="L185" s="9" t="n"/>
    </row>
    <row r="186">
      <c r="A186" s="17" t="n"/>
      <c r="B186" s="17" t="n"/>
      <c r="C186" s="10" t="n"/>
      <c r="D186" s="17" t="n"/>
      <c r="E186" s="24" t="n"/>
      <c r="F186" s="17" t="n"/>
      <c r="G186" s="17" t="n"/>
      <c r="H186" s="17" t="n"/>
      <c r="I186" s="17" t="n"/>
      <c r="J186" s="16" t="n"/>
      <c r="K186" s="19" t="n"/>
      <c r="L186" s="9" t="n"/>
    </row>
    <row r="187">
      <c r="A187" s="17" t="n"/>
      <c r="B187" s="17" t="n"/>
      <c r="C187" s="10" t="n"/>
      <c r="D187" s="17" t="n"/>
      <c r="E187" s="24" t="n"/>
      <c r="F187" s="17" t="n"/>
      <c r="G187" s="17" t="n"/>
      <c r="H187" s="17" t="n"/>
      <c r="I187" s="17" t="n"/>
      <c r="J187" s="16" t="n"/>
      <c r="K187" s="19" t="n"/>
      <c r="L187" s="9" t="n"/>
    </row>
    <row r="188">
      <c r="A188" s="17" t="n"/>
      <c r="B188" s="17" t="n"/>
      <c r="C188" s="10" t="n"/>
      <c r="D188" s="17" t="n"/>
      <c r="E188" s="24" t="n"/>
      <c r="F188" s="17" t="n"/>
      <c r="G188" s="17" t="n"/>
      <c r="H188" s="17" t="n"/>
      <c r="I188" s="17" t="n"/>
      <c r="J188" s="16" t="n"/>
      <c r="K188" s="19" t="n"/>
      <c r="L188" s="9" t="n"/>
    </row>
    <row r="189">
      <c r="A189" s="17" t="n"/>
      <c r="B189" s="17" t="n"/>
      <c r="C189" s="10" t="n"/>
      <c r="D189" s="17" t="n"/>
      <c r="E189" s="24" t="n"/>
      <c r="F189" s="17" t="n"/>
      <c r="G189" s="17" t="n"/>
      <c r="H189" s="17" t="n"/>
      <c r="I189" s="17" t="n"/>
      <c r="J189" s="16" t="n"/>
      <c r="K189" s="19" t="n"/>
      <c r="L189" s="9" t="n"/>
    </row>
    <row r="190">
      <c r="A190" s="17" t="n"/>
      <c r="B190" s="17" t="n"/>
      <c r="C190" s="10" t="n"/>
      <c r="D190" s="17" t="n"/>
      <c r="E190" s="24" t="n"/>
      <c r="F190" s="17" t="n"/>
      <c r="G190" s="17" t="n"/>
      <c r="H190" s="17" t="n"/>
      <c r="I190" s="17" t="n"/>
      <c r="J190" s="16" t="n"/>
      <c r="K190" s="19" t="n"/>
      <c r="L190" s="9" t="n"/>
    </row>
    <row r="191">
      <c r="A191" s="17" t="n"/>
      <c r="B191" s="17" t="n"/>
      <c r="C191" s="10" t="n"/>
      <c r="D191" s="17" t="n"/>
      <c r="E191" s="24" t="n"/>
      <c r="F191" s="17" t="n"/>
      <c r="G191" s="17" t="n"/>
      <c r="H191" s="17" t="n"/>
      <c r="I191" s="17" t="n"/>
      <c r="J191" s="16" t="n"/>
      <c r="K191" s="19" t="n"/>
      <c r="L191" s="9" t="n"/>
    </row>
    <row r="192">
      <c r="A192" s="17" t="n"/>
      <c r="B192" s="17" t="n"/>
      <c r="C192" s="10" t="n"/>
      <c r="D192" s="17" t="n"/>
      <c r="E192" s="24" t="n"/>
      <c r="F192" s="17" t="n"/>
      <c r="G192" s="17" t="n"/>
      <c r="H192" s="17" t="n"/>
      <c r="I192" s="17" t="n"/>
      <c r="J192" s="16" t="n"/>
      <c r="K192" s="19" t="n"/>
      <c r="L192" s="9" t="n"/>
    </row>
    <row r="193">
      <c r="A193" s="17" t="n"/>
      <c r="B193" s="17" t="n"/>
      <c r="C193" s="10" t="n"/>
      <c r="D193" s="17" t="n"/>
      <c r="E193" s="24" t="n"/>
      <c r="F193" s="17" t="n"/>
      <c r="G193" s="17" t="n"/>
      <c r="H193" s="17" t="n"/>
      <c r="I193" s="17" t="n"/>
      <c r="J193" s="16" t="n"/>
      <c r="K193" s="19" t="n"/>
      <c r="L193" s="9" t="n"/>
    </row>
    <row r="194">
      <c r="A194" s="17" t="n"/>
      <c r="B194" s="17" t="n"/>
      <c r="C194" s="10" t="n"/>
      <c r="D194" s="17" t="n"/>
      <c r="E194" s="24" t="n"/>
      <c r="F194" s="17" t="n"/>
      <c r="G194" s="17" t="n"/>
      <c r="H194" s="17" t="n"/>
      <c r="I194" s="17" t="n"/>
      <c r="J194" s="16" t="n"/>
      <c r="K194" s="19" t="n"/>
      <c r="L194" s="9" t="n"/>
    </row>
    <row r="195">
      <c r="A195" s="17" t="n"/>
      <c r="B195" s="17" t="n"/>
      <c r="C195" s="10" t="n"/>
      <c r="D195" s="17" t="n"/>
      <c r="E195" s="24" t="n"/>
      <c r="F195" s="17" t="n"/>
      <c r="G195" s="17" t="n"/>
      <c r="H195" s="17" t="n"/>
      <c r="I195" s="17" t="n"/>
      <c r="J195" s="16" t="n"/>
      <c r="K195" s="19" t="n"/>
      <c r="L195" s="9" t="n"/>
    </row>
    <row r="196">
      <c r="A196" s="17" t="n"/>
      <c r="B196" s="17" t="n"/>
      <c r="C196" s="10" t="n"/>
      <c r="D196" s="17" t="n"/>
      <c r="E196" s="24" t="n"/>
      <c r="F196" s="17" t="n"/>
      <c r="G196" s="17" t="n"/>
      <c r="H196" s="17" t="n"/>
      <c r="I196" s="17" t="n"/>
      <c r="J196" s="16" t="n"/>
      <c r="K196" s="19" t="n"/>
      <c r="L196" s="9" t="n"/>
    </row>
    <row r="197">
      <c r="A197" s="17" t="n"/>
      <c r="B197" s="17" t="n"/>
      <c r="C197" s="10" t="n"/>
      <c r="D197" s="17" t="n"/>
      <c r="E197" s="24" t="n"/>
      <c r="F197" s="17" t="n"/>
      <c r="G197" s="17" t="n"/>
      <c r="H197" s="17" t="n"/>
      <c r="I197" s="17" t="n"/>
      <c r="J197" s="16" t="n"/>
      <c r="K197" s="19" t="n"/>
      <c r="L197" s="9" t="n"/>
    </row>
    <row r="198">
      <c r="A198" s="17" t="n"/>
      <c r="B198" s="17" t="n"/>
      <c r="C198" s="10" t="n"/>
      <c r="D198" s="17" t="n"/>
      <c r="E198" s="24" t="n"/>
      <c r="F198" s="17" t="n"/>
      <c r="G198" s="17" t="n"/>
      <c r="H198" s="17" t="n"/>
      <c r="I198" s="17" t="n"/>
      <c r="J198" s="16" t="n"/>
      <c r="K198" s="19" t="n"/>
      <c r="L198" s="9" t="n"/>
    </row>
    <row r="199">
      <c r="A199" s="17" t="n"/>
      <c r="B199" s="17" t="n"/>
      <c r="C199" s="10" t="n"/>
      <c r="D199" s="17" t="n"/>
      <c r="E199" s="24" t="n"/>
      <c r="F199" s="17" t="n"/>
      <c r="G199" s="17" t="n"/>
      <c r="H199" s="17" t="n"/>
      <c r="I199" s="17" t="n"/>
      <c r="J199" s="16" t="n"/>
      <c r="K199" s="19" t="n"/>
      <c r="L199" s="9" t="n"/>
    </row>
    <row r="200">
      <c r="A200" s="17" t="n"/>
      <c r="B200" s="17" t="n"/>
      <c r="C200" s="10" t="n"/>
      <c r="D200" s="17" t="n"/>
      <c r="E200" s="24" t="n"/>
      <c r="F200" s="17" t="n"/>
      <c r="G200" s="17" t="n"/>
      <c r="H200" s="17" t="n"/>
      <c r="I200" s="17" t="n"/>
      <c r="J200" s="16" t="n"/>
      <c r="K200" s="19" t="n"/>
      <c r="L200" s="9" t="n"/>
    </row>
    <row r="201">
      <c r="A201" s="17" t="n"/>
      <c r="B201" s="17" t="n"/>
      <c r="C201" s="10" t="n"/>
      <c r="D201" s="17" t="n"/>
      <c r="E201" s="24" t="n"/>
      <c r="F201" s="17" t="n"/>
      <c r="G201" s="17" t="n"/>
      <c r="H201" s="17" t="n"/>
      <c r="I201" s="17" t="n"/>
      <c r="J201" s="16" t="n"/>
      <c r="K201" s="19" t="n"/>
      <c r="L201" s="9" t="n"/>
    </row>
    <row r="202">
      <c r="A202" s="17" t="n"/>
      <c r="B202" s="17" t="n"/>
      <c r="C202" s="10" t="n"/>
      <c r="D202" s="17" t="n"/>
      <c r="E202" s="24" t="n"/>
      <c r="F202" s="17" t="n"/>
      <c r="G202" s="17" t="n"/>
      <c r="H202" s="17" t="n"/>
      <c r="I202" s="17" t="n"/>
      <c r="J202" s="16" t="n"/>
      <c r="K202" s="19" t="n"/>
      <c r="L202" s="9" t="n"/>
    </row>
    <row r="203">
      <c r="A203" s="17" t="n"/>
      <c r="B203" s="17" t="n"/>
      <c r="C203" s="10" t="n"/>
      <c r="D203" s="17" t="n"/>
      <c r="E203" s="24" t="n"/>
      <c r="F203" s="17" t="n"/>
      <c r="G203" s="17" t="n"/>
      <c r="H203" s="17" t="n"/>
      <c r="I203" s="17" t="n"/>
      <c r="J203" s="16" t="n"/>
      <c r="K203" s="19" t="n"/>
      <c r="L203" s="9" t="n"/>
    </row>
    <row r="204">
      <c r="A204" s="17" t="n"/>
      <c r="B204" s="17" t="n"/>
      <c r="C204" s="10" t="n"/>
      <c r="D204" s="17" t="n"/>
      <c r="E204" s="24" t="n"/>
      <c r="F204" s="17" t="n"/>
      <c r="G204" s="17" t="n"/>
      <c r="H204" s="17" t="n"/>
      <c r="I204" s="17" t="n"/>
      <c r="J204" s="16" t="n"/>
      <c r="K204" s="19" t="n"/>
      <c r="L204" s="9" t="n"/>
    </row>
    <row r="205">
      <c r="A205" s="17" t="n"/>
      <c r="B205" s="17" t="n"/>
      <c r="C205" s="10" t="n"/>
      <c r="D205" s="17" t="n"/>
      <c r="E205" s="24" t="n"/>
      <c r="F205" s="17" t="n"/>
      <c r="G205" s="17" t="n"/>
      <c r="H205" s="17" t="n"/>
      <c r="I205" s="17" t="n"/>
      <c r="J205" s="16" t="n"/>
      <c r="K205" s="19" t="n"/>
      <c r="L205" s="9" t="n"/>
    </row>
    <row r="206">
      <c r="A206" s="17" t="n"/>
      <c r="B206" s="17" t="n"/>
      <c r="C206" s="10" t="n"/>
      <c r="D206" s="17" t="n"/>
      <c r="E206" s="24" t="n"/>
      <c r="F206" s="17" t="n"/>
      <c r="G206" s="17" t="n"/>
      <c r="H206" s="17" t="n"/>
      <c r="I206" s="17" t="n"/>
      <c r="J206" s="16" t="n"/>
      <c r="K206" s="19" t="n"/>
      <c r="L206" s="9" t="n"/>
    </row>
    <row r="207">
      <c r="A207" s="17" t="n"/>
      <c r="B207" s="17" t="n"/>
      <c r="C207" s="10" t="n"/>
      <c r="D207" s="17" t="n"/>
      <c r="E207" s="24" t="n"/>
      <c r="F207" s="17" t="n"/>
      <c r="G207" s="17" t="n"/>
      <c r="H207" s="17" t="n"/>
      <c r="I207" s="17" t="n"/>
      <c r="J207" s="16" t="n"/>
      <c r="K207" s="19" t="n"/>
      <c r="L207" s="9" t="n"/>
    </row>
    <row r="208">
      <c r="A208" s="17" t="n"/>
      <c r="B208" s="17" t="n"/>
      <c r="C208" s="10" t="n"/>
      <c r="D208" s="17" t="n"/>
      <c r="E208" s="24" t="n"/>
      <c r="F208" s="17" t="n"/>
      <c r="G208" s="17" t="n"/>
      <c r="H208" s="17" t="n"/>
      <c r="I208" s="17" t="n"/>
      <c r="J208" s="16" t="n"/>
      <c r="K208" s="19" t="n"/>
      <c r="L208" s="9" t="n"/>
    </row>
    <row r="209">
      <c r="A209" s="17" t="n"/>
      <c r="B209" s="17" t="n"/>
      <c r="C209" s="10" t="n"/>
      <c r="D209" s="17" t="n"/>
      <c r="E209" s="24" t="n"/>
      <c r="F209" s="17" t="n"/>
      <c r="G209" s="17" t="n"/>
      <c r="H209" s="17" t="n"/>
      <c r="I209" s="17" t="n"/>
      <c r="J209" s="16" t="n"/>
      <c r="K209" s="19" t="n"/>
      <c r="L209" s="9" t="n"/>
    </row>
    <row r="210">
      <c r="A210" s="17" t="n"/>
      <c r="B210" s="17" t="n"/>
      <c r="C210" s="10" t="n"/>
      <c r="D210" s="17" t="n"/>
      <c r="E210" s="24" t="n"/>
      <c r="F210" s="17" t="n"/>
      <c r="G210" s="17" t="n"/>
      <c r="H210" s="17" t="n"/>
      <c r="I210" s="17" t="n"/>
      <c r="J210" s="16" t="n"/>
      <c r="K210" s="19" t="n"/>
      <c r="L210" s="9" t="n"/>
    </row>
    <row r="211">
      <c r="A211" s="17" t="n"/>
      <c r="B211" s="17" t="n"/>
      <c r="C211" s="10" t="n"/>
      <c r="D211" s="17" t="n"/>
      <c r="E211" s="24" t="n"/>
      <c r="F211" s="17" t="n"/>
      <c r="G211" s="17" t="n"/>
      <c r="H211" s="17" t="n"/>
      <c r="I211" s="17" t="n"/>
      <c r="J211" s="16" t="n"/>
      <c r="K211" s="19" t="n"/>
      <c r="L211" s="9" t="n"/>
    </row>
    <row r="212">
      <c r="A212" s="17" t="n"/>
      <c r="B212" s="17" t="n"/>
      <c r="C212" s="10" t="n"/>
      <c r="D212" s="17" t="n"/>
      <c r="E212" s="24" t="n"/>
      <c r="F212" s="17" t="n"/>
      <c r="G212" s="17" t="n"/>
      <c r="H212" s="17" t="n"/>
      <c r="I212" s="17" t="n"/>
      <c r="J212" s="16" t="n"/>
      <c r="K212" s="19" t="n"/>
      <c r="L212" s="9" t="n"/>
    </row>
    <row r="213">
      <c r="A213" s="17" t="n"/>
      <c r="B213" s="17" t="n"/>
      <c r="C213" s="10" t="n"/>
      <c r="D213" s="17" t="n"/>
      <c r="E213" s="24" t="n"/>
      <c r="F213" s="17" t="n"/>
      <c r="G213" s="17" t="n"/>
      <c r="H213" s="17" t="n"/>
      <c r="I213" s="17" t="n"/>
      <c r="J213" s="16" t="n"/>
      <c r="K213" s="19" t="n"/>
      <c r="L213" s="9" t="n"/>
    </row>
    <row r="214">
      <c r="A214" s="17" t="n"/>
      <c r="B214" s="17" t="n"/>
      <c r="C214" s="10" t="n"/>
      <c r="D214" s="17" t="n"/>
      <c r="E214" s="24" t="n"/>
      <c r="F214" s="17" t="n"/>
      <c r="G214" s="17" t="n"/>
      <c r="H214" s="17" t="n"/>
      <c r="I214" s="17" t="n"/>
      <c r="J214" s="16" t="n"/>
      <c r="K214" s="19" t="n"/>
      <c r="L214" s="9" t="n"/>
    </row>
    <row r="215">
      <c r="A215" s="17" t="n"/>
      <c r="B215" s="17" t="n"/>
      <c r="C215" s="10" t="n"/>
      <c r="D215" s="17" t="n"/>
      <c r="E215" s="24" t="n"/>
      <c r="F215" s="17" t="n"/>
      <c r="G215" s="17" t="n"/>
      <c r="H215" s="17" t="n"/>
      <c r="I215" s="17" t="n"/>
      <c r="J215" s="16" t="n"/>
      <c r="K215" s="19" t="n"/>
      <c r="L215" s="9" t="n"/>
    </row>
    <row r="216">
      <c r="A216" s="17" t="n"/>
      <c r="B216" s="17" t="n"/>
      <c r="C216" s="10" t="n"/>
      <c r="D216" s="17" t="n"/>
      <c r="E216" s="24" t="n"/>
      <c r="F216" s="17" t="n"/>
      <c r="G216" s="17" t="n"/>
      <c r="H216" s="17" t="n"/>
      <c r="I216" s="17" t="n"/>
      <c r="J216" s="16" t="n"/>
      <c r="K216" s="19" t="n"/>
      <c r="L216" s="9" t="n"/>
    </row>
    <row r="217">
      <c r="A217" s="17" t="n"/>
      <c r="B217" s="17" t="n"/>
      <c r="C217" s="10" t="n"/>
      <c r="D217" s="17" t="n"/>
      <c r="E217" s="24" t="n"/>
      <c r="F217" s="17" t="n"/>
      <c r="G217" s="17" t="n"/>
      <c r="H217" s="17" t="n"/>
      <c r="I217" s="17" t="n"/>
      <c r="J217" s="16" t="n"/>
      <c r="K217" s="19" t="n"/>
      <c r="L217" s="9" t="n"/>
    </row>
    <row r="218">
      <c r="A218" s="17" t="n"/>
      <c r="B218" s="17" t="n"/>
      <c r="C218" s="10" t="n"/>
      <c r="D218" s="17" t="n"/>
      <c r="E218" s="24" t="n"/>
      <c r="F218" s="17" t="n"/>
      <c r="G218" s="17" t="n"/>
      <c r="H218" s="17" t="n"/>
      <c r="I218" s="17" t="n"/>
      <c r="J218" s="16" t="n"/>
      <c r="K218" s="19" t="n"/>
      <c r="L218" s="9" t="n"/>
    </row>
    <row r="219">
      <c r="A219" s="17" t="n"/>
      <c r="B219" s="17" t="n"/>
      <c r="C219" s="10" t="n"/>
      <c r="D219" s="17" t="n"/>
      <c r="E219" s="24" t="n"/>
      <c r="F219" s="17" t="n"/>
      <c r="G219" s="17" t="n"/>
      <c r="H219" s="17" t="n"/>
      <c r="I219" s="17" t="n"/>
      <c r="J219" s="16" t="n"/>
      <c r="K219" s="19" t="n"/>
      <c r="L219" s="9" t="n"/>
    </row>
    <row r="220">
      <c r="A220" s="17" t="n"/>
      <c r="B220" s="17" t="n"/>
      <c r="C220" s="10" t="n"/>
      <c r="D220" s="17" t="n"/>
      <c r="E220" s="24" t="n"/>
      <c r="F220" s="17" t="n"/>
      <c r="G220" s="17" t="n"/>
      <c r="H220" s="17" t="n"/>
      <c r="I220" s="17" t="n"/>
      <c r="J220" s="16" t="n"/>
      <c r="K220" s="19" t="n"/>
      <c r="L220" s="9" t="n"/>
    </row>
    <row r="221">
      <c r="A221" s="17" t="n"/>
      <c r="B221" s="17" t="n"/>
      <c r="C221" s="10" t="n"/>
      <c r="D221" s="17" t="n"/>
      <c r="E221" s="24" t="n"/>
      <c r="F221" s="17" t="n"/>
      <c r="G221" s="17" t="n"/>
      <c r="H221" s="17" t="n"/>
      <c r="I221" s="17" t="n"/>
      <c r="J221" s="16" t="n"/>
      <c r="K221" s="19" t="n"/>
      <c r="L221" s="9" t="n"/>
    </row>
    <row r="222">
      <c r="A222" s="17" t="n"/>
      <c r="B222" s="17" t="n"/>
      <c r="C222" s="10" t="n"/>
      <c r="D222" s="17" t="n"/>
      <c r="E222" s="24" t="n"/>
      <c r="F222" s="17" t="n"/>
      <c r="G222" s="17" t="n"/>
      <c r="H222" s="17" t="n"/>
      <c r="I222" s="17" t="n"/>
      <c r="J222" s="16" t="n"/>
      <c r="K222" s="19" t="n"/>
      <c r="L222" s="9" t="n"/>
    </row>
    <row r="223">
      <c r="A223" s="17" t="n"/>
      <c r="B223" s="17" t="n"/>
      <c r="C223" s="10" t="n"/>
      <c r="D223" s="17" t="n"/>
      <c r="E223" s="24" t="n"/>
      <c r="F223" s="17" t="n"/>
      <c r="G223" s="17" t="n"/>
      <c r="H223" s="17" t="n"/>
      <c r="I223" s="17" t="n"/>
      <c r="J223" s="16" t="n"/>
      <c r="K223" s="19" t="n"/>
      <c r="L223" s="9" t="n"/>
    </row>
    <row r="224">
      <c r="A224" s="17" t="n"/>
      <c r="B224" s="17" t="n"/>
      <c r="C224" s="10" t="n"/>
      <c r="D224" s="17" t="n"/>
      <c r="E224" s="24" t="n"/>
      <c r="F224" s="17" t="n"/>
      <c r="G224" s="17" t="n"/>
      <c r="H224" s="17" t="n"/>
      <c r="I224" s="17" t="n"/>
      <c r="J224" s="16" t="n"/>
      <c r="K224" s="19" t="n"/>
      <c r="L224" s="9" t="n"/>
    </row>
    <row r="225">
      <c r="A225" s="17" t="n"/>
      <c r="B225" s="17" t="n"/>
      <c r="C225" s="10" t="n"/>
      <c r="D225" s="17" t="n"/>
      <c r="E225" s="24" t="n"/>
      <c r="F225" s="17" t="n"/>
      <c r="G225" s="17" t="n"/>
      <c r="H225" s="17" t="n"/>
      <c r="I225" s="17" t="n"/>
      <c r="J225" s="16" t="n"/>
      <c r="K225" s="19" t="n"/>
      <c r="L225" s="9" t="n"/>
    </row>
    <row r="226">
      <c r="A226" s="17" t="n"/>
      <c r="B226" s="17" t="n"/>
      <c r="C226" s="10" t="n"/>
      <c r="D226" s="17" t="n"/>
      <c r="E226" s="24" t="n"/>
      <c r="F226" s="17" t="n"/>
      <c r="G226" s="17" t="n"/>
      <c r="H226" s="17" t="n"/>
      <c r="I226" s="17" t="n"/>
      <c r="J226" s="16" t="n"/>
      <c r="K226" s="19" t="n"/>
      <c r="L226" s="9" t="n"/>
    </row>
    <row r="227">
      <c r="A227" s="17" t="n"/>
      <c r="B227" s="17" t="n"/>
      <c r="C227" s="10" t="n"/>
      <c r="D227" s="17" t="n"/>
      <c r="E227" s="24" t="n"/>
      <c r="F227" s="17" t="n"/>
      <c r="G227" s="17" t="n"/>
      <c r="H227" s="17" t="n"/>
      <c r="I227" s="17" t="n"/>
      <c r="J227" s="16" t="n"/>
      <c r="K227" s="19" t="n"/>
      <c r="L227" s="9" t="n"/>
    </row>
    <row r="228">
      <c r="A228" s="17" t="n"/>
      <c r="B228" s="17" t="n"/>
      <c r="C228" s="10" t="n"/>
      <c r="D228" s="17" t="n"/>
      <c r="E228" s="24" t="n"/>
      <c r="F228" s="17" t="n"/>
      <c r="G228" s="17" t="n"/>
      <c r="H228" s="17" t="n"/>
      <c r="I228" s="17" t="n"/>
      <c r="J228" s="16" t="n"/>
      <c r="K228" s="19" t="n"/>
      <c r="L228" s="9" t="n"/>
    </row>
    <row r="229">
      <c r="A229" s="17" t="n"/>
      <c r="B229" s="17" t="n"/>
      <c r="C229" s="10" t="n"/>
      <c r="D229" s="17" t="n"/>
      <c r="E229" s="24" t="n"/>
      <c r="F229" s="17" t="n"/>
      <c r="G229" s="17" t="n"/>
      <c r="H229" s="17" t="n"/>
      <c r="I229" s="17" t="n"/>
      <c r="J229" s="16" t="n"/>
      <c r="K229" s="19" t="n"/>
      <c r="L229" s="9" t="n"/>
    </row>
    <row r="230">
      <c r="A230" s="17" t="n"/>
      <c r="B230" s="17" t="n"/>
      <c r="C230" s="10" t="n"/>
      <c r="D230" s="17" t="n"/>
      <c r="E230" s="24" t="n"/>
      <c r="F230" s="17" t="n"/>
      <c r="G230" s="17" t="n"/>
      <c r="H230" s="17" t="n"/>
      <c r="I230" s="17" t="n"/>
      <c r="J230" s="16" t="n"/>
      <c r="K230" s="19" t="n"/>
      <c r="L230" s="9" t="n"/>
    </row>
    <row r="231">
      <c r="A231" s="17" t="n"/>
      <c r="B231" s="17" t="n"/>
      <c r="C231" s="10" t="n"/>
      <c r="D231" s="17" t="n"/>
      <c r="E231" s="24" t="n"/>
      <c r="F231" s="17" t="n"/>
      <c r="G231" s="17" t="n"/>
      <c r="H231" s="17" t="n"/>
      <c r="I231" s="17" t="n"/>
      <c r="J231" s="16" t="n"/>
      <c r="K231" s="19" t="n"/>
      <c r="L231" s="9" t="n"/>
    </row>
    <row r="232">
      <c r="A232" s="17" t="n"/>
      <c r="B232" s="17" t="n"/>
      <c r="C232" s="10" t="n"/>
      <c r="D232" s="17" t="n"/>
      <c r="E232" s="24" t="n"/>
      <c r="F232" s="17" t="n"/>
      <c r="G232" s="17" t="n"/>
      <c r="H232" s="17" t="n"/>
      <c r="I232" s="17" t="n"/>
      <c r="J232" s="16" t="n"/>
      <c r="K232" s="19" t="n"/>
      <c r="L232" s="9" t="n"/>
    </row>
    <row r="233">
      <c r="A233" s="17" t="n"/>
      <c r="B233" s="17" t="n"/>
      <c r="C233" s="10" t="n"/>
      <c r="D233" s="17" t="n"/>
      <c r="E233" s="24" t="n"/>
      <c r="F233" s="17" t="n"/>
      <c r="G233" s="17" t="n"/>
      <c r="H233" s="17" t="n"/>
      <c r="I233" s="17" t="n"/>
      <c r="J233" s="16" t="n"/>
      <c r="K233" s="19" t="n"/>
      <c r="L233" s="9" t="n"/>
    </row>
    <row r="234">
      <c r="A234" s="17" t="n"/>
      <c r="B234" s="17" t="n"/>
      <c r="C234" s="10" t="n"/>
      <c r="D234" s="17" t="n"/>
      <c r="E234" s="24" t="n"/>
      <c r="F234" s="17" t="n"/>
      <c r="G234" s="17" t="n"/>
      <c r="H234" s="17" t="n"/>
      <c r="I234" s="17" t="n"/>
      <c r="J234" s="16" t="n"/>
      <c r="K234" s="19" t="n"/>
      <c r="L234" s="9" t="n"/>
    </row>
    <row r="235">
      <c r="A235" s="17" t="n"/>
      <c r="B235" s="17" t="n"/>
      <c r="C235" s="10" t="n"/>
      <c r="D235" s="17" t="n"/>
      <c r="E235" s="24" t="n"/>
      <c r="F235" s="17" t="n"/>
      <c r="G235" s="17" t="n"/>
      <c r="H235" s="17" t="n"/>
      <c r="I235" s="17" t="n"/>
      <c r="J235" s="16" t="n"/>
      <c r="K235" s="19" t="n"/>
      <c r="L235" s="9" t="n"/>
    </row>
    <row r="236">
      <c r="A236" s="17" t="n"/>
      <c r="B236" s="17" t="n"/>
      <c r="C236" s="10" t="n"/>
      <c r="D236" s="17" t="n"/>
      <c r="E236" s="24" t="n"/>
      <c r="F236" s="17" t="n"/>
      <c r="G236" s="17" t="n"/>
      <c r="H236" s="17" t="n"/>
      <c r="I236" s="17" t="n"/>
      <c r="J236" s="16" t="n"/>
      <c r="K236" s="19" t="n"/>
      <c r="L236" s="9" t="n"/>
    </row>
    <row r="237">
      <c r="A237" s="17" t="n"/>
      <c r="B237" s="17" t="n"/>
      <c r="C237" s="10" t="n"/>
      <c r="D237" s="17" t="n"/>
      <c r="E237" s="24" t="n"/>
      <c r="F237" s="17" t="n"/>
      <c r="G237" s="17" t="n"/>
      <c r="H237" s="17" t="n"/>
      <c r="I237" s="17" t="n"/>
      <c r="J237" s="16" t="n"/>
      <c r="K237" s="19" t="n"/>
      <c r="L237" s="9" t="n"/>
    </row>
    <row r="238">
      <c r="A238" s="17" t="n"/>
      <c r="B238" s="17" t="n"/>
      <c r="C238" s="10" t="n"/>
      <c r="D238" s="17" t="n"/>
      <c r="E238" s="24" t="n"/>
      <c r="F238" s="17" t="n"/>
      <c r="G238" s="17" t="n"/>
      <c r="H238" s="17" t="n"/>
      <c r="I238" s="17" t="n"/>
      <c r="J238" s="16" t="n"/>
      <c r="K238" s="19" t="n"/>
      <c r="L238" s="9" t="n"/>
    </row>
    <row r="239">
      <c r="A239" s="17" t="n"/>
      <c r="B239" s="17" t="n"/>
      <c r="C239" s="10" t="n"/>
      <c r="D239" s="17" t="n"/>
      <c r="E239" s="24" t="n"/>
      <c r="F239" s="17" t="n"/>
      <c r="G239" s="17" t="n"/>
      <c r="H239" s="17" t="n"/>
      <c r="I239" s="17" t="n"/>
      <c r="J239" s="16" t="n"/>
      <c r="K239" s="19" t="n"/>
      <c r="L239" s="9" t="n"/>
    </row>
    <row r="240">
      <c r="A240" s="17" t="n"/>
      <c r="B240" s="17" t="n"/>
      <c r="C240" s="10" t="n"/>
      <c r="D240" s="17" t="n"/>
      <c r="E240" s="24" t="n"/>
      <c r="F240" s="17" t="n"/>
      <c r="G240" s="17" t="n"/>
      <c r="H240" s="17" t="n"/>
      <c r="I240" s="17" t="n"/>
      <c r="J240" s="16" t="n"/>
      <c r="K240" s="19" t="n"/>
      <c r="L240" s="9" t="n"/>
    </row>
    <row r="241">
      <c r="A241" s="17" t="n"/>
      <c r="B241" s="17" t="n"/>
      <c r="C241" s="10" t="n"/>
      <c r="D241" s="17" t="n"/>
      <c r="E241" s="24" t="n"/>
      <c r="F241" s="17" t="n"/>
      <c r="G241" s="17" t="n"/>
      <c r="H241" s="17" t="n"/>
      <c r="I241" s="17" t="n"/>
      <c r="J241" s="16" t="n"/>
      <c r="K241" s="19" t="n"/>
      <c r="L241" s="9" t="n"/>
    </row>
    <row r="242">
      <c r="A242" s="17" t="n"/>
      <c r="B242" s="17" t="n"/>
      <c r="C242" s="10" t="n"/>
      <c r="D242" s="17" t="n"/>
      <c r="E242" s="24" t="n"/>
      <c r="F242" s="17" t="n"/>
      <c r="G242" s="17" t="n"/>
      <c r="H242" s="17" t="n"/>
      <c r="I242" s="17" t="n"/>
      <c r="J242" s="16" t="n"/>
      <c r="K242" s="19" t="n"/>
      <c r="L242" s="9" t="n"/>
    </row>
    <row r="243">
      <c r="A243" s="17" t="n"/>
      <c r="B243" s="17" t="n"/>
      <c r="C243" s="10" t="n"/>
      <c r="D243" s="17" t="n"/>
      <c r="E243" s="24" t="n"/>
      <c r="F243" s="17" t="n"/>
      <c r="G243" s="17" t="n"/>
      <c r="H243" s="17" t="n"/>
      <c r="I243" s="17" t="n"/>
      <c r="J243" s="16" t="n"/>
      <c r="K243" s="19" t="n"/>
      <c r="L243" s="9" t="n"/>
    </row>
    <row r="244">
      <c r="A244" s="17" t="n"/>
      <c r="B244" s="17" t="n"/>
      <c r="C244" s="10" t="n"/>
      <c r="D244" s="17" t="n"/>
      <c r="E244" s="24" t="n"/>
      <c r="F244" s="17" t="n"/>
      <c r="G244" s="17" t="n"/>
      <c r="H244" s="17" t="n"/>
      <c r="I244" s="17" t="n"/>
      <c r="J244" s="16" t="n"/>
      <c r="K244" s="19" t="n"/>
      <c r="L244" s="9" t="n"/>
    </row>
    <row r="245">
      <c r="A245" s="17" t="n"/>
      <c r="B245" s="17" t="n"/>
      <c r="C245" s="10" t="n"/>
      <c r="D245" s="17" t="n"/>
      <c r="E245" s="24" t="n"/>
      <c r="F245" s="17" t="n"/>
      <c r="G245" s="17" t="n"/>
      <c r="H245" s="17" t="n"/>
      <c r="I245" s="17" t="n"/>
      <c r="J245" s="16" t="n"/>
      <c r="K245" s="19" t="n"/>
      <c r="L245" s="9" t="n"/>
    </row>
    <row r="246">
      <c r="A246" s="17" t="n"/>
      <c r="B246" s="17" t="n"/>
      <c r="C246" s="10" t="n"/>
      <c r="D246" s="17" t="n"/>
      <c r="E246" s="24" t="n"/>
      <c r="F246" s="17" t="n"/>
      <c r="G246" s="17" t="n"/>
      <c r="H246" s="17" t="n"/>
      <c r="I246" s="17" t="n"/>
      <c r="J246" s="16" t="n"/>
      <c r="K246" s="19" t="n"/>
      <c r="L246" s="9" t="n"/>
    </row>
    <row r="247">
      <c r="A247" s="17" t="n"/>
      <c r="B247" s="17" t="n"/>
      <c r="C247" s="10" t="n"/>
      <c r="D247" s="17" t="n"/>
      <c r="E247" s="24" t="n"/>
      <c r="F247" s="17" t="n"/>
      <c r="G247" s="17" t="n"/>
      <c r="H247" s="17" t="n"/>
      <c r="I247" s="17" t="n"/>
      <c r="J247" s="16" t="n"/>
      <c r="K247" s="19" t="n"/>
      <c r="L247" s="9" t="n"/>
    </row>
    <row r="248">
      <c r="A248" s="17" t="n"/>
      <c r="B248" s="17" t="n"/>
      <c r="C248" s="10" t="n"/>
      <c r="D248" s="17" t="n"/>
      <c r="E248" s="24" t="n"/>
      <c r="F248" s="17" t="n"/>
      <c r="G248" s="17" t="n"/>
      <c r="H248" s="17" t="n"/>
      <c r="I248" s="17" t="n"/>
      <c r="J248" s="16" t="n"/>
      <c r="K248" s="19" t="n"/>
      <c r="L248" s="9" t="n"/>
    </row>
    <row r="249">
      <c r="A249" s="17" t="n"/>
      <c r="B249" s="17" t="n"/>
      <c r="C249" s="10" t="n"/>
      <c r="D249" s="17" t="n"/>
      <c r="E249" s="24" t="n"/>
      <c r="F249" s="17" t="n"/>
      <c r="G249" s="17" t="n"/>
      <c r="H249" s="17" t="n"/>
      <c r="I249" s="17" t="n"/>
      <c r="J249" s="16" t="n"/>
      <c r="K249" s="19" t="n"/>
      <c r="L249" s="9" t="n"/>
    </row>
    <row r="250">
      <c r="A250" s="17" t="n"/>
      <c r="B250" s="17" t="n"/>
      <c r="C250" s="10" t="n"/>
      <c r="D250" s="17" t="n"/>
      <c r="E250" s="24" t="n"/>
      <c r="F250" s="17" t="n"/>
      <c r="G250" s="17" t="n"/>
      <c r="H250" s="17" t="n"/>
      <c r="I250" s="17" t="n"/>
      <c r="J250" s="16" t="n"/>
      <c r="K250" s="19" t="n"/>
      <c r="L250" s="9" t="n"/>
    </row>
    <row r="251">
      <c r="A251" s="17" t="n"/>
      <c r="B251" s="17" t="n"/>
      <c r="C251" s="10" t="n"/>
      <c r="D251" s="17" t="n"/>
      <c r="E251" s="24" t="n"/>
      <c r="F251" s="17" t="n"/>
      <c r="G251" s="17" t="n"/>
      <c r="H251" s="17" t="n"/>
      <c r="I251" s="17" t="n"/>
      <c r="J251" s="16" t="n"/>
      <c r="K251" s="19" t="n"/>
      <c r="L251" s="9" t="n"/>
    </row>
    <row r="252">
      <c r="A252" s="17" t="n"/>
      <c r="B252" s="17" t="n"/>
      <c r="C252" s="10" t="n"/>
      <c r="D252" s="17" t="n"/>
      <c r="E252" s="24" t="n"/>
      <c r="F252" s="17" t="n"/>
      <c r="G252" s="17" t="n"/>
      <c r="H252" s="17" t="n"/>
      <c r="I252" s="17" t="n"/>
      <c r="J252" s="16" t="n"/>
      <c r="K252" s="19" t="n"/>
      <c r="L252" s="9" t="n"/>
    </row>
    <row r="253">
      <c r="A253" s="17" t="n"/>
      <c r="B253" s="17" t="n"/>
      <c r="C253" s="10" t="n"/>
      <c r="D253" s="17" t="n"/>
      <c r="E253" s="24" t="n"/>
      <c r="F253" s="17" t="n"/>
      <c r="G253" s="17" t="n"/>
      <c r="H253" s="17" t="n"/>
      <c r="I253" s="17" t="n"/>
      <c r="J253" s="16" t="n"/>
      <c r="K253" s="19" t="n"/>
      <c r="L253" s="9" t="n"/>
    </row>
    <row r="254">
      <c r="A254" s="17" t="n"/>
      <c r="B254" s="17" t="n"/>
      <c r="C254" s="10" t="n"/>
      <c r="D254" s="17" t="n"/>
      <c r="E254" s="24" t="n"/>
      <c r="F254" s="17" t="n"/>
      <c r="G254" s="17" t="n"/>
      <c r="H254" s="17" t="n"/>
      <c r="I254" s="17" t="n"/>
      <c r="J254" s="16" t="n"/>
      <c r="K254" s="19" t="n"/>
      <c r="L254" s="9" t="n"/>
    </row>
    <row r="255">
      <c r="A255" s="17" t="n"/>
      <c r="B255" s="17" t="n"/>
      <c r="C255" s="10" t="n"/>
      <c r="D255" s="17" t="n"/>
      <c r="E255" s="24" t="n"/>
      <c r="F255" s="17" t="n"/>
      <c r="G255" s="17" t="n"/>
      <c r="H255" s="17" t="n"/>
      <c r="I255" s="17" t="n"/>
      <c r="J255" s="16" t="n"/>
      <c r="K255" s="19" t="n"/>
      <c r="L255" s="9" t="n"/>
    </row>
    <row r="256">
      <c r="A256" s="17" t="n"/>
      <c r="B256" s="17" t="n"/>
      <c r="C256" s="10" t="n"/>
      <c r="D256" s="17" t="n"/>
      <c r="E256" s="24" t="n"/>
      <c r="F256" s="17" t="n"/>
      <c r="G256" s="17" t="n"/>
      <c r="H256" s="17" t="n"/>
      <c r="I256" s="17" t="n"/>
      <c r="J256" s="16" t="n"/>
      <c r="K256" s="19" t="n"/>
      <c r="L256" s="9" t="n"/>
    </row>
    <row r="257">
      <c r="A257" s="17" t="n"/>
      <c r="B257" s="17" t="n"/>
      <c r="C257" s="10" t="n"/>
      <c r="D257" s="17" t="n"/>
      <c r="E257" s="24" t="n"/>
      <c r="F257" s="17" t="n"/>
      <c r="G257" s="17" t="n"/>
      <c r="H257" s="17" t="n"/>
      <c r="I257" s="17" t="n"/>
      <c r="J257" s="16" t="n"/>
      <c r="K257" s="19" t="n"/>
      <c r="L257" s="9" t="n"/>
    </row>
    <row r="258">
      <c r="A258" s="17" t="n"/>
      <c r="B258" s="17" t="n"/>
      <c r="C258" s="10" t="n"/>
      <c r="D258" s="17" t="n"/>
      <c r="E258" s="24" t="n"/>
      <c r="F258" s="17" t="n"/>
      <c r="G258" s="17" t="n"/>
      <c r="H258" s="17" t="n"/>
      <c r="I258" s="17" t="n"/>
      <c r="J258" s="16" t="n"/>
      <c r="K258" s="19" t="n"/>
      <c r="L258" s="9" t="n"/>
    </row>
    <row r="259">
      <c r="A259" s="17" t="n"/>
      <c r="B259" s="17" t="n"/>
      <c r="C259" s="10" t="n"/>
      <c r="D259" s="17" t="n"/>
      <c r="E259" s="24" t="n"/>
      <c r="F259" s="17" t="n"/>
      <c r="G259" s="17" t="n"/>
      <c r="H259" s="17" t="n"/>
      <c r="I259" s="17" t="n"/>
      <c r="J259" s="16" t="n"/>
      <c r="K259" s="19" t="n"/>
      <c r="L259" s="9" t="n"/>
    </row>
    <row r="260">
      <c r="A260" s="17" t="n"/>
      <c r="B260" s="17" t="n"/>
      <c r="C260" s="10" t="n"/>
      <c r="D260" s="17" t="n"/>
      <c r="E260" s="24" t="n"/>
      <c r="F260" s="17" t="n"/>
      <c r="G260" s="17" t="n"/>
      <c r="H260" s="17" t="n"/>
      <c r="I260" s="17" t="n"/>
      <c r="J260" s="16" t="n"/>
      <c r="K260" s="19" t="n"/>
      <c r="L260" s="9" t="n"/>
    </row>
    <row r="261">
      <c r="A261" s="17" t="n"/>
      <c r="B261" s="17" t="n"/>
      <c r="C261" s="10" t="n"/>
      <c r="D261" s="17" t="n"/>
      <c r="E261" s="24" t="n"/>
      <c r="F261" s="17" t="n"/>
      <c r="G261" s="17" t="n"/>
      <c r="H261" s="17" t="n"/>
      <c r="I261" s="17" t="n"/>
      <c r="J261" s="16" t="n"/>
      <c r="K261" s="19" t="n"/>
      <c r="L261" s="9" t="n"/>
    </row>
    <row r="262">
      <c r="A262" s="17" t="n"/>
      <c r="B262" s="17" t="n"/>
      <c r="C262" s="10" t="n"/>
      <c r="D262" s="17" t="n"/>
      <c r="E262" s="24" t="n"/>
      <c r="F262" s="17" t="n"/>
      <c r="G262" s="17" t="n"/>
      <c r="H262" s="17" t="n"/>
      <c r="I262" s="17" t="n"/>
      <c r="J262" s="16" t="n"/>
      <c r="K262" s="19" t="n"/>
      <c r="L262" s="9" t="n"/>
    </row>
    <row r="263">
      <c r="A263" s="17" t="n"/>
      <c r="B263" s="17" t="n"/>
      <c r="C263" s="10" t="n"/>
      <c r="D263" s="17" t="n"/>
      <c r="E263" s="24" t="n"/>
      <c r="F263" s="17" t="n"/>
      <c r="G263" s="17" t="n"/>
      <c r="H263" s="17" t="n"/>
      <c r="I263" s="17" t="n"/>
      <c r="J263" s="16" t="n"/>
      <c r="K263" s="19" t="n"/>
      <c r="L263" s="9" t="n"/>
    </row>
    <row r="264">
      <c r="A264" s="17" t="n"/>
      <c r="B264" s="17" t="n"/>
      <c r="C264" s="10" t="n"/>
      <c r="D264" s="17" t="n"/>
      <c r="E264" s="24" t="n"/>
      <c r="F264" s="17" t="n"/>
      <c r="G264" s="17" t="n"/>
      <c r="H264" s="17" t="n"/>
      <c r="I264" s="17" t="n"/>
      <c r="J264" s="16" t="n"/>
      <c r="K264" s="19" t="n"/>
      <c r="L264" s="9" t="n"/>
    </row>
    <row r="265">
      <c r="A265" s="17" t="n"/>
      <c r="B265" s="17" t="n"/>
      <c r="C265" s="10" t="n"/>
      <c r="D265" s="17" t="n"/>
      <c r="E265" s="24" t="n"/>
      <c r="F265" s="17" t="n"/>
      <c r="G265" s="17" t="n"/>
      <c r="H265" s="17" t="n"/>
      <c r="I265" s="17" t="n"/>
      <c r="J265" s="16" t="n"/>
      <c r="K265" s="19" t="n"/>
      <c r="L265" s="9" t="n"/>
    </row>
    <row r="266">
      <c r="A266" s="17" t="n"/>
      <c r="B266" s="17" t="n"/>
      <c r="C266" s="10" t="n"/>
      <c r="D266" s="17" t="n"/>
      <c r="E266" s="24" t="n"/>
      <c r="F266" s="17" t="n"/>
      <c r="G266" s="17" t="n"/>
      <c r="H266" s="17" t="n"/>
      <c r="I266" s="17" t="n"/>
      <c r="J266" s="16" t="n"/>
      <c r="K266" s="19" t="n"/>
      <c r="L266" s="9" t="n"/>
    </row>
    <row r="267">
      <c r="A267" s="17" t="n"/>
      <c r="B267" s="17" t="n"/>
      <c r="C267" s="10" t="n"/>
      <c r="D267" s="17" t="n"/>
      <c r="E267" s="24" t="n"/>
      <c r="F267" s="17" t="n"/>
      <c r="G267" s="17" t="n"/>
      <c r="H267" s="17" t="n"/>
      <c r="I267" s="17" t="n"/>
      <c r="J267" s="16" t="n"/>
      <c r="K267" s="19" t="n"/>
      <c r="L267" s="9" t="n"/>
    </row>
    <row r="268">
      <c r="A268" s="17" t="n"/>
      <c r="B268" s="17" t="n"/>
      <c r="C268" s="10" t="n"/>
      <c r="D268" s="17" t="n"/>
      <c r="E268" s="24" t="n"/>
      <c r="F268" s="17" t="n"/>
      <c r="G268" s="17" t="n"/>
      <c r="H268" s="17" t="n"/>
      <c r="I268" s="17" t="n"/>
      <c r="J268" s="16" t="n"/>
      <c r="K268" s="19" t="n"/>
      <c r="L268" s="9" t="n"/>
    </row>
    <row r="269">
      <c r="A269" s="17" t="n"/>
      <c r="B269" s="17" t="n"/>
      <c r="C269" s="10" t="n"/>
      <c r="D269" s="17" t="n"/>
      <c r="E269" s="24" t="n"/>
      <c r="F269" s="17" t="n"/>
      <c r="G269" s="17" t="n"/>
      <c r="H269" s="17" t="n"/>
      <c r="I269" s="17" t="n"/>
      <c r="J269" s="16" t="n"/>
      <c r="K269" s="19" t="n"/>
      <c r="L269" s="9" t="n"/>
    </row>
    <row r="270">
      <c r="A270" s="17" t="n"/>
      <c r="B270" s="17" t="n"/>
      <c r="C270" s="10" t="n"/>
      <c r="D270" s="17" t="n"/>
      <c r="E270" s="24" t="n"/>
      <c r="F270" s="17" t="n"/>
      <c r="G270" s="17" t="n"/>
      <c r="H270" s="17" t="n"/>
      <c r="I270" s="17" t="n"/>
      <c r="J270" s="16" t="n"/>
      <c r="K270" s="19" t="n"/>
      <c r="L270" s="9" t="n"/>
    </row>
    <row r="271">
      <c r="A271" s="17" t="n"/>
      <c r="B271" s="17" t="n"/>
      <c r="C271" s="10" t="n"/>
      <c r="D271" s="17" t="n"/>
      <c r="E271" s="24" t="n"/>
      <c r="F271" s="17" t="n"/>
      <c r="G271" s="17" t="n"/>
      <c r="H271" s="17" t="n"/>
      <c r="I271" s="17" t="n"/>
      <c r="J271" s="16" t="n"/>
      <c r="K271" s="19" t="n"/>
      <c r="L271" s="9" t="n"/>
    </row>
    <row r="272">
      <c r="A272" s="17" t="n"/>
      <c r="B272" s="17" t="n"/>
      <c r="C272" s="10" t="n"/>
      <c r="D272" s="17" t="n"/>
      <c r="E272" s="24" t="n"/>
      <c r="F272" s="17" t="n"/>
      <c r="G272" s="17" t="n"/>
      <c r="H272" s="17" t="n"/>
      <c r="I272" s="17" t="n"/>
      <c r="J272" s="16" t="n"/>
      <c r="K272" s="19" t="n"/>
      <c r="L272" s="9" t="n"/>
    </row>
    <row r="273">
      <c r="A273" s="17" t="n"/>
      <c r="B273" s="17" t="n"/>
      <c r="C273" s="10" t="n"/>
      <c r="D273" s="17" t="n"/>
      <c r="E273" s="24" t="n"/>
      <c r="F273" s="17" t="n"/>
      <c r="G273" s="17" t="n"/>
      <c r="H273" s="17" t="n"/>
      <c r="I273" s="17" t="n"/>
      <c r="J273" s="16" t="n"/>
      <c r="K273" s="19" t="n"/>
      <c r="L273" s="9" t="n"/>
    </row>
    <row r="274">
      <c r="A274" s="17" t="n"/>
      <c r="B274" s="17" t="n"/>
      <c r="C274" s="10" t="n"/>
      <c r="D274" s="17" t="n"/>
      <c r="E274" s="24" t="n"/>
      <c r="F274" s="17" t="n"/>
      <c r="G274" s="17" t="n"/>
      <c r="H274" s="17" t="n"/>
      <c r="I274" s="17" t="n"/>
      <c r="J274" s="16" t="n"/>
      <c r="K274" s="19" t="n"/>
      <c r="L274" s="9" t="n"/>
    </row>
    <row r="275">
      <c r="A275" s="17" t="n"/>
      <c r="B275" s="17" t="n"/>
      <c r="C275" s="10" t="n"/>
      <c r="D275" s="17" t="n"/>
      <c r="E275" s="24" t="n"/>
      <c r="F275" s="17" t="n"/>
      <c r="G275" s="17" t="n"/>
      <c r="H275" s="17" t="n"/>
      <c r="I275" s="17" t="n"/>
      <c r="J275" s="16" t="n"/>
      <c r="K275" s="19" t="n"/>
      <c r="L275" s="9" t="n"/>
    </row>
    <row r="276">
      <c r="A276" s="17" t="n"/>
      <c r="B276" s="17" t="n"/>
      <c r="C276" s="10" t="n"/>
      <c r="D276" s="17" t="n"/>
      <c r="E276" s="24" t="n"/>
      <c r="F276" s="17" t="n"/>
      <c r="G276" s="17" t="n"/>
      <c r="H276" s="17" t="n"/>
      <c r="I276" s="17" t="n"/>
      <c r="J276" s="16" t="n"/>
      <c r="K276" s="19" t="n"/>
      <c r="L276" s="9" t="n"/>
    </row>
    <row r="277">
      <c r="A277" s="17" t="n"/>
      <c r="B277" s="17" t="n"/>
      <c r="C277" s="10" t="n"/>
      <c r="D277" s="17" t="n"/>
      <c r="E277" s="24" t="n"/>
      <c r="F277" s="17" t="n"/>
      <c r="G277" s="17" t="n"/>
      <c r="H277" s="17" t="n"/>
      <c r="I277" s="17" t="n"/>
      <c r="J277" s="16" t="n"/>
      <c r="K277" s="19" t="n"/>
      <c r="L277" s="9" t="n"/>
    </row>
    <row r="278">
      <c r="A278" s="17" t="n"/>
      <c r="B278" s="17" t="n"/>
      <c r="C278" s="10" t="n"/>
      <c r="D278" s="17" t="n"/>
      <c r="E278" s="24" t="n"/>
      <c r="F278" s="17" t="n"/>
      <c r="G278" s="17" t="n"/>
      <c r="H278" s="17" t="n"/>
      <c r="I278" s="17" t="n"/>
      <c r="J278" s="16" t="n"/>
      <c r="K278" s="19" t="n"/>
      <c r="L278" s="9" t="n"/>
    </row>
    <row r="279">
      <c r="A279" s="17" t="n"/>
      <c r="B279" s="17" t="n"/>
      <c r="C279" s="10" t="n"/>
      <c r="D279" s="17" t="n"/>
      <c r="E279" s="24" t="n"/>
      <c r="F279" s="17" t="n"/>
      <c r="G279" s="17" t="n"/>
      <c r="H279" s="17" t="n"/>
      <c r="I279" s="17" t="n"/>
      <c r="J279" s="16" t="n"/>
      <c r="K279" s="19" t="n"/>
      <c r="L279" s="9" t="n"/>
    </row>
    <row r="280">
      <c r="A280" s="17" t="n"/>
      <c r="B280" s="17" t="n"/>
      <c r="C280" s="10" t="n"/>
      <c r="D280" s="17" t="n"/>
      <c r="E280" s="24" t="n"/>
      <c r="F280" s="17" t="n"/>
      <c r="G280" s="17" t="n"/>
      <c r="H280" s="17" t="n"/>
      <c r="I280" s="17" t="n"/>
      <c r="J280" s="16" t="n"/>
      <c r="K280" s="19" t="n"/>
      <c r="L280" s="9" t="n"/>
    </row>
    <row r="281">
      <c r="A281" s="17" t="n"/>
      <c r="B281" s="17" t="n"/>
      <c r="C281" s="10" t="n"/>
      <c r="D281" s="17" t="n"/>
      <c r="E281" s="24" t="n"/>
      <c r="F281" s="17" t="n"/>
      <c r="G281" s="17" t="n"/>
      <c r="H281" s="17" t="n"/>
      <c r="I281" s="17" t="n"/>
      <c r="J281" s="16" t="n"/>
      <c r="K281" s="19" t="n"/>
      <c r="L281" s="9" t="n"/>
    </row>
    <row r="282">
      <c r="A282" s="17" t="n"/>
      <c r="B282" s="17" t="n"/>
      <c r="C282" s="10" t="n"/>
      <c r="D282" s="17" t="n"/>
      <c r="E282" s="24" t="n"/>
      <c r="F282" s="17" t="n"/>
      <c r="G282" s="17" t="n"/>
      <c r="H282" s="17" t="n"/>
      <c r="I282" s="17" t="n"/>
      <c r="J282" s="16" t="n"/>
      <c r="K282" s="19" t="n"/>
      <c r="L282" s="9" t="n"/>
    </row>
    <row r="283">
      <c r="A283" s="17" t="n"/>
      <c r="B283" s="17" t="n"/>
      <c r="C283" s="10" t="n"/>
      <c r="D283" s="17" t="n"/>
      <c r="E283" s="24" t="n"/>
      <c r="F283" s="17" t="n"/>
      <c r="G283" s="17" t="n"/>
      <c r="H283" s="17" t="n"/>
      <c r="I283" s="17" t="n"/>
      <c r="J283" s="16" t="n"/>
      <c r="K283" s="19" t="n"/>
      <c r="L283" s="9" t="n"/>
    </row>
    <row r="284">
      <c r="A284" s="17" t="n"/>
      <c r="B284" s="17" t="n"/>
      <c r="C284" s="10" t="n"/>
      <c r="D284" s="17" t="n"/>
      <c r="E284" s="24" t="n"/>
      <c r="F284" s="17" t="n"/>
      <c r="G284" s="17" t="n"/>
      <c r="H284" s="17" t="n"/>
      <c r="I284" s="17" t="n"/>
      <c r="J284" s="16" t="n"/>
      <c r="K284" s="19" t="n"/>
      <c r="L284" s="9" t="n"/>
    </row>
    <row r="285">
      <c r="A285" s="17" t="n"/>
      <c r="B285" s="17" t="n"/>
      <c r="C285" s="10" t="n"/>
      <c r="D285" s="17" t="n"/>
      <c r="E285" s="24" t="n"/>
      <c r="F285" s="17" t="n"/>
      <c r="G285" s="17" t="n"/>
      <c r="H285" s="17" t="n"/>
      <c r="I285" s="17" t="n"/>
      <c r="J285" s="16" t="n"/>
      <c r="K285" s="19" t="n"/>
      <c r="L285" s="9" t="n"/>
    </row>
    <row r="286">
      <c r="A286" s="17" t="n"/>
      <c r="B286" s="17" t="n"/>
      <c r="C286" s="10" t="n"/>
      <c r="D286" s="17" t="n"/>
      <c r="E286" s="24" t="n"/>
      <c r="F286" s="17" t="n"/>
      <c r="G286" s="17" t="n"/>
      <c r="H286" s="17" t="n"/>
      <c r="I286" s="17" t="n"/>
      <c r="J286" s="16" t="n"/>
      <c r="K286" s="19" t="n"/>
      <c r="L286" s="9" t="n"/>
    </row>
    <row r="287">
      <c r="A287" s="17" t="n"/>
      <c r="B287" s="17" t="n"/>
      <c r="C287" s="10" t="n"/>
      <c r="D287" s="17" t="n"/>
      <c r="E287" s="24" t="n"/>
      <c r="F287" s="17" t="n"/>
      <c r="G287" s="17" t="n"/>
      <c r="H287" s="17" t="n"/>
      <c r="I287" s="17" t="n"/>
      <c r="J287" s="16" t="n"/>
      <c r="K287" s="19" t="n"/>
      <c r="L287" s="9" t="n"/>
    </row>
    <row r="288">
      <c r="A288" s="17" t="n"/>
      <c r="B288" s="17" t="n"/>
      <c r="C288" s="10" t="n"/>
      <c r="D288" s="17" t="n"/>
      <c r="E288" s="24" t="n"/>
      <c r="F288" s="17" t="n"/>
      <c r="G288" s="17" t="n"/>
      <c r="H288" s="17" t="n"/>
      <c r="I288" s="17" t="n"/>
      <c r="J288" s="16" t="n"/>
      <c r="K288" s="19" t="n"/>
      <c r="L288" s="9" t="n"/>
    </row>
    <row r="289">
      <c r="A289" s="17" t="n"/>
      <c r="B289" s="17" t="n"/>
      <c r="C289" s="10" t="n"/>
      <c r="D289" s="17" t="n"/>
      <c r="E289" s="24" t="n"/>
      <c r="F289" s="17" t="n"/>
      <c r="G289" s="17" t="n"/>
      <c r="H289" s="17" t="n"/>
      <c r="I289" s="17" t="n"/>
      <c r="J289" s="16" t="n"/>
      <c r="K289" s="19" t="n"/>
      <c r="L289" s="9" t="n"/>
    </row>
    <row r="290">
      <c r="A290" s="17" t="n"/>
      <c r="B290" s="17" t="n"/>
      <c r="C290" s="10" t="n"/>
      <c r="D290" s="17" t="n"/>
      <c r="E290" s="24" t="n"/>
      <c r="F290" s="17" t="n"/>
      <c r="G290" s="17" t="n"/>
      <c r="H290" s="17" t="n"/>
      <c r="I290" s="17" t="n"/>
      <c r="J290" s="16" t="n"/>
      <c r="K290" s="19" t="n"/>
      <c r="L290" s="9" t="n"/>
    </row>
    <row r="291">
      <c r="A291" s="17" t="n"/>
      <c r="B291" s="17" t="n"/>
      <c r="C291" s="10" t="n"/>
      <c r="D291" s="17" t="n"/>
      <c r="E291" s="24" t="n"/>
      <c r="F291" s="17" t="n"/>
      <c r="G291" s="17" t="n"/>
      <c r="H291" s="17" t="n"/>
      <c r="I291" s="17" t="n"/>
      <c r="J291" s="16" t="n"/>
      <c r="K291" s="19" t="n"/>
      <c r="L291" s="9" t="n"/>
    </row>
    <row r="292">
      <c r="A292" s="17" t="n"/>
      <c r="B292" s="17" t="n"/>
      <c r="C292" s="10" t="n"/>
      <c r="D292" s="17" t="n"/>
      <c r="E292" s="24" t="n"/>
      <c r="F292" s="17" t="n"/>
      <c r="G292" s="17" t="n"/>
      <c r="H292" s="17" t="n"/>
      <c r="I292" s="17" t="n"/>
      <c r="J292" s="16" t="n"/>
      <c r="K292" s="19" t="n"/>
      <c r="L292" s="9" t="n"/>
    </row>
    <row r="293">
      <c r="A293" s="17" t="n"/>
      <c r="B293" s="17" t="n"/>
      <c r="C293" s="10" t="n"/>
      <c r="D293" s="17" t="n"/>
      <c r="E293" s="24" t="n"/>
      <c r="F293" s="17" t="n"/>
      <c r="G293" s="17" t="n"/>
      <c r="H293" s="17" t="n"/>
      <c r="I293" s="17" t="n"/>
      <c r="J293" s="16" t="n"/>
      <c r="K293" s="19" t="n"/>
      <c r="L293" s="9" t="n"/>
    </row>
    <row r="294">
      <c r="A294" s="17" t="n"/>
      <c r="B294" s="17" t="n"/>
      <c r="C294" s="10" t="n"/>
      <c r="D294" s="17" t="n"/>
      <c r="E294" s="24" t="n"/>
      <c r="F294" s="17" t="n"/>
      <c r="G294" s="17" t="n"/>
      <c r="H294" s="17" t="n"/>
      <c r="I294" s="17" t="n"/>
      <c r="J294" s="16" t="n"/>
      <c r="K294" s="19" t="n"/>
      <c r="L294" s="9" t="n"/>
    </row>
    <row r="295">
      <c r="A295" s="17" t="n"/>
      <c r="B295" s="17" t="n"/>
      <c r="C295" s="10" t="n"/>
      <c r="D295" s="17" t="n"/>
      <c r="E295" s="24" t="n"/>
      <c r="F295" s="17" t="n"/>
      <c r="G295" s="17" t="n"/>
      <c r="H295" s="17" t="n"/>
      <c r="I295" s="17" t="n"/>
      <c r="J295" s="16" t="n"/>
      <c r="K295" s="19" t="n"/>
      <c r="L295" s="9" t="n"/>
    </row>
    <row r="296">
      <c r="A296" s="17" t="n"/>
      <c r="B296" s="17" t="n"/>
      <c r="C296" s="10" t="n"/>
      <c r="D296" s="17" t="n"/>
      <c r="E296" s="24" t="n"/>
      <c r="F296" s="17" t="n"/>
      <c r="G296" s="17" t="n"/>
      <c r="H296" s="17" t="n"/>
      <c r="I296" s="17" t="n"/>
      <c r="J296" s="16" t="n"/>
      <c r="K296" s="19" t="n"/>
      <c r="L296" s="9" t="n"/>
    </row>
    <row r="297">
      <c r="A297" s="17" t="n"/>
      <c r="B297" s="17" t="n"/>
      <c r="C297" s="10" t="n"/>
      <c r="D297" s="17" t="n"/>
      <c r="E297" s="24" t="n"/>
      <c r="F297" s="17" t="n"/>
      <c r="G297" s="17" t="n"/>
      <c r="H297" s="17" t="n"/>
      <c r="I297" s="17" t="n"/>
      <c r="J297" s="16" t="n"/>
      <c r="K297" s="19" t="n"/>
      <c r="L297" s="9" t="n"/>
    </row>
    <row r="298">
      <c r="A298" s="17" t="n"/>
      <c r="B298" s="17" t="n"/>
      <c r="C298" s="10" t="n"/>
      <c r="D298" s="17" t="n"/>
      <c r="E298" s="24" t="n"/>
      <c r="F298" s="17" t="n"/>
      <c r="G298" s="17" t="n"/>
      <c r="H298" s="17" t="n"/>
      <c r="I298" s="17" t="n"/>
      <c r="J298" s="16" t="n"/>
      <c r="K298" s="19" t="n"/>
      <c r="L298" s="9" t="n"/>
    </row>
    <row r="299">
      <c r="A299" s="17" t="n"/>
      <c r="B299" s="17" t="n"/>
      <c r="C299" s="10" t="n"/>
      <c r="D299" s="17" t="n"/>
      <c r="E299" s="24" t="n"/>
      <c r="F299" s="17" t="n"/>
      <c r="G299" s="17" t="n"/>
      <c r="H299" s="17" t="n"/>
      <c r="I299" s="17" t="n"/>
      <c r="J299" s="16" t="n"/>
      <c r="K299" s="19" t="n"/>
      <c r="L299" s="9" t="n"/>
    </row>
    <row r="300">
      <c r="A300" s="17" t="n"/>
      <c r="B300" s="17" t="n"/>
      <c r="C300" s="10" t="n"/>
      <c r="D300" s="17" t="n"/>
      <c r="E300" s="24" t="n"/>
      <c r="F300" s="17" t="n"/>
      <c r="G300" s="17" t="n"/>
      <c r="H300" s="17" t="n"/>
      <c r="I300" s="17" t="n"/>
      <c r="J300" s="16" t="n"/>
      <c r="K300" s="19" t="n"/>
      <c r="L300" s="9" t="n"/>
    </row>
    <row r="301">
      <c r="A301" s="17" t="n"/>
      <c r="B301" s="17" t="n"/>
      <c r="C301" s="10" t="n"/>
      <c r="D301" s="17" t="n"/>
      <c r="E301" s="24" t="n"/>
      <c r="F301" s="17" t="n"/>
      <c r="G301" s="17" t="n"/>
      <c r="H301" s="17" t="n"/>
      <c r="I301" s="17" t="n"/>
      <c r="J301" s="16" t="n"/>
      <c r="K301" s="19" t="n"/>
      <c r="L301" s="9" t="n"/>
    </row>
    <row r="302">
      <c r="A302" s="17" t="n"/>
      <c r="B302" s="17" t="n"/>
      <c r="C302" s="10" t="n"/>
      <c r="D302" s="17" t="n"/>
      <c r="E302" s="24" t="n"/>
      <c r="F302" s="17" t="n"/>
      <c r="G302" s="17" t="n"/>
      <c r="H302" s="17" t="n"/>
      <c r="I302" s="17" t="n"/>
      <c r="J302" s="16" t="n"/>
      <c r="K302" s="19" t="n"/>
      <c r="L302" s="9" t="n"/>
    </row>
    <row r="303">
      <c r="A303" s="17" t="n"/>
      <c r="B303" s="17" t="n"/>
      <c r="C303" s="10" t="n"/>
      <c r="D303" s="17" t="n"/>
      <c r="E303" s="24" t="n"/>
      <c r="F303" s="17" t="n"/>
      <c r="G303" s="17" t="n"/>
      <c r="H303" s="17" t="n"/>
      <c r="I303" s="17" t="n"/>
      <c r="J303" s="16" t="n"/>
      <c r="K303" s="19" t="n"/>
      <c r="L303" s="9" t="n"/>
    </row>
    <row r="304">
      <c r="A304" s="17" t="n"/>
      <c r="B304" s="17" t="n"/>
      <c r="C304" s="10" t="n"/>
      <c r="D304" s="17" t="n"/>
      <c r="E304" s="24" t="n"/>
      <c r="F304" s="17" t="n"/>
      <c r="G304" s="17" t="n"/>
      <c r="H304" s="17" t="n"/>
      <c r="I304" s="17" t="n"/>
      <c r="J304" s="16" t="n"/>
      <c r="K304" s="19" t="n"/>
      <c r="L304" s="9" t="n"/>
    </row>
    <row r="305">
      <c r="A305" s="17" t="n"/>
      <c r="B305" s="17" t="n"/>
      <c r="C305" s="10" t="n"/>
      <c r="D305" s="17" t="n"/>
      <c r="E305" s="24" t="n"/>
      <c r="F305" s="17" t="n"/>
      <c r="G305" s="17" t="n"/>
      <c r="H305" s="17" t="n"/>
      <c r="I305" s="17" t="n"/>
      <c r="J305" s="16" t="n"/>
      <c r="K305" s="19" t="n"/>
      <c r="L305" s="9" t="n"/>
    </row>
    <row r="307">
      <c r="A307" s="8" t="inlineStr">
        <is>
          <t>TOTAL</t>
        </is>
      </c>
      <c r="K307" s="22">
        <f>SUM(K6:K305)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L305"/>
  <mergeCells count="1">
    <mergeCell ref="A2:L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2">
    <dataValidation sqref="D6:D306" showDropDown="0" showInputMessage="0" showErrorMessage="1" allowBlank="1" errorTitle="Invalid value" error="Pick a value from the list." type="list">
      <formula1>=Lists!$H$2:$H$60</formula1>
    </dataValidation>
    <dataValidation sqref="G6:G306" showDropDown="0" showInputMessage="0" showErrorMessage="1" allowBlank="1" errorTitle="Invalid value" error="Pick a value from the list." type="list">
      <formula1>=Lists!$I$2:$I$60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2" customWidth="1" min="2" max="2"/>
    <col width="14" customWidth="1" min="3" max="3"/>
    <col width="18" customWidth="1" min="4" max="4"/>
    <col width="12" customWidth="1" min="5" max="5"/>
    <col width="60" customWidth="1" min="6" max="6"/>
  </cols>
  <sheetData>
    <row r="1">
      <c r="A1" s="4" t="inlineStr">
        <is>
          <t>Commercial Calculation (formula mirror of the application engine)</t>
        </is>
      </c>
    </row>
    <row r="2" ht="44" customHeight="1">
      <c r="A2" s="5" t="inlineStr">
        <is>
          <t>Order: direct + indirect = C0; + contingency + risk + escalation = total cost; selling price by the SELECTED method; less discount; commercial rounding; tax on the tendered schedule total. Each adder is applied once from its stated base. 'Engine' is authoritative; 'Diff' flags stale/edited formulas.</t>
        </is>
      </c>
    </row>
    <row r="3">
      <c r="A3" s="6" t="inlineStr">
        <is>
          <t>Legend: yellow = input | grey = formula (locked) | blue = read-only from the application. Python application is the authoritative calculator.</t>
        </is>
      </c>
    </row>
    <row r="5">
      <c r="A5" s="7" t="inlineStr">
        <is>
          <t>Step</t>
        </is>
      </c>
      <c r="B5" s="7" t="inlineStr">
        <is>
          <t>Workbook value / input</t>
        </is>
      </c>
      <c r="C5" s="7" t="inlineStr">
        <is>
          <t>Basis / formula</t>
        </is>
      </c>
      <c r="D5" s="7" t="inlineStr">
        <is>
          <t>Engine value</t>
        </is>
      </c>
      <c r="E5" s="7" t="inlineStr">
        <is>
          <t>Diff</t>
        </is>
      </c>
      <c r="F5" s="7" t="inlineStr">
        <is>
          <t>Note</t>
        </is>
      </c>
    </row>
    <row r="6">
      <c r="A6" s="8" t="inlineStr">
        <is>
          <t>Direct cost (SAR)</t>
        </is>
      </c>
      <c r="B6" s="28" t="n"/>
      <c r="D6" s="12" t="n"/>
      <c r="F6" s="5" t="inlineStr">
        <is>
          <t>From Direct Cost Build-Up</t>
        </is>
      </c>
    </row>
    <row r="7">
      <c r="A7" s="8" t="inlineStr">
        <is>
          <t>Indirect cost (SAR)</t>
        </is>
      </c>
      <c r="B7" s="28" t="n"/>
      <c r="D7" s="12" t="n"/>
      <c r="F7" s="5" t="inlineStr">
        <is>
          <t>From Indirect Costs (approved items only)</t>
        </is>
      </c>
    </row>
    <row r="8">
      <c r="A8" s="8" t="inlineStr">
        <is>
          <t>Pre-contingency cost C0</t>
        </is>
      </c>
      <c r="B8" s="29">
        <f>B6+B7</f>
        <v/>
      </c>
      <c r="C8" t="inlineStr">
        <is>
          <t>formula</t>
        </is>
      </c>
      <c r="D8" s="12" t="n"/>
      <c r="F8" s="5" t="inlineStr">
        <is>
          <t>Direct + indirect</t>
        </is>
      </c>
    </row>
    <row r="9">
      <c r="A9" s="8" t="inlineStr">
        <is>
          <t>Contingency %</t>
        </is>
      </c>
      <c r="B9" s="30" t="n"/>
      <c r="D9" s="31" t="n"/>
      <c r="F9" s="5" t="inlineStr">
        <is>
          <t>Percent points</t>
        </is>
      </c>
    </row>
    <row r="10">
      <c r="A10" s="8" t="inlineStr">
        <is>
          <t>Contingency base (direct | direct_indirect)</t>
        </is>
      </c>
      <c r="B10" s="32" t="n"/>
      <c r="D10" s="33" t="n"/>
      <c r="F10" s="5" t="inlineStr">
        <is>
          <t>Base must be explicit</t>
        </is>
      </c>
    </row>
    <row r="11">
      <c r="A11" s="8" t="inlineStr">
        <is>
          <t>Contingency amount</t>
        </is>
      </c>
      <c r="B11" s="29">
        <f>ROUND(B9/100*IF(B10="direct",B6,B6+B7),2)</f>
        <v/>
      </c>
      <c r="C11" t="inlineStr">
        <is>
          <t>formula</t>
        </is>
      </c>
      <c r="D11" s="12" t="n"/>
      <c r="F11" s="5" t="inlineStr"/>
    </row>
    <row r="12">
      <c r="A12" s="8" t="inlineStr">
        <is>
          <t>Risk allowances (SAR)</t>
        </is>
      </c>
      <c r="B12" s="28" t="n"/>
      <c r="D12" s="12" t="n"/>
      <c r="F12" s="5" t="inlineStr">
        <is>
          <t>Itemised in the commercial policy (percent items or fixed amounts)</t>
        </is>
      </c>
    </row>
    <row r="13">
      <c r="A13" s="8" t="inlineStr">
        <is>
          <t>Escalation %</t>
        </is>
      </c>
      <c r="B13" s="30" t="n"/>
      <c r="D13" s="31" t="n"/>
      <c r="F13" s="5" t="inlineStr"/>
    </row>
    <row r="14">
      <c r="A14" s="8" t="inlineStr">
        <is>
          <t>Escalation base (direct | direct_indirect | cost_before_escalation)</t>
        </is>
      </c>
      <c r="B14" s="32" t="n"/>
      <c r="D14" s="33" t="n"/>
      <c r="F14" s="5" t="inlineStr"/>
    </row>
    <row r="15">
      <c r="A15" s="8" t="inlineStr">
        <is>
          <t>Escalation amount</t>
        </is>
      </c>
      <c r="B15" s="29">
        <f>ROUND(B13/100*IF(B14="direct",B6,IF(B14="direct_indirect",B6+B7,B8+B11+B12)),2)</f>
        <v/>
      </c>
      <c r="C15" t="inlineStr">
        <is>
          <t>formula</t>
        </is>
      </c>
      <c r="D15" s="12" t="n"/>
      <c r="F15" s="5" t="inlineStr"/>
    </row>
    <row r="16">
      <c r="A16" s="8" t="inlineStr">
        <is>
          <t>Total cost T</t>
        </is>
      </c>
      <c r="B16" s="29">
        <f>B8+B11+B12+B15</f>
        <v/>
      </c>
      <c r="C16" t="inlineStr">
        <is>
          <t>formula</t>
        </is>
      </c>
      <c r="D16" s="12" t="n"/>
      <c r="F16" s="5" t="inlineStr">
        <is>
          <t>C0 + contingency + risk + escalation</t>
        </is>
      </c>
    </row>
    <row r="17">
      <c r="A17" s="8" t="inlineStr">
        <is>
          <t>Method (markup | margin)</t>
        </is>
      </c>
      <c r="B17" s="32" t="n"/>
      <c r="D17" s="33" t="n"/>
      <c r="F17" s="5" t="inlineStr">
        <is>
          <t>Clearly labelled selection - no universal policy is assumed</t>
        </is>
      </c>
    </row>
    <row r="18">
      <c r="A18" s="8" t="inlineStr">
        <is>
          <t>Markup % (on cost)</t>
        </is>
      </c>
      <c r="B18" s="30" t="n"/>
      <c r="D18" s="31" t="n"/>
      <c r="F18" s="5" t="inlineStr">
        <is>
          <t>Selling = Cost x (1 + markup)</t>
        </is>
      </c>
    </row>
    <row r="19">
      <c r="A19" s="8" t="inlineStr">
        <is>
          <t>Gross margin % (of selling price)</t>
        </is>
      </c>
      <c r="B19" s="30" t="n"/>
      <c r="D19" s="31" t="n"/>
      <c r="F19" s="5" t="inlineStr">
        <is>
          <t>Selling = Cost / (1 - margin)</t>
        </is>
      </c>
    </row>
    <row r="20">
      <c r="A20" s="8" t="inlineStr">
        <is>
          <t>Selling price before discount</t>
        </is>
      </c>
      <c r="B20" s="29">
        <f>ROUND(IF(B17="markup",B16*(1+B18/100),B16/(1-B19/100)),2)</f>
        <v/>
      </c>
      <c r="C20" t="inlineStr">
        <is>
          <t>formula</t>
        </is>
      </c>
      <c r="D20" s="12" t="n"/>
      <c r="F20" s="5" t="inlineStr"/>
    </row>
    <row r="21">
      <c r="A21" s="8" t="inlineStr">
        <is>
          <t>Discount %</t>
        </is>
      </c>
      <c r="B21" s="30" t="n"/>
      <c r="D21" s="31" t="n"/>
      <c r="F21" s="5" t="inlineStr"/>
    </row>
    <row r="22">
      <c r="A22" s="8" t="inlineStr">
        <is>
          <t>Discount fixed amount (SAR)</t>
        </is>
      </c>
      <c r="B22" s="34" t="n"/>
      <c r="D22" s="12" t="n"/>
      <c r="F22" s="5" t="inlineStr">
        <is>
          <t>Use % OR amount</t>
        </is>
      </c>
    </row>
    <row r="23">
      <c r="A23" s="8" t="inlineStr">
        <is>
          <t>Discount amount</t>
        </is>
      </c>
      <c r="B23" s="29">
        <f>IF(B21&lt;&gt;"",ROUND(B20*B21/100,2),IF(B22&lt;&gt;"",B22,0))</f>
        <v/>
      </c>
      <c r="C23" t="inlineStr">
        <is>
          <t>formula</t>
        </is>
      </c>
      <c r="D23" s="12" t="n"/>
      <c r="F23" s="5" t="inlineStr"/>
    </row>
    <row r="24">
      <c r="A24" s="8" t="inlineStr">
        <is>
          <t>Net price before rounding</t>
        </is>
      </c>
      <c r="B24" s="29">
        <f>B20-B23</f>
        <v/>
      </c>
      <c r="C24" t="inlineStr">
        <is>
          <t>formula</t>
        </is>
      </c>
      <c r="D24" s="12" t="n"/>
      <c r="F24" s="5" t="inlineStr"/>
    </row>
    <row r="25">
      <c r="A25" s="8" t="inlineStr">
        <is>
          <t>Rounding step (SAR, blank = 2dp)</t>
        </is>
      </c>
      <c r="B25" s="30" t="n"/>
      <c r="D25" s="31" t="n"/>
      <c r="F25" s="5" t="inlineStr">
        <is>
          <t>Configurable commercial rounding</t>
        </is>
      </c>
    </row>
    <row r="26">
      <c r="A26" s="8" t="inlineStr">
        <is>
          <t>Net price (rounded, before tax)</t>
        </is>
      </c>
      <c r="B26" s="29">
        <f>IF(AND(B25&lt;&gt;"",B25&gt;0),ROUND(B24/B25,0)*B25,ROUND(B24,2))</f>
        <v/>
      </c>
      <c r="C26" t="inlineStr">
        <is>
          <t>formula</t>
        </is>
      </c>
      <c r="D26" s="12" t="n"/>
      <c r="F26" s="5" t="inlineStr"/>
    </row>
    <row r="27">
      <c r="A27" s="8" t="inlineStr">
        <is>
          <t>Pricing schedule total (tendered, before tax)</t>
        </is>
      </c>
      <c r="B27" s="28" t="n"/>
      <c r="D27" s="12" t="n"/>
      <c r="F27" s="5" t="inlineStr">
        <is>
          <t>Sum of rounded schedule amounts; variance to net price is reported, never hidden</t>
        </is>
      </c>
    </row>
    <row r="28">
      <c r="A28" s="8" t="inlineStr">
        <is>
          <t>Tax rate % (single category)</t>
        </is>
      </c>
      <c r="B28" s="35" t="n"/>
      <c r="D28" s="31" t="n"/>
      <c r="F28" s="5" t="inlineStr">
        <is>
          <t>From the approved, date-valid tax category. Multiple categories: see engine value</t>
        </is>
      </c>
    </row>
    <row r="29">
      <c r="A29" s="8" t="inlineStr">
        <is>
          <t>Tax</t>
        </is>
      </c>
      <c r="B29" s="29">
        <f>IF(B28="","",ROUND(B27*B28/100,2))</f>
        <v/>
      </c>
      <c r="C29" t="inlineStr">
        <is>
          <t>formula</t>
        </is>
      </c>
      <c r="D29" s="12" t="n"/>
      <c r="F29" s="5" t="inlineStr"/>
    </row>
    <row r="30">
      <c r="A30" s="8" t="inlineStr">
        <is>
          <t>Final payable (incl. tax)</t>
        </is>
      </c>
      <c r="B30" s="29">
        <f>IF(B29="","",B27+B29)</f>
        <v/>
      </c>
      <c r="C30" t="inlineStr">
        <is>
          <t>formula</t>
        </is>
      </c>
      <c r="D30" s="12" t="n"/>
      <c r="F30" s="5" t="inlineStr"/>
    </row>
    <row r="33">
      <c r="A33" s="8" t="inlineStr">
        <is>
          <t>Cost reconciliation (engine trace: resource level to selling price)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Q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4" customWidth="1" min="4" max="4"/>
    <col width="40" customWidth="1" min="5" max="5"/>
    <col width="36" customWidth="1" min="6" max="6"/>
    <col width="12" customWidth="1" min="7" max="7"/>
    <col width="7" customWidth="1" min="8" max="8"/>
    <col width="20" customWidth="1" min="9" max="9"/>
    <col width="12" customWidth="1" min="10" max="10"/>
    <col width="22" customWidth="1" min="11" max="11"/>
    <col width="34" customWidth="1" min="12" max="12"/>
    <col width="16" customWidth="1" min="13" max="13"/>
    <col width="12" customWidth="1" min="14" max="14"/>
    <col width="13" customWidth="1" min="15" max="15"/>
    <col width="12" customWidth="1" min="16" max="16"/>
    <col width="14" customWidth="1" min="17" max="17"/>
  </cols>
  <sheetData>
    <row r="1">
      <c r="A1" s="4" t="inlineStr">
        <is>
          <t>Procurement Register</t>
        </is>
      </c>
    </row>
    <row r="2" ht="48" customHeight="1">
      <c r="A2" s="3" t="inlineStr">
        <is>
          <t>Missing, expired, unapproved and low-confidence rates become procurement requirements. RFQs are drafted (never sent) from this register.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package_id</t>
        </is>
      </c>
      <c r="C4" t="inlineStr">
        <is>
          <t>trade</t>
        </is>
      </c>
      <c r="D4" t="inlineStr">
        <is>
          <t>resource_id</t>
        </is>
      </c>
      <c r="E4" t="inlineStr">
        <is>
          <t>description</t>
        </is>
      </c>
      <c r="F4" t="inlineStr">
        <is>
          <t>specification</t>
        </is>
      </c>
      <c r="G4" t="inlineStr">
        <is>
          <t>quantity</t>
        </is>
      </c>
      <c r="H4" t="inlineStr">
        <is>
          <t>unit</t>
        </is>
      </c>
      <c r="I4" t="inlineStr">
        <is>
          <t>delivery_location</t>
        </is>
      </c>
      <c r="J4" t="inlineStr">
        <is>
          <t>required_date</t>
        </is>
      </c>
      <c r="K4" t="inlineStr">
        <is>
          <t>preferred_suppliers</t>
        </is>
      </c>
      <c r="L4" t="inlineStr">
        <is>
          <t>reason</t>
        </is>
      </c>
      <c r="M4" t="inlineStr">
        <is>
          <t>estimated_exposure</t>
        </is>
      </c>
      <c r="N4" t="inlineStr">
        <is>
          <t>rfq_status</t>
        </is>
      </c>
      <c r="O4" t="inlineStr">
        <is>
          <t>response_deadline</t>
        </is>
      </c>
      <c r="P4" t="inlineStr">
        <is>
          <t>quotation_status</t>
        </is>
      </c>
      <c r="Q4" t="inlineStr">
        <is>
          <t>approval_status</t>
        </is>
      </c>
    </row>
    <row r="5" ht="34" customHeight="1">
      <c r="A5" s="15" t="inlineStr">
        <is>
          <t>Item ID</t>
        </is>
      </c>
      <c r="B5" s="15" t="inlineStr">
        <is>
          <t>Package</t>
        </is>
      </c>
      <c r="C5" s="15" t="inlineStr">
        <is>
          <t>Trade</t>
        </is>
      </c>
      <c r="D5" s="15" t="inlineStr">
        <is>
          <t>Resource</t>
        </is>
      </c>
      <c r="E5" s="15" t="inlineStr">
        <is>
          <t>Description</t>
        </is>
      </c>
      <c r="F5" s="15" t="inlineStr">
        <is>
          <t>Specification</t>
        </is>
      </c>
      <c r="G5" s="15" t="inlineStr">
        <is>
          <t>Quantity</t>
        </is>
      </c>
      <c r="H5" s="15" t="inlineStr">
        <is>
          <t>Unit</t>
        </is>
      </c>
      <c r="I5" s="15" t="inlineStr">
        <is>
          <t>Delivery location</t>
        </is>
      </c>
      <c r="J5" s="15" t="inlineStr">
        <is>
          <t>Required date</t>
        </is>
      </c>
      <c r="K5" s="15" t="inlineStr">
        <is>
          <t>Preferred suppliers</t>
        </is>
      </c>
      <c r="L5" s="15" t="inlineStr">
        <is>
          <t>Reason</t>
        </is>
      </c>
      <c r="M5" s="15" t="inlineStr">
        <is>
          <t>Indicative exposure (SAR)</t>
        </is>
      </c>
      <c r="N5" s="15" t="inlineStr">
        <is>
          <t>RFQ status</t>
        </is>
      </c>
      <c r="O5" s="15" t="inlineStr">
        <is>
          <t>Response deadline</t>
        </is>
      </c>
      <c r="P5" s="15" t="inlineStr">
        <is>
          <t>Quotation status</t>
        </is>
      </c>
      <c r="Q5" s="15" t="inlineStr">
        <is>
          <t>Approval status</t>
        </is>
      </c>
    </row>
    <row r="6">
      <c r="A6" s="16" t="n"/>
      <c r="B6" s="16" t="n"/>
      <c r="C6" s="16" t="n"/>
      <c r="D6" s="16" t="n"/>
      <c r="E6" s="9" t="n"/>
      <c r="F6" s="9" t="n"/>
      <c r="G6" s="18" t="n"/>
      <c r="H6" s="16" t="n"/>
      <c r="I6" s="17" t="n"/>
      <c r="J6" s="27" t="n"/>
      <c r="K6" s="17" t="n"/>
      <c r="L6" s="9" t="n"/>
      <c r="M6" s="19" t="n"/>
      <c r="N6" s="16" t="n"/>
      <c r="O6" s="27" t="n"/>
      <c r="P6" s="16" t="n"/>
      <c r="Q6" s="16" t="n"/>
    </row>
    <row r="7">
      <c r="A7" s="16" t="n"/>
      <c r="B7" s="16" t="n"/>
      <c r="C7" s="16" t="n"/>
      <c r="D7" s="16" t="n"/>
      <c r="E7" s="9" t="n"/>
      <c r="F7" s="9" t="n"/>
      <c r="G7" s="18" t="n"/>
      <c r="H7" s="16" t="n"/>
      <c r="I7" s="17" t="n"/>
      <c r="J7" s="27" t="n"/>
      <c r="K7" s="17" t="n"/>
      <c r="L7" s="9" t="n"/>
      <c r="M7" s="19" t="n"/>
      <c r="N7" s="16" t="n"/>
      <c r="O7" s="27" t="n"/>
      <c r="P7" s="16" t="n"/>
      <c r="Q7" s="16" t="n"/>
    </row>
    <row r="8">
      <c r="A8" s="16" t="n"/>
      <c r="B8" s="16" t="n"/>
      <c r="C8" s="16" t="n"/>
      <c r="D8" s="16" t="n"/>
      <c r="E8" s="9" t="n"/>
      <c r="F8" s="9" t="n"/>
      <c r="G8" s="18" t="n"/>
      <c r="H8" s="16" t="n"/>
      <c r="I8" s="17" t="n"/>
      <c r="J8" s="27" t="n"/>
      <c r="K8" s="17" t="n"/>
      <c r="L8" s="9" t="n"/>
      <c r="M8" s="19" t="n"/>
      <c r="N8" s="16" t="n"/>
      <c r="O8" s="27" t="n"/>
      <c r="P8" s="16" t="n"/>
      <c r="Q8" s="16" t="n"/>
    </row>
    <row r="9">
      <c r="A9" s="16" t="n"/>
      <c r="B9" s="16" t="n"/>
      <c r="C9" s="16" t="n"/>
      <c r="D9" s="16" t="n"/>
      <c r="E9" s="9" t="n"/>
      <c r="F9" s="9" t="n"/>
      <c r="G9" s="18" t="n"/>
      <c r="H9" s="16" t="n"/>
      <c r="I9" s="17" t="n"/>
      <c r="J9" s="27" t="n"/>
      <c r="K9" s="17" t="n"/>
      <c r="L9" s="9" t="n"/>
      <c r="M9" s="19" t="n"/>
      <c r="N9" s="16" t="n"/>
      <c r="O9" s="27" t="n"/>
      <c r="P9" s="16" t="n"/>
      <c r="Q9" s="16" t="n"/>
    </row>
    <row r="10">
      <c r="A10" s="16" t="n"/>
      <c r="B10" s="16" t="n"/>
      <c r="C10" s="16" t="n"/>
      <c r="D10" s="16" t="n"/>
      <c r="E10" s="9" t="n"/>
      <c r="F10" s="9" t="n"/>
      <c r="G10" s="18" t="n"/>
      <c r="H10" s="16" t="n"/>
      <c r="I10" s="17" t="n"/>
      <c r="J10" s="27" t="n"/>
      <c r="K10" s="17" t="n"/>
      <c r="L10" s="9" t="n"/>
      <c r="M10" s="19" t="n"/>
      <c r="N10" s="16" t="n"/>
      <c r="O10" s="27" t="n"/>
      <c r="P10" s="16" t="n"/>
      <c r="Q10" s="16" t="n"/>
    </row>
    <row r="11">
      <c r="A11" s="16" t="n"/>
      <c r="B11" s="16" t="n"/>
      <c r="C11" s="16" t="n"/>
      <c r="D11" s="16" t="n"/>
      <c r="E11" s="9" t="n"/>
      <c r="F11" s="9" t="n"/>
      <c r="G11" s="18" t="n"/>
      <c r="H11" s="16" t="n"/>
      <c r="I11" s="17" t="n"/>
      <c r="J11" s="27" t="n"/>
      <c r="K11" s="17" t="n"/>
      <c r="L11" s="9" t="n"/>
      <c r="M11" s="19" t="n"/>
      <c r="N11" s="16" t="n"/>
      <c r="O11" s="27" t="n"/>
      <c r="P11" s="16" t="n"/>
      <c r="Q11" s="16" t="n"/>
    </row>
    <row r="12">
      <c r="A12" s="16" t="n"/>
      <c r="B12" s="16" t="n"/>
      <c r="C12" s="16" t="n"/>
      <c r="D12" s="16" t="n"/>
      <c r="E12" s="9" t="n"/>
      <c r="F12" s="9" t="n"/>
      <c r="G12" s="18" t="n"/>
      <c r="H12" s="16" t="n"/>
      <c r="I12" s="17" t="n"/>
      <c r="J12" s="27" t="n"/>
      <c r="K12" s="17" t="n"/>
      <c r="L12" s="9" t="n"/>
      <c r="M12" s="19" t="n"/>
      <c r="N12" s="16" t="n"/>
      <c r="O12" s="27" t="n"/>
      <c r="P12" s="16" t="n"/>
      <c r="Q12" s="16" t="n"/>
    </row>
    <row r="13">
      <c r="A13" s="16" t="n"/>
      <c r="B13" s="16" t="n"/>
      <c r="C13" s="16" t="n"/>
      <c r="D13" s="16" t="n"/>
      <c r="E13" s="9" t="n"/>
      <c r="F13" s="9" t="n"/>
      <c r="G13" s="18" t="n"/>
      <c r="H13" s="16" t="n"/>
      <c r="I13" s="17" t="n"/>
      <c r="J13" s="27" t="n"/>
      <c r="K13" s="17" t="n"/>
      <c r="L13" s="9" t="n"/>
      <c r="M13" s="19" t="n"/>
      <c r="N13" s="16" t="n"/>
      <c r="O13" s="27" t="n"/>
      <c r="P13" s="16" t="n"/>
      <c r="Q13" s="16" t="n"/>
    </row>
    <row r="14">
      <c r="A14" s="16" t="n"/>
      <c r="B14" s="16" t="n"/>
      <c r="C14" s="16" t="n"/>
      <c r="D14" s="16" t="n"/>
      <c r="E14" s="9" t="n"/>
      <c r="F14" s="9" t="n"/>
      <c r="G14" s="18" t="n"/>
      <c r="H14" s="16" t="n"/>
      <c r="I14" s="17" t="n"/>
      <c r="J14" s="27" t="n"/>
      <c r="K14" s="17" t="n"/>
      <c r="L14" s="9" t="n"/>
      <c r="M14" s="19" t="n"/>
      <c r="N14" s="16" t="n"/>
      <c r="O14" s="27" t="n"/>
      <c r="P14" s="16" t="n"/>
      <c r="Q14" s="16" t="n"/>
    </row>
    <row r="15">
      <c r="A15" s="16" t="n"/>
      <c r="B15" s="16" t="n"/>
      <c r="C15" s="16" t="n"/>
      <c r="D15" s="16" t="n"/>
      <c r="E15" s="9" t="n"/>
      <c r="F15" s="9" t="n"/>
      <c r="G15" s="18" t="n"/>
      <c r="H15" s="16" t="n"/>
      <c r="I15" s="17" t="n"/>
      <c r="J15" s="27" t="n"/>
      <c r="K15" s="17" t="n"/>
      <c r="L15" s="9" t="n"/>
      <c r="M15" s="19" t="n"/>
      <c r="N15" s="16" t="n"/>
      <c r="O15" s="27" t="n"/>
      <c r="P15" s="16" t="n"/>
      <c r="Q15" s="16" t="n"/>
    </row>
    <row r="16">
      <c r="A16" s="16" t="n"/>
      <c r="B16" s="16" t="n"/>
      <c r="C16" s="16" t="n"/>
      <c r="D16" s="16" t="n"/>
      <c r="E16" s="9" t="n"/>
      <c r="F16" s="9" t="n"/>
      <c r="G16" s="18" t="n"/>
      <c r="H16" s="16" t="n"/>
      <c r="I16" s="17" t="n"/>
      <c r="J16" s="27" t="n"/>
      <c r="K16" s="17" t="n"/>
      <c r="L16" s="9" t="n"/>
      <c r="M16" s="19" t="n"/>
      <c r="N16" s="16" t="n"/>
      <c r="O16" s="27" t="n"/>
      <c r="P16" s="16" t="n"/>
      <c r="Q16" s="16" t="n"/>
    </row>
    <row r="17">
      <c r="A17" s="16" t="n"/>
      <c r="B17" s="16" t="n"/>
      <c r="C17" s="16" t="n"/>
      <c r="D17" s="16" t="n"/>
      <c r="E17" s="9" t="n"/>
      <c r="F17" s="9" t="n"/>
      <c r="G17" s="18" t="n"/>
      <c r="H17" s="16" t="n"/>
      <c r="I17" s="17" t="n"/>
      <c r="J17" s="27" t="n"/>
      <c r="K17" s="17" t="n"/>
      <c r="L17" s="9" t="n"/>
      <c r="M17" s="19" t="n"/>
      <c r="N17" s="16" t="n"/>
      <c r="O17" s="27" t="n"/>
      <c r="P17" s="16" t="n"/>
      <c r="Q17" s="16" t="n"/>
    </row>
    <row r="18">
      <c r="A18" s="16" t="n"/>
      <c r="B18" s="16" t="n"/>
      <c r="C18" s="16" t="n"/>
      <c r="D18" s="16" t="n"/>
      <c r="E18" s="9" t="n"/>
      <c r="F18" s="9" t="n"/>
      <c r="G18" s="18" t="n"/>
      <c r="H18" s="16" t="n"/>
      <c r="I18" s="17" t="n"/>
      <c r="J18" s="27" t="n"/>
      <c r="K18" s="17" t="n"/>
      <c r="L18" s="9" t="n"/>
      <c r="M18" s="19" t="n"/>
      <c r="N18" s="16" t="n"/>
      <c r="O18" s="27" t="n"/>
      <c r="P18" s="16" t="n"/>
      <c r="Q18" s="16" t="n"/>
    </row>
    <row r="19">
      <c r="A19" s="16" t="n"/>
      <c r="B19" s="16" t="n"/>
      <c r="C19" s="16" t="n"/>
      <c r="D19" s="16" t="n"/>
      <c r="E19" s="9" t="n"/>
      <c r="F19" s="9" t="n"/>
      <c r="G19" s="18" t="n"/>
      <c r="H19" s="16" t="n"/>
      <c r="I19" s="17" t="n"/>
      <c r="J19" s="27" t="n"/>
      <c r="K19" s="17" t="n"/>
      <c r="L19" s="9" t="n"/>
      <c r="M19" s="19" t="n"/>
      <c r="N19" s="16" t="n"/>
      <c r="O19" s="27" t="n"/>
      <c r="P19" s="16" t="n"/>
      <c r="Q19" s="16" t="n"/>
    </row>
    <row r="20">
      <c r="A20" s="16" t="n"/>
      <c r="B20" s="16" t="n"/>
      <c r="C20" s="16" t="n"/>
      <c r="D20" s="16" t="n"/>
      <c r="E20" s="9" t="n"/>
      <c r="F20" s="9" t="n"/>
      <c r="G20" s="18" t="n"/>
      <c r="H20" s="16" t="n"/>
      <c r="I20" s="17" t="n"/>
      <c r="J20" s="27" t="n"/>
      <c r="K20" s="17" t="n"/>
      <c r="L20" s="9" t="n"/>
      <c r="M20" s="19" t="n"/>
      <c r="N20" s="16" t="n"/>
      <c r="O20" s="27" t="n"/>
      <c r="P20" s="16" t="n"/>
      <c r="Q20" s="16" t="n"/>
    </row>
    <row r="21">
      <c r="A21" s="16" t="n"/>
      <c r="B21" s="16" t="n"/>
      <c r="C21" s="16" t="n"/>
      <c r="D21" s="16" t="n"/>
      <c r="E21" s="9" t="n"/>
      <c r="F21" s="9" t="n"/>
      <c r="G21" s="18" t="n"/>
      <c r="H21" s="16" t="n"/>
      <c r="I21" s="17" t="n"/>
      <c r="J21" s="27" t="n"/>
      <c r="K21" s="17" t="n"/>
      <c r="L21" s="9" t="n"/>
      <c r="M21" s="19" t="n"/>
      <c r="N21" s="16" t="n"/>
      <c r="O21" s="27" t="n"/>
      <c r="P21" s="16" t="n"/>
      <c r="Q21" s="16" t="n"/>
    </row>
    <row r="22">
      <c r="A22" s="16" t="n"/>
      <c r="B22" s="16" t="n"/>
      <c r="C22" s="16" t="n"/>
      <c r="D22" s="16" t="n"/>
      <c r="E22" s="9" t="n"/>
      <c r="F22" s="9" t="n"/>
      <c r="G22" s="18" t="n"/>
      <c r="H22" s="16" t="n"/>
      <c r="I22" s="17" t="n"/>
      <c r="J22" s="27" t="n"/>
      <c r="K22" s="17" t="n"/>
      <c r="L22" s="9" t="n"/>
      <c r="M22" s="19" t="n"/>
      <c r="N22" s="16" t="n"/>
      <c r="O22" s="27" t="n"/>
      <c r="P22" s="16" t="n"/>
      <c r="Q22" s="16" t="n"/>
    </row>
    <row r="23">
      <c r="A23" s="16" t="n"/>
      <c r="B23" s="16" t="n"/>
      <c r="C23" s="16" t="n"/>
      <c r="D23" s="16" t="n"/>
      <c r="E23" s="9" t="n"/>
      <c r="F23" s="9" t="n"/>
      <c r="G23" s="18" t="n"/>
      <c r="H23" s="16" t="n"/>
      <c r="I23" s="17" t="n"/>
      <c r="J23" s="27" t="n"/>
      <c r="K23" s="17" t="n"/>
      <c r="L23" s="9" t="n"/>
      <c r="M23" s="19" t="n"/>
      <c r="N23" s="16" t="n"/>
      <c r="O23" s="27" t="n"/>
      <c r="P23" s="16" t="n"/>
      <c r="Q23" s="16" t="n"/>
    </row>
    <row r="24">
      <c r="A24" s="16" t="n"/>
      <c r="B24" s="16" t="n"/>
      <c r="C24" s="16" t="n"/>
      <c r="D24" s="16" t="n"/>
      <c r="E24" s="9" t="n"/>
      <c r="F24" s="9" t="n"/>
      <c r="G24" s="18" t="n"/>
      <c r="H24" s="16" t="n"/>
      <c r="I24" s="17" t="n"/>
      <c r="J24" s="27" t="n"/>
      <c r="K24" s="17" t="n"/>
      <c r="L24" s="9" t="n"/>
      <c r="M24" s="19" t="n"/>
      <c r="N24" s="16" t="n"/>
      <c r="O24" s="27" t="n"/>
      <c r="P24" s="16" t="n"/>
      <c r="Q24" s="16" t="n"/>
    </row>
    <row r="25">
      <c r="A25" s="16" t="n"/>
      <c r="B25" s="16" t="n"/>
      <c r="C25" s="16" t="n"/>
      <c r="D25" s="16" t="n"/>
      <c r="E25" s="9" t="n"/>
      <c r="F25" s="9" t="n"/>
      <c r="G25" s="18" t="n"/>
      <c r="H25" s="16" t="n"/>
      <c r="I25" s="17" t="n"/>
      <c r="J25" s="27" t="n"/>
      <c r="K25" s="17" t="n"/>
      <c r="L25" s="9" t="n"/>
      <c r="M25" s="19" t="n"/>
      <c r="N25" s="16" t="n"/>
      <c r="O25" s="27" t="n"/>
      <c r="P25" s="16" t="n"/>
      <c r="Q25" s="16" t="n"/>
    </row>
    <row r="26">
      <c r="A26" s="16" t="n"/>
      <c r="B26" s="16" t="n"/>
      <c r="C26" s="16" t="n"/>
      <c r="D26" s="16" t="n"/>
      <c r="E26" s="9" t="n"/>
      <c r="F26" s="9" t="n"/>
      <c r="G26" s="18" t="n"/>
      <c r="H26" s="16" t="n"/>
      <c r="I26" s="17" t="n"/>
      <c r="J26" s="27" t="n"/>
      <c r="K26" s="17" t="n"/>
      <c r="L26" s="9" t="n"/>
      <c r="M26" s="19" t="n"/>
      <c r="N26" s="16" t="n"/>
      <c r="O26" s="27" t="n"/>
      <c r="P26" s="16" t="n"/>
      <c r="Q26" s="16" t="n"/>
    </row>
    <row r="27">
      <c r="A27" s="16" t="n"/>
      <c r="B27" s="16" t="n"/>
      <c r="C27" s="16" t="n"/>
      <c r="D27" s="16" t="n"/>
      <c r="E27" s="9" t="n"/>
      <c r="F27" s="9" t="n"/>
      <c r="G27" s="18" t="n"/>
      <c r="H27" s="16" t="n"/>
      <c r="I27" s="17" t="n"/>
      <c r="J27" s="27" t="n"/>
      <c r="K27" s="17" t="n"/>
      <c r="L27" s="9" t="n"/>
      <c r="M27" s="19" t="n"/>
      <c r="N27" s="16" t="n"/>
      <c r="O27" s="27" t="n"/>
      <c r="P27" s="16" t="n"/>
      <c r="Q27" s="16" t="n"/>
    </row>
    <row r="28">
      <c r="A28" s="16" t="n"/>
      <c r="B28" s="16" t="n"/>
      <c r="C28" s="16" t="n"/>
      <c r="D28" s="16" t="n"/>
      <c r="E28" s="9" t="n"/>
      <c r="F28" s="9" t="n"/>
      <c r="G28" s="18" t="n"/>
      <c r="H28" s="16" t="n"/>
      <c r="I28" s="17" t="n"/>
      <c r="J28" s="27" t="n"/>
      <c r="K28" s="17" t="n"/>
      <c r="L28" s="9" t="n"/>
      <c r="M28" s="19" t="n"/>
      <c r="N28" s="16" t="n"/>
      <c r="O28" s="27" t="n"/>
      <c r="P28" s="16" t="n"/>
      <c r="Q28" s="16" t="n"/>
    </row>
    <row r="29">
      <c r="A29" s="16" t="n"/>
      <c r="B29" s="16" t="n"/>
      <c r="C29" s="16" t="n"/>
      <c r="D29" s="16" t="n"/>
      <c r="E29" s="9" t="n"/>
      <c r="F29" s="9" t="n"/>
      <c r="G29" s="18" t="n"/>
      <c r="H29" s="16" t="n"/>
      <c r="I29" s="17" t="n"/>
      <c r="J29" s="27" t="n"/>
      <c r="K29" s="17" t="n"/>
      <c r="L29" s="9" t="n"/>
      <c r="M29" s="19" t="n"/>
      <c r="N29" s="16" t="n"/>
      <c r="O29" s="27" t="n"/>
      <c r="P29" s="16" t="n"/>
      <c r="Q29" s="16" t="n"/>
    </row>
    <row r="30">
      <c r="A30" s="16" t="n"/>
      <c r="B30" s="16" t="n"/>
      <c r="C30" s="16" t="n"/>
      <c r="D30" s="16" t="n"/>
      <c r="E30" s="9" t="n"/>
      <c r="F30" s="9" t="n"/>
      <c r="G30" s="18" t="n"/>
      <c r="H30" s="16" t="n"/>
      <c r="I30" s="17" t="n"/>
      <c r="J30" s="27" t="n"/>
      <c r="K30" s="17" t="n"/>
      <c r="L30" s="9" t="n"/>
      <c r="M30" s="19" t="n"/>
      <c r="N30" s="16" t="n"/>
      <c r="O30" s="27" t="n"/>
      <c r="P30" s="16" t="n"/>
      <c r="Q30" s="16" t="n"/>
    </row>
    <row r="31">
      <c r="A31" s="16" t="n"/>
      <c r="B31" s="16" t="n"/>
      <c r="C31" s="16" t="n"/>
      <c r="D31" s="16" t="n"/>
      <c r="E31" s="9" t="n"/>
      <c r="F31" s="9" t="n"/>
      <c r="G31" s="18" t="n"/>
      <c r="H31" s="16" t="n"/>
      <c r="I31" s="17" t="n"/>
      <c r="J31" s="27" t="n"/>
      <c r="K31" s="17" t="n"/>
      <c r="L31" s="9" t="n"/>
      <c r="M31" s="19" t="n"/>
      <c r="N31" s="16" t="n"/>
      <c r="O31" s="27" t="n"/>
      <c r="P31" s="16" t="n"/>
      <c r="Q31" s="16" t="n"/>
    </row>
    <row r="32">
      <c r="A32" s="16" t="n"/>
      <c r="B32" s="16" t="n"/>
      <c r="C32" s="16" t="n"/>
      <c r="D32" s="16" t="n"/>
      <c r="E32" s="9" t="n"/>
      <c r="F32" s="9" t="n"/>
      <c r="G32" s="18" t="n"/>
      <c r="H32" s="16" t="n"/>
      <c r="I32" s="17" t="n"/>
      <c r="J32" s="27" t="n"/>
      <c r="K32" s="17" t="n"/>
      <c r="L32" s="9" t="n"/>
      <c r="M32" s="19" t="n"/>
      <c r="N32" s="16" t="n"/>
      <c r="O32" s="27" t="n"/>
      <c r="P32" s="16" t="n"/>
      <c r="Q32" s="16" t="n"/>
    </row>
    <row r="33">
      <c r="A33" s="16" t="n"/>
      <c r="B33" s="16" t="n"/>
      <c r="C33" s="16" t="n"/>
      <c r="D33" s="16" t="n"/>
      <c r="E33" s="9" t="n"/>
      <c r="F33" s="9" t="n"/>
      <c r="G33" s="18" t="n"/>
      <c r="H33" s="16" t="n"/>
      <c r="I33" s="17" t="n"/>
      <c r="J33" s="27" t="n"/>
      <c r="K33" s="17" t="n"/>
      <c r="L33" s="9" t="n"/>
      <c r="M33" s="19" t="n"/>
      <c r="N33" s="16" t="n"/>
      <c r="O33" s="27" t="n"/>
      <c r="P33" s="16" t="n"/>
      <c r="Q33" s="16" t="n"/>
    </row>
    <row r="34">
      <c r="A34" s="16" t="n"/>
      <c r="B34" s="16" t="n"/>
      <c r="C34" s="16" t="n"/>
      <c r="D34" s="16" t="n"/>
      <c r="E34" s="9" t="n"/>
      <c r="F34" s="9" t="n"/>
      <c r="G34" s="18" t="n"/>
      <c r="H34" s="16" t="n"/>
      <c r="I34" s="17" t="n"/>
      <c r="J34" s="27" t="n"/>
      <c r="K34" s="17" t="n"/>
      <c r="L34" s="9" t="n"/>
      <c r="M34" s="19" t="n"/>
      <c r="N34" s="16" t="n"/>
      <c r="O34" s="27" t="n"/>
      <c r="P34" s="16" t="n"/>
      <c r="Q34" s="16" t="n"/>
    </row>
    <row r="35">
      <c r="A35" s="16" t="n"/>
      <c r="B35" s="16" t="n"/>
      <c r="C35" s="16" t="n"/>
      <c r="D35" s="16" t="n"/>
      <c r="E35" s="9" t="n"/>
      <c r="F35" s="9" t="n"/>
      <c r="G35" s="18" t="n"/>
      <c r="H35" s="16" t="n"/>
      <c r="I35" s="17" t="n"/>
      <c r="J35" s="27" t="n"/>
      <c r="K35" s="17" t="n"/>
      <c r="L35" s="9" t="n"/>
      <c r="M35" s="19" t="n"/>
      <c r="N35" s="16" t="n"/>
      <c r="O35" s="27" t="n"/>
      <c r="P35" s="16" t="n"/>
      <c r="Q35" s="16" t="n"/>
    </row>
    <row r="36">
      <c r="A36" s="16" t="n"/>
      <c r="B36" s="16" t="n"/>
      <c r="C36" s="16" t="n"/>
      <c r="D36" s="16" t="n"/>
      <c r="E36" s="9" t="n"/>
      <c r="F36" s="9" t="n"/>
      <c r="G36" s="18" t="n"/>
      <c r="H36" s="16" t="n"/>
      <c r="I36" s="17" t="n"/>
      <c r="J36" s="27" t="n"/>
      <c r="K36" s="17" t="n"/>
      <c r="L36" s="9" t="n"/>
      <c r="M36" s="19" t="n"/>
      <c r="N36" s="16" t="n"/>
      <c r="O36" s="27" t="n"/>
      <c r="P36" s="16" t="n"/>
      <c r="Q36" s="16" t="n"/>
    </row>
    <row r="37">
      <c r="A37" s="16" t="n"/>
      <c r="B37" s="16" t="n"/>
      <c r="C37" s="16" t="n"/>
      <c r="D37" s="16" t="n"/>
      <c r="E37" s="9" t="n"/>
      <c r="F37" s="9" t="n"/>
      <c r="G37" s="18" t="n"/>
      <c r="H37" s="16" t="n"/>
      <c r="I37" s="17" t="n"/>
      <c r="J37" s="27" t="n"/>
      <c r="K37" s="17" t="n"/>
      <c r="L37" s="9" t="n"/>
      <c r="M37" s="19" t="n"/>
      <c r="N37" s="16" t="n"/>
      <c r="O37" s="27" t="n"/>
      <c r="P37" s="16" t="n"/>
      <c r="Q37" s="16" t="n"/>
    </row>
    <row r="38">
      <c r="A38" s="16" t="n"/>
      <c r="B38" s="16" t="n"/>
      <c r="C38" s="16" t="n"/>
      <c r="D38" s="16" t="n"/>
      <c r="E38" s="9" t="n"/>
      <c r="F38" s="9" t="n"/>
      <c r="G38" s="18" t="n"/>
      <c r="H38" s="16" t="n"/>
      <c r="I38" s="17" t="n"/>
      <c r="J38" s="27" t="n"/>
      <c r="K38" s="17" t="n"/>
      <c r="L38" s="9" t="n"/>
      <c r="M38" s="19" t="n"/>
      <c r="N38" s="16" t="n"/>
      <c r="O38" s="27" t="n"/>
      <c r="P38" s="16" t="n"/>
      <c r="Q38" s="16" t="n"/>
    </row>
    <row r="39">
      <c r="A39" s="16" t="n"/>
      <c r="B39" s="16" t="n"/>
      <c r="C39" s="16" t="n"/>
      <c r="D39" s="16" t="n"/>
      <c r="E39" s="9" t="n"/>
      <c r="F39" s="9" t="n"/>
      <c r="G39" s="18" t="n"/>
      <c r="H39" s="16" t="n"/>
      <c r="I39" s="17" t="n"/>
      <c r="J39" s="27" t="n"/>
      <c r="K39" s="17" t="n"/>
      <c r="L39" s="9" t="n"/>
      <c r="M39" s="19" t="n"/>
      <c r="N39" s="16" t="n"/>
      <c r="O39" s="27" t="n"/>
      <c r="P39" s="16" t="n"/>
      <c r="Q39" s="16" t="n"/>
    </row>
    <row r="40">
      <c r="A40" s="16" t="n"/>
      <c r="B40" s="16" t="n"/>
      <c r="C40" s="16" t="n"/>
      <c r="D40" s="16" t="n"/>
      <c r="E40" s="9" t="n"/>
      <c r="F40" s="9" t="n"/>
      <c r="G40" s="18" t="n"/>
      <c r="H40" s="16" t="n"/>
      <c r="I40" s="17" t="n"/>
      <c r="J40" s="27" t="n"/>
      <c r="K40" s="17" t="n"/>
      <c r="L40" s="9" t="n"/>
      <c r="M40" s="19" t="n"/>
      <c r="N40" s="16" t="n"/>
      <c r="O40" s="27" t="n"/>
      <c r="P40" s="16" t="n"/>
      <c r="Q40" s="16" t="n"/>
    </row>
    <row r="41">
      <c r="A41" s="16" t="n"/>
      <c r="B41" s="16" t="n"/>
      <c r="C41" s="16" t="n"/>
      <c r="D41" s="16" t="n"/>
      <c r="E41" s="9" t="n"/>
      <c r="F41" s="9" t="n"/>
      <c r="G41" s="18" t="n"/>
      <c r="H41" s="16" t="n"/>
      <c r="I41" s="17" t="n"/>
      <c r="J41" s="27" t="n"/>
      <c r="K41" s="17" t="n"/>
      <c r="L41" s="9" t="n"/>
      <c r="M41" s="19" t="n"/>
      <c r="N41" s="16" t="n"/>
      <c r="O41" s="27" t="n"/>
      <c r="P41" s="16" t="n"/>
      <c r="Q41" s="16" t="n"/>
    </row>
    <row r="42">
      <c r="A42" s="16" t="n"/>
      <c r="B42" s="16" t="n"/>
      <c r="C42" s="16" t="n"/>
      <c r="D42" s="16" t="n"/>
      <c r="E42" s="9" t="n"/>
      <c r="F42" s="9" t="n"/>
      <c r="G42" s="18" t="n"/>
      <c r="H42" s="16" t="n"/>
      <c r="I42" s="17" t="n"/>
      <c r="J42" s="27" t="n"/>
      <c r="K42" s="17" t="n"/>
      <c r="L42" s="9" t="n"/>
      <c r="M42" s="19" t="n"/>
      <c r="N42" s="16" t="n"/>
      <c r="O42" s="27" t="n"/>
      <c r="P42" s="16" t="n"/>
      <c r="Q42" s="16" t="n"/>
    </row>
    <row r="43">
      <c r="A43" s="16" t="n"/>
      <c r="B43" s="16" t="n"/>
      <c r="C43" s="16" t="n"/>
      <c r="D43" s="16" t="n"/>
      <c r="E43" s="9" t="n"/>
      <c r="F43" s="9" t="n"/>
      <c r="G43" s="18" t="n"/>
      <c r="H43" s="16" t="n"/>
      <c r="I43" s="17" t="n"/>
      <c r="J43" s="27" t="n"/>
      <c r="K43" s="17" t="n"/>
      <c r="L43" s="9" t="n"/>
      <c r="M43" s="19" t="n"/>
      <c r="N43" s="16" t="n"/>
      <c r="O43" s="27" t="n"/>
      <c r="P43" s="16" t="n"/>
      <c r="Q43" s="16" t="n"/>
    </row>
    <row r="44">
      <c r="A44" s="16" t="n"/>
      <c r="B44" s="16" t="n"/>
      <c r="C44" s="16" t="n"/>
      <c r="D44" s="16" t="n"/>
      <c r="E44" s="9" t="n"/>
      <c r="F44" s="9" t="n"/>
      <c r="G44" s="18" t="n"/>
      <c r="H44" s="16" t="n"/>
      <c r="I44" s="17" t="n"/>
      <c r="J44" s="27" t="n"/>
      <c r="K44" s="17" t="n"/>
      <c r="L44" s="9" t="n"/>
      <c r="M44" s="19" t="n"/>
      <c r="N44" s="16" t="n"/>
      <c r="O44" s="27" t="n"/>
      <c r="P44" s="16" t="n"/>
      <c r="Q44" s="16" t="n"/>
    </row>
    <row r="45">
      <c r="A45" s="16" t="n"/>
      <c r="B45" s="16" t="n"/>
      <c r="C45" s="16" t="n"/>
      <c r="D45" s="16" t="n"/>
      <c r="E45" s="9" t="n"/>
      <c r="F45" s="9" t="n"/>
      <c r="G45" s="18" t="n"/>
      <c r="H45" s="16" t="n"/>
      <c r="I45" s="17" t="n"/>
      <c r="J45" s="27" t="n"/>
      <c r="K45" s="17" t="n"/>
      <c r="L45" s="9" t="n"/>
      <c r="M45" s="19" t="n"/>
      <c r="N45" s="16" t="n"/>
      <c r="O45" s="27" t="n"/>
      <c r="P45" s="16" t="n"/>
      <c r="Q45" s="16" t="n"/>
    </row>
    <row r="46">
      <c r="A46" s="16" t="n"/>
      <c r="B46" s="16" t="n"/>
      <c r="C46" s="16" t="n"/>
      <c r="D46" s="16" t="n"/>
      <c r="E46" s="9" t="n"/>
      <c r="F46" s="9" t="n"/>
      <c r="G46" s="18" t="n"/>
      <c r="H46" s="16" t="n"/>
      <c r="I46" s="17" t="n"/>
      <c r="J46" s="27" t="n"/>
      <c r="K46" s="17" t="n"/>
      <c r="L46" s="9" t="n"/>
      <c r="M46" s="19" t="n"/>
      <c r="N46" s="16" t="n"/>
      <c r="O46" s="27" t="n"/>
      <c r="P46" s="16" t="n"/>
      <c r="Q46" s="16" t="n"/>
    </row>
    <row r="47">
      <c r="A47" s="16" t="n"/>
      <c r="B47" s="16" t="n"/>
      <c r="C47" s="16" t="n"/>
      <c r="D47" s="16" t="n"/>
      <c r="E47" s="9" t="n"/>
      <c r="F47" s="9" t="n"/>
      <c r="G47" s="18" t="n"/>
      <c r="H47" s="16" t="n"/>
      <c r="I47" s="17" t="n"/>
      <c r="J47" s="27" t="n"/>
      <c r="K47" s="17" t="n"/>
      <c r="L47" s="9" t="n"/>
      <c r="M47" s="19" t="n"/>
      <c r="N47" s="16" t="n"/>
      <c r="O47" s="27" t="n"/>
      <c r="P47" s="16" t="n"/>
      <c r="Q47" s="16" t="n"/>
    </row>
    <row r="48">
      <c r="A48" s="16" t="n"/>
      <c r="B48" s="16" t="n"/>
      <c r="C48" s="16" t="n"/>
      <c r="D48" s="16" t="n"/>
      <c r="E48" s="9" t="n"/>
      <c r="F48" s="9" t="n"/>
      <c r="G48" s="18" t="n"/>
      <c r="H48" s="16" t="n"/>
      <c r="I48" s="17" t="n"/>
      <c r="J48" s="27" t="n"/>
      <c r="K48" s="17" t="n"/>
      <c r="L48" s="9" t="n"/>
      <c r="M48" s="19" t="n"/>
      <c r="N48" s="16" t="n"/>
      <c r="O48" s="27" t="n"/>
      <c r="P48" s="16" t="n"/>
      <c r="Q48" s="16" t="n"/>
    </row>
    <row r="49">
      <c r="A49" s="16" t="n"/>
      <c r="B49" s="16" t="n"/>
      <c r="C49" s="16" t="n"/>
      <c r="D49" s="16" t="n"/>
      <c r="E49" s="9" t="n"/>
      <c r="F49" s="9" t="n"/>
      <c r="G49" s="18" t="n"/>
      <c r="H49" s="16" t="n"/>
      <c r="I49" s="17" t="n"/>
      <c r="J49" s="27" t="n"/>
      <c r="K49" s="17" t="n"/>
      <c r="L49" s="9" t="n"/>
      <c r="M49" s="19" t="n"/>
      <c r="N49" s="16" t="n"/>
      <c r="O49" s="27" t="n"/>
      <c r="P49" s="16" t="n"/>
      <c r="Q49" s="16" t="n"/>
    </row>
    <row r="50">
      <c r="A50" s="16" t="n"/>
      <c r="B50" s="16" t="n"/>
      <c r="C50" s="16" t="n"/>
      <c r="D50" s="16" t="n"/>
      <c r="E50" s="9" t="n"/>
      <c r="F50" s="9" t="n"/>
      <c r="G50" s="18" t="n"/>
      <c r="H50" s="16" t="n"/>
      <c r="I50" s="17" t="n"/>
      <c r="J50" s="27" t="n"/>
      <c r="K50" s="17" t="n"/>
      <c r="L50" s="9" t="n"/>
      <c r="M50" s="19" t="n"/>
      <c r="N50" s="16" t="n"/>
      <c r="O50" s="27" t="n"/>
      <c r="P50" s="16" t="n"/>
      <c r="Q50" s="16" t="n"/>
    </row>
    <row r="51">
      <c r="A51" s="16" t="n"/>
      <c r="B51" s="16" t="n"/>
      <c r="C51" s="16" t="n"/>
      <c r="D51" s="16" t="n"/>
      <c r="E51" s="9" t="n"/>
      <c r="F51" s="9" t="n"/>
      <c r="G51" s="18" t="n"/>
      <c r="H51" s="16" t="n"/>
      <c r="I51" s="17" t="n"/>
      <c r="J51" s="27" t="n"/>
      <c r="K51" s="17" t="n"/>
      <c r="L51" s="9" t="n"/>
      <c r="M51" s="19" t="n"/>
      <c r="N51" s="16" t="n"/>
      <c r="O51" s="27" t="n"/>
      <c r="P51" s="16" t="n"/>
      <c r="Q51" s="16" t="n"/>
    </row>
    <row r="52">
      <c r="A52" s="16" t="n"/>
      <c r="B52" s="16" t="n"/>
      <c r="C52" s="16" t="n"/>
      <c r="D52" s="16" t="n"/>
      <c r="E52" s="9" t="n"/>
      <c r="F52" s="9" t="n"/>
      <c r="G52" s="18" t="n"/>
      <c r="H52" s="16" t="n"/>
      <c r="I52" s="17" t="n"/>
      <c r="J52" s="27" t="n"/>
      <c r="K52" s="17" t="n"/>
      <c r="L52" s="9" t="n"/>
      <c r="M52" s="19" t="n"/>
      <c r="N52" s="16" t="n"/>
      <c r="O52" s="27" t="n"/>
      <c r="P52" s="16" t="n"/>
      <c r="Q52" s="16" t="n"/>
    </row>
    <row r="53">
      <c r="A53" s="16" t="n"/>
      <c r="B53" s="16" t="n"/>
      <c r="C53" s="16" t="n"/>
      <c r="D53" s="16" t="n"/>
      <c r="E53" s="9" t="n"/>
      <c r="F53" s="9" t="n"/>
      <c r="G53" s="18" t="n"/>
      <c r="H53" s="16" t="n"/>
      <c r="I53" s="17" t="n"/>
      <c r="J53" s="27" t="n"/>
      <c r="K53" s="17" t="n"/>
      <c r="L53" s="9" t="n"/>
      <c r="M53" s="19" t="n"/>
      <c r="N53" s="16" t="n"/>
      <c r="O53" s="27" t="n"/>
      <c r="P53" s="16" t="n"/>
      <c r="Q53" s="16" t="n"/>
    </row>
    <row r="54">
      <c r="A54" s="16" t="n"/>
      <c r="B54" s="16" t="n"/>
      <c r="C54" s="16" t="n"/>
      <c r="D54" s="16" t="n"/>
      <c r="E54" s="9" t="n"/>
      <c r="F54" s="9" t="n"/>
      <c r="G54" s="18" t="n"/>
      <c r="H54" s="16" t="n"/>
      <c r="I54" s="17" t="n"/>
      <c r="J54" s="27" t="n"/>
      <c r="K54" s="17" t="n"/>
      <c r="L54" s="9" t="n"/>
      <c r="M54" s="19" t="n"/>
      <c r="N54" s="16" t="n"/>
      <c r="O54" s="27" t="n"/>
      <c r="P54" s="16" t="n"/>
      <c r="Q54" s="16" t="n"/>
    </row>
    <row r="55">
      <c r="A55" s="16" t="n"/>
      <c r="B55" s="16" t="n"/>
      <c r="C55" s="16" t="n"/>
      <c r="D55" s="16" t="n"/>
      <c r="E55" s="9" t="n"/>
      <c r="F55" s="9" t="n"/>
      <c r="G55" s="18" t="n"/>
      <c r="H55" s="16" t="n"/>
      <c r="I55" s="17" t="n"/>
      <c r="J55" s="27" t="n"/>
      <c r="K55" s="17" t="n"/>
      <c r="L55" s="9" t="n"/>
      <c r="M55" s="19" t="n"/>
      <c r="N55" s="16" t="n"/>
      <c r="O55" s="27" t="n"/>
      <c r="P55" s="16" t="n"/>
      <c r="Q55" s="16" t="n"/>
    </row>
    <row r="56">
      <c r="A56" s="16" t="n"/>
      <c r="B56" s="16" t="n"/>
      <c r="C56" s="16" t="n"/>
      <c r="D56" s="16" t="n"/>
      <c r="E56" s="9" t="n"/>
      <c r="F56" s="9" t="n"/>
      <c r="G56" s="18" t="n"/>
      <c r="H56" s="16" t="n"/>
      <c r="I56" s="17" t="n"/>
      <c r="J56" s="27" t="n"/>
      <c r="K56" s="17" t="n"/>
      <c r="L56" s="9" t="n"/>
      <c r="M56" s="19" t="n"/>
      <c r="N56" s="16" t="n"/>
      <c r="O56" s="27" t="n"/>
      <c r="P56" s="16" t="n"/>
      <c r="Q56" s="16" t="n"/>
    </row>
    <row r="57">
      <c r="A57" s="16" t="n"/>
      <c r="B57" s="16" t="n"/>
      <c r="C57" s="16" t="n"/>
      <c r="D57" s="16" t="n"/>
      <c r="E57" s="9" t="n"/>
      <c r="F57" s="9" t="n"/>
      <c r="G57" s="18" t="n"/>
      <c r="H57" s="16" t="n"/>
      <c r="I57" s="17" t="n"/>
      <c r="J57" s="27" t="n"/>
      <c r="K57" s="17" t="n"/>
      <c r="L57" s="9" t="n"/>
      <c r="M57" s="19" t="n"/>
      <c r="N57" s="16" t="n"/>
      <c r="O57" s="27" t="n"/>
      <c r="P57" s="16" t="n"/>
      <c r="Q57" s="16" t="n"/>
    </row>
    <row r="58">
      <c r="A58" s="16" t="n"/>
      <c r="B58" s="16" t="n"/>
      <c r="C58" s="16" t="n"/>
      <c r="D58" s="16" t="n"/>
      <c r="E58" s="9" t="n"/>
      <c r="F58" s="9" t="n"/>
      <c r="G58" s="18" t="n"/>
      <c r="H58" s="16" t="n"/>
      <c r="I58" s="17" t="n"/>
      <c r="J58" s="27" t="n"/>
      <c r="K58" s="17" t="n"/>
      <c r="L58" s="9" t="n"/>
      <c r="M58" s="19" t="n"/>
      <c r="N58" s="16" t="n"/>
      <c r="O58" s="27" t="n"/>
      <c r="P58" s="16" t="n"/>
      <c r="Q58" s="16" t="n"/>
    </row>
    <row r="59">
      <c r="A59" s="16" t="n"/>
      <c r="B59" s="16" t="n"/>
      <c r="C59" s="16" t="n"/>
      <c r="D59" s="16" t="n"/>
      <c r="E59" s="9" t="n"/>
      <c r="F59" s="9" t="n"/>
      <c r="G59" s="18" t="n"/>
      <c r="H59" s="16" t="n"/>
      <c r="I59" s="17" t="n"/>
      <c r="J59" s="27" t="n"/>
      <c r="K59" s="17" t="n"/>
      <c r="L59" s="9" t="n"/>
      <c r="M59" s="19" t="n"/>
      <c r="N59" s="16" t="n"/>
      <c r="O59" s="27" t="n"/>
      <c r="P59" s="16" t="n"/>
      <c r="Q59" s="16" t="n"/>
    </row>
    <row r="60">
      <c r="A60" s="16" t="n"/>
      <c r="B60" s="16" t="n"/>
      <c r="C60" s="16" t="n"/>
      <c r="D60" s="16" t="n"/>
      <c r="E60" s="9" t="n"/>
      <c r="F60" s="9" t="n"/>
      <c r="G60" s="18" t="n"/>
      <c r="H60" s="16" t="n"/>
      <c r="I60" s="17" t="n"/>
      <c r="J60" s="27" t="n"/>
      <c r="K60" s="17" t="n"/>
      <c r="L60" s="9" t="n"/>
      <c r="M60" s="19" t="n"/>
      <c r="N60" s="16" t="n"/>
      <c r="O60" s="27" t="n"/>
      <c r="P60" s="16" t="n"/>
      <c r="Q60" s="16" t="n"/>
    </row>
    <row r="61">
      <c r="A61" s="16" t="n"/>
      <c r="B61" s="16" t="n"/>
      <c r="C61" s="16" t="n"/>
      <c r="D61" s="16" t="n"/>
      <c r="E61" s="9" t="n"/>
      <c r="F61" s="9" t="n"/>
      <c r="G61" s="18" t="n"/>
      <c r="H61" s="16" t="n"/>
      <c r="I61" s="17" t="n"/>
      <c r="J61" s="27" t="n"/>
      <c r="K61" s="17" t="n"/>
      <c r="L61" s="9" t="n"/>
      <c r="M61" s="19" t="n"/>
      <c r="N61" s="16" t="n"/>
      <c r="O61" s="27" t="n"/>
      <c r="P61" s="16" t="n"/>
      <c r="Q61" s="16" t="n"/>
    </row>
    <row r="62">
      <c r="A62" s="16" t="n"/>
      <c r="B62" s="16" t="n"/>
      <c r="C62" s="16" t="n"/>
      <c r="D62" s="16" t="n"/>
      <c r="E62" s="9" t="n"/>
      <c r="F62" s="9" t="n"/>
      <c r="G62" s="18" t="n"/>
      <c r="H62" s="16" t="n"/>
      <c r="I62" s="17" t="n"/>
      <c r="J62" s="27" t="n"/>
      <c r="K62" s="17" t="n"/>
      <c r="L62" s="9" t="n"/>
      <c r="M62" s="19" t="n"/>
      <c r="N62" s="16" t="n"/>
      <c r="O62" s="27" t="n"/>
      <c r="P62" s="16" t="n"/>
      <c r="Q62" s="16" t="n"/>
    </row>
    <row r="63">
      <c r="A63" s="16" t="n"/>
      <c r="B63" s="16" t="n"/>
      <c r="C63" s="16" t="n"/>
      <c r="D63" s="16" t="n"/>
      <c r="E63" s="9" t="n"/>
      <c r="F63" s="9" t="n"/>
      <c r="G63" s="18" t="n"/>
      <c r="H63" s="16" t="n"/>
      <c r="I63" s="17" t="n"/>
      <c r="J63" s="27" t="n"/>
      <c r="K63" s="17" t="n"/>
      <c r="L63" s="9" t="n"/>
      <c r="M63" s="19" t="n"/>
      <c r="N63" s="16" t="n"/>
      <c r="O63" s="27" t="n"/>
      <c r="P63" s="16" t="n"/>
      <c r="Q63" s="16" t="n"/>
    </row>
    <row r="64">
      <c r="A64" s="16" t="n"/>
      <c r="B64" s="16" t="n"/>
      <c r="C64" s="16" t="n"/>
      <c r="D64" s="16" t="n"/>
      <c r="E64" s="9" t="n"/>
      <c r="F64" s="9" t="n"/>
      <c r="G64" s="18" t="n"/>
      <c r="H64" s="16" t="n"/>
      <c r="I64" s="17" t="n"/>
      <c r="J64" s="27" t="n"/>
      <c r="K64" s="17" t="n"/>
      <c r="L64" s="9" t="n"/>
      <c r="M64" s="19" t="n"/>
      <c r="N64" s="16" t="n"/>
      <c r="O64" s="27" t="n"/>
      <c r="P64" s="16" t="n"/>
      <c r="Q64" s="16" t="n"/>
    </row>
    <row r="65">
      <c r="A65" s="16" t="n"/>
      <c r="B65" s="16" t="n"/>
      <c r="C65" s="16" t="n"/>
      <c r="D65" s="16" t="n"/>
      <c r="E65" s="9" t="n"/>
      <c r="F65" s="9" t="n"/>
      <c r="G65" s="18" t="n"/>
      <c r="H65" s="16" t="n"/>
      <c r="I65" s="17" t="n"/>
      <c r="J65" s="27" t="n"/>
      <c r="K65" s="17" t="n"/>
      <c r="L65" s="9" t="n"/>
      <c r="M65" s="19" t="n"/>
      <c r="N65" s="16" t="n"/>
      <c r="O65" s="27" t="n"/>
      <c r="P65" s="16" t="n"/>
      <c r="Q65" s="16" t="n"/>
    </row>
    <row r="66">
      <c r="A66" s="16" t="n"/>
      <c r="B66" s="16" t="n"/>
      <c r="C66" s="16" t="n"/>
      <c r="D66" s="16" t="n"/>
      <c r="E66" s="9" t="n"/>
      <c r="F66" s="9" t="n"/>
      <c r="G66" s="18" t="n"/>
      <c r="H66" s="16" t="n"/>
      <c r="I66" s="17" t="n"/>
      <c r="J66" s="27" t="n"/>
      <c r="K66" s="17" t="n"/>
      <c r="L66" s="9" t="n"/>
      <c r="M66" s="19" t="n"/>
      <c r="N66" s="16" t="n"/>
      <c r="O66" s="27" t="n"/>
      <c r="P66" s="16" t="n"/>
      <c r="Q66" s="16" t="n"/>
    </row>
    <row r="67">
      <c r="A67" s="16" t="n"/>
      <c r="B67" s="16" t="n"/>
      <c r="C67" s="16" t="n"/>
      <c r="D67" s="16" t="n"/>
      <c r="E67" s="9" t="n"/>
      <c r="F67" s="9" t="n"/>
      <c r="G67" s="18" t="n"/>
      <c r="H67" s="16" t="n"/>
      <c r="I67" s="17" t="n"/>
      <c r="J67" s="27" t="n"/>
      <c r="K67" s="17" t="n"/>
      <c r="L67" s="9" t="n"/>
      <c r="M67" s="19" t="n"/>
      <c r="N67" s="16" t="n"/>
      <c r="O67" s="27" t="n"/>
      <c r="P67" s="16" t="n"/>
      <c r="Q67" s="16" t="n"/>
    </row>
    <row r="68">
      <c r="A68" s="16" t="n"/>
      <c r="B68" s="16" t="n"/>
      <c r="C68" s="16" t="n"/>
      <c r="D68" s="16" t="n"/>
      <c r="E68" s="9" t="n"/>
      <c r="F68" s="9" t="n"/>
      <c r="G68" s="18" t="n"/>
      <c r="H68" s="16" t="n"/>
      <c r="I68" s="17" t="n"/>
      <c r="J68" s="27" t="n"/>
      <c r="K68" s="17" t="n"/>
      <c r="L68" s="9" t="n"/>
      <c r="M68" s="19" t="n"/>
      <c r="N68" s="16" t="n"/>
      <c r="O68" s="27" t="n"/>
      <c r="P68" s="16" t="n"/>
      <c r="Q68" s="16" t="n"/>
    </row>
    <row r="69">
      <c r="A69" s="16" t="n"/>
      <c r="B69" s="16" t="n"/>
      <c r="C69" s="16" t="n"/>
      <c r="D69" s="16" t="n"/>
      <c r="E69" s="9" t="n"/>
      <c r="F69" s="9" t="n"/>
      <c r="G69" s="18" t="n"/>
      <c r="H69" s="16" t="n"/>
      <c r="I69" s="17" t="n"/>
      <c r="J69" s="27" t="n"/>
      <c r="K69" s="17" t="n"/>
      <c r="L69" s="9" t="n"/>
      <c r="M69" s="19" t="n"/>
      <c r="N69" s="16" t="n"/>
      <c r="O69" s="27" t="n"/>
      <c r="P69" s="16" t="n"/>
      <c r="Q69" s="16" t="n"/>
    </row>
    <row r="70">
      <c r="A70" s="16" t="n"/>
      <c r="B70" s="16" t="n"/>
      <c r="C70" s="16" t="n"/>
      <c r="D70" s="16" t="n"/>
      <c r="E70" s="9" t="n"/>
      <c r="F70" s="9" t="n"/>
      <c r="G70" s="18" t="n"/>
      <c r="H70" s="16" t="n"/>
      <c r="I70" s="17" t="n"/>
      <c r="J70" s="27" t="n"/>
      <c r="K70" s="17" t="n"/>
      <c r="L70" s="9" t="n"/>
      <c r="M70" s="19" t="n"/>
      <c r="N70" s="16" t="n"/>
      <c r="O70" s="27" t="n"/>
      <c r="P70" s="16" t="n"/>
      <c r="Q70" s="16" t="n"/>
    </row>
    <row r="71">
      <c r="A71" s="16" t="n"/>
      <c r="B71" s="16" t="n"/>
      <c r="C71" s="16" t="n"/>
      <c r="D71" s="16" t="n"/>
      <c r="E71" s="9" t="n"/>
      <c r="F71" s="9" t="n"/>
      <c r="G71" s="18" t="n"/>
      <c r="H71" s="16" t="n"/>
      <c r="I71" s="17" t="n"/>
      <c r="J71" s="27" t="n"/>
      <c r="K71" s="17" t="n"/>
      <c r="L71" s="9" t="n"/>
      <c r="M71" s="19" t="n"/>
      <c r="N71" s="16" t="n"/>
      <c r="O71" s="27" t="n"/>
      <c r="P71" s="16" t="n"/>
      <c r="Q71" s="16" t="n"/>
    </row>
    <row r="72">
      <c r="A72" s="16" t="n"/>
      <c r="B72" s="16" t="n"/>
      <c r="C72" s="16" t="n"/>
      <c r="D72" s="16" t="n"/>
      <c r="E72" s="9" t="n"/>
      <c r="F72" s="9" t="n"/>
      <c r="G72" s="18" t="n"/>
      <c r="H72" s="16" t="n"/>
      <c r="I72" s="17" t="n"/>
      <c r="J72" s="27" t="n"/>
      <c r="K72" s="17" t="n"/>
      <c r="L72" s="9" t="n"/>
      <c r="M72" s="19" t="n"/>
      <c r="N72" s="16" t="n"/>
      <c r="O72" s="27" t="n"/>
      <c r="P72" s="16" t="n"/>
      <c r="Q72" s="16" t="n"/>
    </row>
    <row r="73">
      <c r="A73" s="16" t="n"/>
      <c r="B73" s="16" t="n"/>
      <c r="C73" s="16" t="n"/>
      <c r="D73" s="16" t="n"/>
      <c r="E73" s="9" t="n"/>
      <c r="F73" s="9" t="n"/>
      <c r="G73" s="18" t="n"/>
      <c r="H73" s="16" t="n"/>
      <c r="I73" s="17" t="n"/>
      <c r="J73" s="27" t="n"/>
      <c r="K73" s="17" t="n"/>
      <c r="L73" s="9" t="n"/>
      <c r="M73" s="19" t="n"/>
      <c r="N73" s="16" t="n"/>
      <c r="O73" s="27" t="n"/>
      <c r="P73" s="16" t="n"/>
      <c r="Q73" s="16" t="n"/>
    </row>
    <row r="74">
      <c r="A74" s="16" t="n"/>
      <c r="B74" s="16" t="n"/>
      <c r="C74" s="16" t="n"/>
      <c r="D74" s="16" t="n"/>
      <c r="E74" s="9" t="n"/>
      <c r="F74" s="9" t="n"/>
      <c r="G74" s="18" t="n"/>
      <c r="H74" s="16" t="n"/>
      <c r="I74" s="17" t="n"/>
      <c r="J74" s="27" t="n"/>
      <c r="K74" s="17" t="n"/>
      <c r="L74" s="9" t="n"/>
      <c r="M74" s="19" t="n"/>
      <c r="N74" s="16" t="n"/>
      <c r="O74" s="27" t="n"/>
      <c r="P74" s="16" t="n"/>
      <c r="Q74" s="16" t="n"/>
    </row>
    <row r="75">
      <c r="A75" s="16" t="n"/>
      <c r="B75" s="16" t="n"/>
      <c r="C75" s="16" t="n"/>
      <c r="D75" s="16" t="n"/>
      <c r="E75" s="9" t="n"/>
      <c r="F75" s="9" t="n"/>
      <c r="G75" s="18" t="n"/>
      <c r="H75" s="16" t="n"/>
      <c r="I75" s="17" t="n"/>
      <c r="J75" s="27" t="n"/>
      <c r="K75" s="17" t="n"/>
      <c r="L75" s="9" t="n"/>
      <c r="M75" s="19" t="n"/>
      <c r="N75" s="16" t="n"/>
      <c r="O75" s="27" t="n"/>
      <c r="P75" s="16" t="n"/>
      <c r="Q75" s="16" t="n"/>
    </row>
    <row r="76">
      <c r="A76" s="16" t="n"/>
      <c r="B76" s="16" t="n"/>
      <c r="C76" s="16" t="n"/>
      <c r="D76" s="16" t="n"/>
      <c r="E76" s="9" t="n"/>
      <c r="F76" s="9" t="n"/>
      <c r="G76" s="18" t="n"/>
      <c r="H76" s="16" t="n"/>
      <c r="I76" s="17" t="n"/>
      <c r="J76" s="27" t="n"/>
      <c r="K76" s="17" t="n"/>
      <c r="L76" s="9" t="n"/>
      <c r="M76" s="19" t="n"/>
      <c r="N76" s="16" t="n"/>
      <c r="O76" s="27" t="n"/>
      <c r="P76" s="16" t="n"/>
      <c r="Q76" s="16" t="n"/>
    </row>
    <row r="77">
      <c r="A77" s="16" t="n"/>
      <c r="B77" s="16" t="n"/>
      <c r="C77" s="16" t="n"/>
      <c r="D77" s="16" t="n"/>
      <c r="E77" s="9" t="n"/>
      <c r="F77" s="9" t="n"/>
      <c r="G77" s="18" t="n"/>
      <c r="H77" s="16" t="n"/>
      <c r="I77" s="17" t="n"/>
      <c r="J77" s="27" t="n"/>
      <c r="K77" s="17" t="n"/>
      <c r="L77" s="9" t="n"/>
      <c r="M77" s="19" t="n"/>
      <c r="N77" s="16" t="n"/>
      <c r="O77" s="27" t="n"/>
      <c r="P77" s="16" t="n"/>
      <c r="Q77" s="16" t="n"/>
    </row>
    <row r="78">
      <c r="A78" s="16" t="n"/>
      <c r="B78" s="16" t="n"/>
      <c r="C78" s="16" t="n"/>
      <c r="D78" s="16" t="n"/>
      <c r="E78" s="9" t="n"/>
      <c r="F78" s="9" t="n"/>
      <c r="G78" s="18" t="n"/>
      <c r="H78" s="16" t="n"/>
      <c r="I78" s="17" t="n"/>
      <c r="J78" s="27" t="n"/>
      <c r="K78" s="17" t="n"/>
      <c r="L78" s="9" t="n"/>
      <c r="M78" s="19" t="n"/>
      <c r="N78" s="16" t="n"/>
      <c r="O78" s="27" t="n"/>
      <c r="P78" s="16" t="n"/>
      <c r="Q78" s="16" t="n"/>
    </row>
    <row r="79">
      <c r="A79" s="16" t="n"/>
      <c r="B79" s="16" t="n"/>
      <c r="C79" s="16" t="n"/>
      <c r="D79" s="16" t="n"/>
      <c r="E79" s="9" t="n"/>
      <c r="F79" s="9" t="n"/>
      <c r="G79" s="18" t="n"/>
      <c r="H79" s="16" t="n"/>
      <c r="I79" s="17" t="n"/>
      <c r="J79" s="27" t="n"/>
      <c r="K79" s="17" t="n"/>
      <c r="L79" s="9" t="n"/>
      <c r="M79" s="19" t="n"/>
      <c r="N79" s="16" t="n"/>
      <c r="O79" s="27" t="n"/>
      <c r="P79" s="16" t="n"/>
      <c r="Q79" s="16" t="n"/>
    </row>
    <row r="80">
      <c r="A80" s="16" t="n"/>
      <c r="B80" s="16" t="n"/>
      <c r="C80" s="16" t="n"/>
      <c r="D80" s="16" t="n"/>
      <c r="E80" s="9" t="n"/>
      <c r="F80" s="9" t="n"/>
      <c r="G80" s="18" t="n"/>
      <c r="H80" s="16" t="n"/>
      <c r="I80" s="17" t="n"/>
      <c r="J80" s="27" t="n"/>
      <c r="K80" s="17" t="n"/>
      <c r="L80" s="9" t="n"/>
      <c r="M80" s="19" t="n"/>
      <c r="N80" s="16" t="n"/>
      <c r="O80" s="27" t="n"/>
      <c r="P80" s="16" t="n"/>
      <c r="Q80" s="16" t="n"/>
    </row>
    <row r="81">
      <c r="A81" s="16" t="n"/>
      <c r="B81" s="16" t="n"/>
      <c r="C81" s="16" t="n"/>
      <c r="D81" s="16" t="n"/>
      <c r="E81" s="9" t="n"/>
      <c r="F81" s="9" t="n"/>
      <c r="G81" s="18" t="n"/>
      <c r="H81" s="16" t="n"/>
      <c r="I81" s="17" t="n"/>
      <c r="J81" s="27" t="n"/>
      <c r="K81" s="17" t="n"/>
      <c r="L81" s="9" t="n"/>
      <c r="M81" s="19" t="n"/>
      <c r="N81" s="16" t="n"/>
      <c r="O81" s="27" t="n"/>
      <c r="P81" s="16" t="n"/>
      <c r="Q81" s="16" t="n"/>
    </row>
    <row r="82">
      <c r="A82" s="16" t="n"/>
      <c r="B82" s="16" t="n"/>
      <c r="C82" s="16" t="n"/>
      <c r="D82" s="16" t="n"/>
      <c r="E82" s="9" t="n"/>
      <c r="F82" s="9" t="n"/>
      <c r="G82" s="18" t="n"/>
      <c r="H82" s="16" t="n"/>
      <c r="I82" s="17" t="n"/>
      <c r="J82" s="27" t="n"/>
      <c r="K82" s="17" t="n"/>
      <c r="L82" s="9" t="n"/>
      <c r="M82" s="19" t="n"/>
      <c r="N82" s="16" t="n"/>
      <c r="O82" s="27" t="n"/>
      <c r="P82" s="16" t="n"/>
      <c r="Q82" s="16" t="n"/>
    </row>
    <row r="83">
      <c r="A83" s="16" t="n"/>
      <c r="B83" s="16" t="n"/>
      <c r="C83" s="16" t="n"/>
      <c r="D83" s="16" t="n"/>
      <c r="E83" s="9" t="n"/>
      <c r="F83" s="9" t="n"/>
      <c r="G83" s="18" t="n"/>
      <c r="H83" s="16" t="n"/>
      <c r="I83" s="17" t="n"/>
      <c r="J83" s="27" t="n"/>
      <c r="K83" s="17" t="n"/>
      <c r="L83" s="9" t="n"/>
      <c r="M83" s="19" t="n"/>
      <c r="N83" s="16" t="n"/>
      <c r="O83" s="27" t="n"/>
      <c r="P83" s="16" t="n"/>
      <c r="Q83" s="16" t="n"/>
    </row>
    <row r="84">
      <c r="A84" s="16" t="n"/>
      <c r="B84" s="16" t="n"/>
      <c r="C84" s="16" t="n"/>
      <c r="D84" s="16" t="n"/>
      <c r="E84" s="9" t="n"/>
      <c r="F84" s="9" t="n"/>
      <c r="G84" s="18" t="n"/>
      <c r="H84" s="16" t="n"/>
      <c r="I84" s="17" t="n"/>
      <c r="J84" s="27" t="n"/>
      <c r="K84" s="17" t="n"/>
      <c r="L84" s="9" t="n"/>
      <c r="M84" s="19" t="n"/>
      <c r="N84" s="16" t="n"/>
      <c r="O84" s="27" t="n"/>
      <c r="P84" s="16" t="n"/>
      <c r="Q84" s="16" t="n"/>
    </row>
    <row r="85">
      <c r="A85" s="16" t="n"/>
      <c r="B85" s="16" t="n"/>
      <c r="C85" s="16" t="n"/>
      <c r="D85" s="16" t="n"/>
      <c r="E85" s="9" t="n"/>
      <c r="F85" s="9" t="n"/>
      <c r="G85" s="18" t="n"/>
      <c r="H85" s="16" t="n"/>
      <c r="I85" s="17" t="n"/>
      <c r="J85" s="27" t="n"/>
      <c r="K85" s="17" t="n"/>
      <c r="L85" s="9" t="n"/>
      <c r="M85" s="19" t="n"/>
      <c r="N85" s="16" t="n"/>
      <c r="O85" s="27" t="n"/>
      <c r="P85" s="16" t="n"/>
      <c r="Q85" s="16" t="n"/>
    </row>
    <row r="86">
      <c r="A86" s="16" t="n"/>
      <c r="B86" s="16" t="n"/>
      <c r="C86" s="16" t="n"/>
      <c r="D86" s="16" t="n"/>
      <c r="E86" s="9" t="n"/>
      <c r="F86" s="9" t="n"/>
      <c r="G86" s="18" t="n"/>
      <c r="H86" s="16" t="n"/>
      <c r="I86" s="17" t="n"/>
      <c r="J86" s="27" t="n"/>
      <c r="K86" s="17" t="n"/>
      <c r="L86" s="9" t="n"/>
      <c r="M86" s="19" t="n"/>
      <c r="N86" s="16" t="n"/>
      <c r="O86" s="27" t="n"/>
      <c r="P86" s="16" t="n"/>
      <c r="Q86" s="16" t="n"/>
    </row>
    <row r="87">
      <c r="A87" s="16" t="n"/>
      <c r="B87" s="16" t="n"/>
      <c r="C87" s="16" t="n"/>
      <c r="D87" s="16" t="n"/>
      <c r="E87" s="9" t="n"/>
      <c r="F87" s="9" t="n"/>
      <c r="G87" s="18" t="n"/>
      <c r="H87" s="16" t="n"/>
      <c r="I87" s="17" t="n"/>
      <c r="J87" s="27" t="n"/>
      <c r="K87" s="17" t="n"/>
      <c r="L87" s="9" t="n"/>
      <c r="M87" s="19" t="n"/>
      <c r="N87" s="16" t="n"/>
      <c r="O87" s="27" t="n"/>
      <c r="P87" s="16" t="n"/>
      <c r="Q87" s="16" t="n"/>
    </row>
    <row r="88">
      <c r="A88" s="16" t="n"/>
      <c r="B88" s="16" t="n"/>
      <c r="C88" s="16" t="n"/>
      <c r="D88" s="16" t="n"/>
      <c r="E88" s="9" t="n"/>
      <c r="F88" s="9" t="n"/>
      <c r="G88" s="18" t="n"/>
      <c r="H88" s="16" t="n"/>
      <c r="I88" s="17" t="n"/>
      <c r="J88" s="27" t="n"/>
      <c r="K88" s="17" t="n"/>
      <c r="L88" s="9" t="n"/>
      <c r="M88" s="19" t="n"/>
      <c r="N88" s="16" t="n"/>
      <c r="O88" s="27" t="n"/>
      <c r="P88" s="16" t="n"/>
      <c r="Q88" s="16" t="n"/>
    </row>
    <row r="89">
      <c r="A89" s="16" t="n"/>
      <c r="B89" s="16" t="n"/>
      <c r="C89" s="16" t="n"/>
      <c r="D89" s="16" t="n"/>
      <c r="E89" s="9" t="n"/>
      <c r="F89" s="9" t="n"/>
      <c r="G89" s="18" t="n"/>
      <c r="H89" s="16" t="n"/>
      <c r="I89" s="17" t="n"/>
      <c r="J89" s="27" t="n"/>
      <c r="K89" s="17" t="n"/>
      <c r="L89" s="9" t="n"/>
      <c r="M89" s="19" t="n"/>
      <c r="N89" s="16" t="n"/>
      <c r="O89" s="27" t="n"/>
      <c r="P89" s="16" t="n"/>
      <c r="Q89" s="16" t="n"/>
    </row>
    <row r="90">
      <c r="A90" s="16" t="n"/>
      <c r="B90" s="16" t="n"/>
      <c r="C90" s="16" t="n"/>
      <c r="D90" s="16" t="n"/>
      <c r="E90" s="9" t="n"/>
      <c r="F90" s="9" t="n"/>
      <c r="G90" s="18" t="n"/>
      <c r="H90" s="16" t="n"/>
      <c r="I90" s="17" t="n"/>
      <c r="J90" s="27" t="n"/>
      <c r="K90" s="17" t="n"/>
      <c r="L90" s="9" t="n"/>
      <c r="M90" s="19" t="n"/>
      <c r="N90" s="16" t="n"/>
      <c r="O90" s="27" t="n"/>
      <c r="P90" s="16" t="n"/>
      <c r="Q90" s="16" t="n"/>
    </row>
    <row r="91">
      <c r="A91" s="16" t="n"/>
      <c r="B91" s="16" t="n"/>
      <c r="C91" s="16" t="n"/>
      <c r="D91" s="16" t="n"/>
      <c r="E91" s="9" t="n"/>
      <c r="F91" s="9" t="n"/>
      <c r="G91" s="18" t="n"/>
      <c r="H91" s="16" t="n"/>
      <c r="I91" s="17" t="n"/>
      <c r="J91" s="27" t="n"/>
      <c r="K91" s="17" t="n"/>
      <c r="L91" s="9" t="n"/>
      <c r="M91" s="19" t="n"/>
      <c r="N91" s="16" t="n"/>
      <c r="O91" s="27" t="n"/>
      <c r="P91" s="16" t="n"/>
      <c r="Q91" s="16" t="n"/>
    </row>
    <row r="92">
      <c r="A92" s="16" t="n"/>
      <c r="B92" s="16" t="n"/>
      <c r="C92" s="16" t="n"/>
      <c r="D92" s="16" t="n"/>
      <c r="E92" s="9" t="n"/>
      <c r="F92" s="9" t="n"/>
      <c r="G92" s="18" t="n"/>
      <c r="H92" s="16" t="n"/>
      <c r="I92" s="17" t="n"/>
      <c r="J92" s="27" t="n"/>
      <c r="K92" s="17" t="n"/>
      <c r="L92" s="9" t="n"/>
      <c r="M92" s="19" t="n"/>
      <c r="N92" s="16" t="n"/>
      <c r="O92" s="27" t="n"/>
      <c r="P92" s="16" t="n"/>
      <c r="Q92" s="16" t="n"/>
    </row>
    <row r="93">
      <c r="A93" s="16" t="n"/>
      <c r="B93" s="16" t="n"/>
      <c r="C93" s="16" t="n"/>
      <c r="D93" s="16" t="n"/>
      <c r="E93" s="9" t="n"/>
      <c r="F93" s="9" t="n"/>
      <c r="G93" s="18" t="n"/>
      <c r="H93" s="16" t="n"/>
      <c r="I93" s="17" t="n"/>
      <c r="J93" s="27" t="n"/>
      <c r="K93" s="17" t="n"/>
      <c r="L93" s="9" t="n"/>
      <c r="M93" s="19" t="n"/>
      <c r="N93" s="16" t="n"/>
      <c r="O93" s="27" t="n"/>
      <c r="P93" s="16" t="n"/>
      <c r="Q93" s="16" t="n"/>
    </row>
    <row r="94">
      <c r="A94" s="16" t="n"/>
      <c r="B94" s="16" t="n"/>
      <c r="C94" s="16" t="n"/>
      <c r="D94" s="16" t="n"/>
      <c r="E94" s="9" t="n"/>
      <c r="F94" s="9" t="n"/>
      <c r="G94" s="18" t="n"/>
      <c r="H94" s="16" t="n"/>
      <c r="I94" s="17" t="n"/>
      <c r="J94" s="27" t="n"/>
      <c r="K94" s="17" t="n"/>
      <c r="L94" s="9" t="n"/>
      <c r="M94" s="19" t="n"/>
      <c r="N94" s="16" t="n"/>
      <c r="O94" s="27" t="n"/>
      <c r="P94" s="16" t="n"/>
      <c r="Q94" s="16" t="n"/>
    </row>
    <row r="95">
      <c r="A95" s="16" t="n"/>
      <c r="B95" s="16" t="n"/>
      <c r="C95" s="16" t="n"/>
      <c r="D95" s="16" t="n"/>
      <c r="E95" s="9" t="n"/>
      <c r="F95" s="9" t="n"/>
      <c r="G95" s="18" t="n"/>
      <c r="H95" s="16" t="n"/>
      <c r="I95" s="17" t="n"/>
      <c r="J95" s="27" t="n"/>
      <c r="K95" s="17" t="n"/>
      <c r="L95" s="9" t="n"/>
      <c r="M95" s="19" t="n"/>
      <c r="N95" s="16" t="n"/>
      <c r="O95" s="27" t="n"/>
      <c r="P95" s="16" t="n"/>
      <c r="Q95" s="16" t="n"/>
    </row>
    <row r="96">
      <c r="A96" s="16" t="n"/>
      <c r="B96" s="16" t="n"/>
      <c r="C96" s="16" t="n"/>
      <c r="D96" s="16" t="n"/>
      <c r="E96" s="9" t="n"/>
      <c r="F96" s="9" t="n"/>
      <c r="G96" s="18" t="n"/>
      <c r="H96" s="16" t="n"/>
      <c r="I96" s="17" t="n"/>
      <c r="J96" s="27" t="n"/>
      <c r="K96" s="17" t="n"/>
      <c r="L96" s="9" t="n"/>
      <c r="M96" s="19" t="n"/>
      <c r="N96" s="16" t="n"/>
      <c r="O96" s="27" t="n"/>
      <c r="P96" s="16" t="n"/>
      <c r="Q96" s="16" t="n"/>
    </row>
    <row r="97">
      <c r="A97" s="16" t="n"/>
      <c r="B97" s="16" t="n"/>
      <c r="C97" s="16" t="n"/>
      <c r="D97" s="16" t="n"/>
      <c r="E97" s="9" t="n"/>
      <c r="F97" s="9" t="n"/>
      <c r="G97" s="18" t="n"/>
      <c r="H97" s="16" t="n"/>
      <c r="I97" s="17" t="n"/>
      <c r="J97" s="27" t="n"/>
      <c r="K97" s="17" t="n"/>
      <c r="L97" s="9" t="n"/>
      <c r="M97" s="19" t="n"/>
      <c r="N97" s="16" t="n"/>
      <c r="O97" s="27" t="n"/>
      <c r="P97" s="16" t="n"/>
      <c r="Q97" s="16" t="n"/>
    </row>
    <row r="98">
      <c r="A98" s="16" t="n"/>
      <c r="B98" s="16" t="n"/>
      <c r="C98" s="16" t="n"/>
      <c r="D98" s="16" t="n"/>
      <c r="E98" s="9" t="n"/>
      <c r="F98" s="9" t="n"/>
      <c r="G98" s="18" t="n"/>
      <c r="H98" s="16" t="n"/>
      <c r="I98" s="17" t="n"/>
      <c r="J98" s="27" t="n"/>
      <c r="K98" s="17" t="n"/>
      <c r="L98" s="9" t="n"/>
      <c r="M98" s="19" t="n"/>
      <c r="N98" s="16" t="n"/>
      <c r="O98" s="27" t="n"/>
      <c r="P98" s="16" t="n"/>
      <c r="Q98" s="16" t="n"/>
    </row>
    <row r="99">
      <c r="A99" s="16" t="n"/>
      <c r="B99" s="16" t="n"/>
      <c r="C99" s="16" t="n"/>
      <c r="D99" s="16" t="n"/>
      <c r="E99" s="9" t="n"/>
      <c r="F99" s="9" t="n"/>
      <c r="G99" s="18" t="n"/>
      <c r="H99" s="16" t="n"/>
      <c r="I99" s="17" t="n"/>
      <c r="J99" s="27" t="n"/>
      <c r="K99" s="17" t="n"/>
      <c r="L99" s="9" t="n"/>
      <c r="M99" s="19" t="n"/>
      <c r="N99" s="16" t="n"/>
      <c r="O99" s="27" t="n"/>
      <c r="P99" s="16" t="n"/>
      <c r="Q99" s="16" t="n"/>
    </row>
    <row r="100">
      <c r="A100" s="16" t="n"/>
      <c r="B100" s="16" t="n"/>
      <c r="C100" s="16" t="n"/>
      <c r="D100" s="16" t="n"/>
      <c r="E100" s="9" t="n"/>
      <c r="F100" s="9" t="n"/>
      <c r="G100" s="18" t="n"/>
      <c r="H100" s="16" t="n"/>
      <c r="I100" s="17" t="n"/>
      <c r="J100" s="27" t="n"/>
      <c r="K100" s="17" t="n"/>
      <c r="L100" s="9" t="n"/>
      <c r="M100" s="19" t="n"/>
      <c r="N100" s="16" t="n"/>
      <c r="O100" s="27" t="n"/>
      <c r="P100" s="16" t="n"/>
      <c r="Q100" s="16" t="n"/>
    </row>
    <row r="101">
      <c r="A101" s="16" t="n"/>
      <c r="B101" s="16" t="n"/>
      <c r="C101" s="16" t="n"/>
      <c r="D101" s="16" t="n"/>
      <c r="E101" s="9" t="n"/>
      <c r="F101" s="9" t="n"/>
      <c r="G101" s="18" t="n"/>
      <c r="H101" s="16" t="n"/>
      <c r="I101" s="17" t="n"/>
      <c r="J101" s="27" t="n"/>
      <c r="K101" s="17" t="n"/>
      <c r="L101" s="9" t="n"/>
      <c r="M101" s="19" t="n"/>
      <c r="N101" s="16" t="n"/>
      <c r="O101" s="27" t="n"/>
      <c r="P101" s="16" t="n"/>
      <c r="Q101" s="16" t="n"/>
    </row>
    <row r="102">
      <c r="A102" s="16" t="n"/>
      <c r="B102" s="16" t="n"/>
      <c r="C102" s="16" t="n"/>
      <c r="D102" s="16" t="n"/>
      <c r="E102" s="9" t="n"/>
      <c r="F102" s="9" t="n"/>
      <c r="G102" s="18" t="n"/>
      <c r="H102" s="16" t="n"/>
      <c r="I102" s="17" t="n"/>
      <c r="J102" s="27" t="n"/>
      <c r="K102" s="17" t="n"/>
      <c r="L102" s="9" t="n"/>
      <c r="M102" s="19" t="n"/>
      <c r="N102" s="16" t="n"/>
      <c r="O102" s="27" t="n"/>
      <c r="P102" s="16" t="n"/>
      <c r="Q102" s="16" t="n"/>
    </row>
    <row r="103">
      <c r="A103" s="16" t="n"/>
      <c r="B103" s="16" t="n"/>
      <c r="C103" s="16" t="n"/>
      <c r="D103" s="16" t="n"/>
      <c r="E103" s="9" t="n"/>
      <c r="F103" s="9" t="n"/>
      <c r="G103" s="18" t="n"/>
      <c r="H103" s="16" t="n"/>
      <c r="I103" s="17" t="n"/>
      <c r="J103" s="27" t="n"/>
      <c r="K103" s="17" t="n"/>
      <c r="L103" s="9" t="n"/>
      <c r="M103" s="19" t="n"/>
      <c r="N103" s="16" t="n"/>
      <c r="O103" s="27" t="n"/>
      <c r="P103" s="16" t="n"/>
      <c r="Q103" s="16" t="n"/>
    </row>
    <row r="104">
      <c r="A104" s="16" t="n"/>
      <c r="B104" s="16" t="n"/>
      <c r="C104" s="16" t="n"/>
      <c r="D104" s="16" t="n"/>
      <c r="E104" s="9" t="n"/>
      <c r="F104" s="9" t="n"/>
      <c r="G104" s="18" t="n"/>
      <c r="H104" s="16" t="n"/>
      <c r="I104" s="17" t="n"/>
      <c r="J104" s="27" t="n"/>
      <c r="K104" s="17" t="n"/>
      <c r="L104" s="9" t="n"/>
      <c r="M104" s="19" t="n"/>
      <c r="N104" s="16" t="n"/>
      <c r="O104" s="27" t="n"/>
      <c r="P104" s="16" t="n"/>
      <c r="Q104" s="16" t="n"/>
    </row>
    <row r="105">
      <c r="A105" s="16" t="n"/>
      <c r="B105" s="16" t="n"/>
      <c r="C105" s="16" t="n"/>
      <c r="D105" s="16" t="n"/>
      <c r="E105" s="9" t="n"/>
      <c r="F105" s="9" t="n"/>
      <c r="G105" s="18" t="n"/>
      <c r="H105" s="16" t="n"/>
      <c r="I105" s="17" t="n"/>
      <c r="J105" s="27" t="n"/>
      <c r="K105" s="17" t="n"/>
      <c r="L105" s="9" t="n"/>
      <c r="M105" s="19" t="n"/>
      <c r="N105" s="16" t="n"/>
      <c r="O105" s="27" t="n"/>
      <c r="P105" s="16" t="n"/>
      <c r="Q105" s="16" t="n"/>
    </row>
    <row r="106">
      <c r="A106" s="16" t="n"/>
      <c r="B106" s="16" t="n"/>
      <c r="C106" s="16" t="n"/>
      <c r="D106" s="16" t="n"/>
      <c r="E106" s="9" t="n"/>
      <c r="F106" s="9" t="n"/>
      <c r="G106" s="18" t="n"/>
      <c r="H106" s="16" t="n"/>
      <c r="I106" s="17" t="n"/>
      <c r="J106" s="27" t="n"/>
      <c r="K106" s="17" t="n"/>
      <c r="L106" s="9" t="n"/>
      <c r="M106" s="19" t="n"/>
      <c r="N106" s="16" t="n"/>
      <c r="O106" s="27" t="n"/>
      <c r="P106" s="16" t="n"/>
      <c r="Q106" s="16" t="n"/>
    </row>
    <row r="107">
      <c r="A107" s="16" t="n"/>
      <c r="B107" s="16" t="n"/>
      <c r="C107" s="16" t="n"/>
      <c r="D107" s="16" t="n"/>
      <c r="E107" s="9" t="n"/>
      <c r="F107" s="9" t="n"/>
      <c r="G107" s="18" t="n"/>
      <c r="H107" s="16" t="n"/>
      <c r="I107" s="17" t="n"/>
      <c r="J107" s="27" t="n"/>
      <c r="K107" s="17" t="n"/>
      <c r="L107" s="9" t="n"/>
      <c r="M107" s="19" t="n"/>
      <c r="N107" s="16" t="n"/>
      <c r="O107" s="27" t="n"/>
      <c r="P107" s="16" t="n"/>
      <c r="Q107" s="16" t="n"/>
    </row>
    <row r="108">
      <c r="A108" s="16" t="n"/>
      <c r="B108" s="16" t="n"/>
      <c r="C108" s="16" t="n"/>
      <c r="D108" s="16" t="n"/>
      <c r="E108" s="9" t="n"/>
      <c r="F108" s="9" t="n"/>
      <c r="G108" s="18" t="n"/>
      <c r="H108" s="16" t="n"/>
      <c r="I108" s="17" t="n"/>
      <c r="J108" s="27" t="n"/>
      <c r="K108" s="17" t="n"/>
      <c r="L108" s="9" t="n"/>
      <c r="M108" s="19" t="n"/>
      <c r="N108" s="16" t="n"/>
      <c r="O108" s="27" t="n"/>
      <c r="P108" s="16" t="n"/>
      <c r="Q108" s="16" t="n"/>
    </row>
    <row r="109">
      <c r="A109" s="16" t="n"/>
      <c r="B109" s="16" t="n"/>
      <c r="C109" s="16" t="n"/>
      <c r="D109" s="16" t="n"/>
      <c r="E109" s="9" t="n"/>
      <c r="F109" s="9" t="n"/>
      <c r="G109" s="18" t="n"/>
      <c r="H109" s="16" t="n"/>
      <c r="I109" s="17" t="n"/>
      <c r="J109" s="27" t="n"/>
      <c r="K109" s="17" t="n"/>
      <c r="L109" s="9" t="n"/>
      <c r="M109" s="19" t="n"/>
      <c r="N109" s="16" t="n"/>
      <c r="O109" s="27" t="n"/>
      <c r="P109" s="16" t="n"/>
      <c r="Q109" s="16" t="n"/>
    </row>
    <row r="110">
      <c r="A110" s="16" t="n"/>
      <c r="B110" s="16" t="n"/>
      <c r="C110" s="16" t="n"/>
      <c r="D110" s="16" t="n"/>
      <c r="E110" s="9" t="n"/>
      <c r="F110" s="9" t="n"/>
      <c r="G110" s="18" t="n"/>
      <c r="H110" s="16" t="n"/>
      <c r="I110" s="17" t="n"/>
      <c r="J110" s="27" t="n"/>
      <c r="K110" s="17" t="n"/>
      <c r="L110" s="9" t="n"/>
      <c r="M110" s="19" t="n"/>
      <c r="N110" s="16" t="n"/>
      <c r="O110" s="27" t="n"/>
      <c r="P110" s="16" t="n"/>
      <c r="Q110" s="16" t="n"/>
    </row>
    <row r="111">
      <c r="A111" s="16" t="n"/>
      <c r="B111" s="16" t="n"/>
      <c r="C111" s="16" t="n"/>
      <c r="D111" s="16" t="n"/>
      <c r="E111" s="9" t="n"/>
      <c r="F111" s="9" t="n"/>
      <c r="G111" s="18" t="n"/>
      <c r="H111" s="16" t="n"/>
      <c r="I111" s="17" t="n"/>
      <c r="J111" s="27" t="n"/>
      <c r="K111" s="17" t="n"/>
      <c r="L111" s="9" t="n"/>
      <c r="M111" s="19" t="n"/>
      <c r="N111" s="16" t="n"/>
      <c r="O111" s="27" t="n"/>
      <c r="P111" s="16" t="n"/>
      <c r="Q111" s="16" t="n"/>
    </row>
    <row r="112">
      <c r="A112" s="16" t="n"/>
      <c r="B112" s="16" t="n"/>
      <c r="C112" s="16" t="n"/>
      <c r="D112" s="16" t="n"/>
      <c r="E112" s="9" t="n"/>
      <c r="F112" s="9" t="n"/>
      <c r="G112" s="18" t="n"/>
      <c r="H112" s="16" t="n"/>
      <c r="I112" s="17" t="n"/>
      <c r="J112" s="27" t="n"/>
      <c r="K112" s="17" t="n"/>
      <c r="L112" s="9" t="n"/>
      <c r="M112" s="19" t="n"/>
      <c r="N112" s="16" t="n"/>
      <c r="O112" s="27" t="n"/>
      <c r="P112" s="16" t="n"/>
      <c r="Q112" s="16" t="n"/>
    </row>
    <row r="113">
      <c r="A113" s="16" t="n"/>
      <c r="B113" s="16" t="n"/>
      <c r="C113" s="16" t="n"/>
      <c r="D113" s="16" t="n"/>
      <c r="E113" s="9" t="n"/>
      <c r="F113" s="9" t="n"/>
      <c r="G113" s="18" t="n"/>
      <c r="H113" s="16" t="n"/>
      <c r="I113" s="17" t="n"/>
      <c r="J113" s="27" t="n"/>
      <c r="K113" s="17" t="n"/>
      <c r="L113" s="9" t="n"/>
      <c r="M113" s="19" t="n"/>
      <c r="N113" s="16" t="n"/>
      <c r="O113" s="27" t="n"/>
      <c r="P113" s="16" t="n"/>
      <c r="Q113" s="16" t="n"/>
    </row>
    <row r="114">
      <c r="A114" s="16" t="n"/>
      <c r="B114" s="16" t="n"/>
      <c r="C114" s="16" t="n"/>
      <c r="D114" s="16" t="n"/>
      <c r="E114" s="9" t="n"/>
      <c r="F114" s="9" t="n"/>
      <c r="G114" s="18" t="n"/>
      <c r="H114" s="16" t="n"/>
      <c r="I114" s="17" t="n"/>
      <c r="J114" s="27" t="n"/>
      <c r="K114" s="17" t="n"/>
      <c r="L114" s="9" t="n"/>
      <c r="M114" s="19" t="n"/>
      <c r="N114" s="16" t="n"/>
      <c r="O114" s="27" t="n"/>
      <c r="P114" s="16" t="n"/>
      <c r="Q114" s="16" t="n"/>
    </row>
    <row r="115">
      <c r="A115" s="16" t="n"/>
      <c r="B115" s="16" t="n"/>
      <c r="C115" s="16" t="n"/>
      <c r="D115" s="16" t="n"/>
      <c r="E115" s="9" t="n"/>
      <c r="F115" s="9" t="n"/>
      <c r="G115" s="18" t="n"/>
      <c r="H115" s="16" t="n"/>
      <c r="I115" s="17" t="n"/>
      <c r="J115" s="27" t="n"/>
      <c r="K115" s="17" t="n"/>
      <c r="L115" s="9" t="n"/>
      <c r="M115" s="19" t="n"/>
      <c r="N115" s="16" t="n"/>
      <c r="O115" s="27" t="n"/>
      <c r="P115" s="16" t="n"/>
      <c r="Q115" s="16" t="n"/>
    </row>
    <row r="116">
      <c r="A116" s="16" t="n"/>
      <c r="B116" s="16" t="n"/>
      <c r="C116" s="16" t="n"/>
      <c r="D116" s="16" t="n"/>
      <c r="E116" s="9" t="n"/>
      <c r="F116" s="9" t="n"/>
      <c r="G116" s="18" t="n"/>
      <c r="H116" s="16" t="n"/>
      <c r="I116" s="17" t="n"/>
      <c r="J116" s="27" t="n"/>
      <c r="K116" s="17" t="n"/>
      <c r="L116" s="9" t="n"/>
      <c r="M116" s="19" t="n"/>
      <c r="N116" s="16" t="n"/>
      <c r="O116" s="27" t="n"/>
      <c r="P116" s="16" t="n"/>
      <c r="Q116" s="16" t="n"/>
    </row>
    <row r="117">
      <c r="A117" s="16" t="n"/>
      <c r="B117" s="16" t="n"/>
      <c r="C117" s="16" t="n"/>
      <c r="D117" s="16" t="n"/>
      <c r="E117" s="9" t="n"/>
      <c r="F117" s="9" t="n"/>
      <c r="G117" s="18" t="n"/>
      <c r="H117" s="16" t="n"/>
      <c r="I117" s="17" t="n"/>
      <c r="J117" s="27" t="n"/>
      <c r="K117" s="17" t="n"/>
      <c r="L117" s="9" t="n"/>
      <c r="M117" s="19" t="n"/>
      <c r="N117" s="16" t="n"/>
      <c r="O117" s="27" t="n"/>
      <c r="P117" s="16" t="n"/>
      <c r="Q117" s="16" t="n"/>
    </row>
    <row r="118">
      <c r="A118" s="16" t="n"/>
      <c r="B118" s="16" t="n"/>
      <c r="C118" s="16" t="n"/>
      <c r="D118" s="16" t="n"/>
      <c r="E118" s="9" t="n"/>
      <c r="F118" s="9" t="n"/>
      <c r="G118" s="18" t="n"/>
      <c r="H118" s="16" t="n"/>
      <c r="I118" s="17" t="n"/>
      <c r="J118" s="27" t="n"/>
      <c r="K118" s="17" t="n"/>
      <c r="L118" s="9" t="n"/>
      <c r="M118" s="19" t="n"/>
      <c r="N118" s="16" t="n"/>
      <c r="O118" s="27" t="n"/>
      <c r="P118" s="16" t="n"/>
      <c r="Q118" s="16" t="n"/>
    </row>
    <row r="119">
      <c r="A119" s="16" t="n"/>
      <c r="B119" s="16" t="n"/>
      <c r="C119" s="16" t="n"/>
      <c r="D119" s="16" t="n"/>
      <c r="E119" s="9" t="n"/>
      <c r="F119" s="9" t="n"/>
      <c r="G119" s="18" t="n"/>
      <c r="H119" s="16" t="n"/>
      <c r="I119" s="17" t="n"/>
      <c r="J119" s="27" t="n"/>
      <c r="K119" s="17" t="n"/>
      <c r="L119" s="9" t="n"/>
      <c r="M119" s="19" t="n"/>
      <c r="N119" s="16" t="n"/>
      <c r="O119" s="27" t="n"/>
      <c r="P119" s="16" t="n"/>
      <c r="Q119" s="16" t="n"/>
    </row>
    <row r="120">
      <c r="A120" s="16" t="n"/>
      <c r="B120" s="16" t="n"/>
      <c r="C120" s="16" t="n"/>
      <c r="D120" s="16" t="n"/>
      <c r="E120" s="9" t="n"/>
      <c r="F120" s="9" t="n"/>
      <c r="G120" s="18" t="n"/>
      <c r="H120" s="16" t="n"/>
      <c r="I120" s="17" t="n"/>
      <c r="J120" s="27" t="n"/>
      <c r="K120" s="17" t="n"/>
      <c r="L120" s="9" t="n"/>
      <c r="M120" s="19" t="n"/>
      <c r="N120" s="16" t="n"/>
      <c r="O120" s="27" t="n"/>
      <c r="P120" s="16" t="n"/>
      <c r="Q120" s="16" t="n"/>
    </row>
    <row r="121">
      <c r="A121" s="16" t="n"/>
      <c r="B121" s="16" t="n"/>
      <c r="C121" s="16" t="n"/>
      <c r="D121" s="16" t="n"/>
      <c r="E121" s="9" t="n"/>
      <c r="F121" s="9" t="n"/>
      <c r="G121" s="18" t="n"/>
      <c r="H121" s="16" t="n"/>
      <c r="I121" s="17" t="n"/>
      <c r="J121" s="27" t="n"/>
      <c r="K121" s="17" t="n"/>
      <c r="L121" s="9" t="n"/>
      <c r="M121" s="19" t="n"/>
      <c r="N121" s="16" t="n"/>
      <c r="O121" s="27" t="n"/>
      <c r="P121" s="16" t="n"/>
      <c r="Q121" s="16" t="n"/>
    </row>
    <row r="122">
      <c r="A122" s="16" t="n"/>
      <c r="B122" s="16" t="n"/>
      <c r="C122" s="16" t="n"/>
      <c r="D122" s="16" t="n"/>
      <c r="E122" s="9" t="n"/>
      <c r="F122" s="9" t="n"/>
      <c r="G122" s="18" t="n"/>
      <c r="H122" s="16" t="n"/>
      <c r="I122" s="17" t="n"/>
      <c r="J122" s="27" t="n"/>
      <c r="K122" s="17" t="n"/>
      <c r="L122" s="9" t="n"/>
      <c r="M122" s="19" t="n"/>
      <c r="N122" s="16" t="n"/>
      <c r="O122" s="27" t="n"/>
      <c r="P122" s="16" t="n"/>
      <c r="Q122" s="16" t="n"/>
    </row>
    <row r="123">
      <c r="A123" s="16" t="n"/>
      <c r="B123" s="16" t="n"/>
      <c r="C123" s="16" t="n"/>
      <c r="D123" s="16" t="n"/>
      <c r="E123" s="9" t="n"/>
      <c r="F123" s="9" t="n"/>
      <c r="G123" s="18" t="n"/>
      <c r="H123" s="16" t="n"/>
      <c r="I123" s="17" t="n"/>
      <c r="J123" s="27" t="n"/>
      <c r="K123" s="17" t="n"/>
      <c r="L123" s="9" t="n"/>
      <c r="M123" s="19" t="n"/>
      <c r="N123" s="16" t="n"/>
      <c r="O123" s="27" t="n"/>
      <c r="P123" s="16" t="n"/>
      <c r="Q123" s="16" t="n"/>
    </row>
    <row r="124">
      <c r="A124" s="16" t="n"/>
      <c r="B124" s="16" t="n"/>
      <c r="C124" s="16" t="n"/>
      <c r="D124" s="16" t="n"/>
      <c r="E124" s="9" t="n"/>
      <c r="F124" s="9" t="n"/>
      <c r="G124" s="18" t="n"/>
      <c r="H124" s="16" t="n"/>
      <c r="I124" s="17" t="n"/>
      <c r="J124" s="27" t="n"/>
      <c r="K124" s="17" t="n"/>
      <c r="L124" s="9" t="n"/>
      <c r="M124" s="19" t="n"/>
      <c r="N124" s="16" t="n"/>
      <c r="O124" s="27" t="n"/>
      <c r="P124" s="16" t="n"/>
      <c r="Q124" s="16" t="n"/>
    </row>
    <row r="125">
      <c r="A125" s="16" t="n"/>
      <c r="B125" s="16" t="n"/>
      <c r="C125" s="16" t="n"/>
      <c r="D125" s="16" t="n"/>
      <c r="E125" s="9" t="n"/>
      <c r="F125" s="9" t="n"/>
      <c r="G125" s="18" t="n"/>
      <c r="H125" s="16" t="n"/>
      <c r="I125" s="17" t="n"/>
      <c r="J125" s="27" t="n"/>
      <c r="K125" s="17" t="n"/>
      <c r="L125" s="9" t="n"/>
      <c r="M125" s="19" t="n"/>
      <c r="N125" s="16" t="n"/>
      <c r="O125" s="27" t="n"/>
      <c r="P125" s="16" t="n"/>
      <c r="Q125" s="16" t="n"/>
    </row>
    <row r="126">
      <c r="A126" s="16" t="n"/>
      <c r="B126" s="16" t="n"/>
      <c r="C126" s="16" t="n"/>
      <c r="D126" s="16" t="n"/>
      <c r="E126" s="9" t="n"/>
      <c r="F126" s="9" t="n"/>
      <c r="G126" s="18" t="n"/>
      <c r="H126" s="16" t="n"/>
      <c r="I126" s="17" t="n"/>
      <c r="J126" s="27" t="n"/>
      <c r="K126" s="17" t="n"/>
      <c r="L126" s="9" t="n"/>
      <c r="M126" s="19" t="n"/>
      <c r="N126" s="16" t="n"/>
      <c r="O126" s="27" t="n"/>
      <c r="P126" s="16" t="n"/>
      <c r="Q126" s="16" t="n"/>
    </row>
    <row r="127">
      <c r="A127" s="16" t="n"/>
      <c r="B127" s="16" t="n"/>
      <c r="C127" s="16" t="n"/>
      <c r="D127" s="16" t="n"/>
      <c r="E127" s="9" t="n"/>
      <c r="F127" s="9" t="n"/>
      <c r="G127" s="18" t="n"/>
      <c r="H127" s="16" t="n"/>
      <c r="I127" s="17" t="n"/>
      <c r="J127" s="27" t="n"/>
      <c r="K127" s="17" t="n"/>
      <c r="L127" s="9" t="n"/>
      <c r="M127" s="19" t="n"/>
      <c r="N127" s="16" t="n"/>
      <c r="O127" s="27" t="n"/>
      <c r="P127" s="16" t="n"/>
      <c r="Q127" s="16" t="n"/>
    </row>
    <row r="128">
      <c r="A128" s="16" t="n"/>
      <c r="B128" s="16" t="n"/>
      <c r="C128" s="16" t="n"/>
      <c r="D128" s="16" t="n"/>
      <c r="E128" s="9" t="n"/>
      <c r="F128" s="9" t="n"/>
      <c r="G128" s="18" t="n"/>
      <c r="H128" s="16" t="n"/>
      <c r="I128" s="17" t="n"/>
      <c r="J128" s="27" t="n"/>
      <c r="K128" s="17" t="n"/>
      <c r="L128" s="9" t="n"/>
      <c r="M128" s="19" t="n"/>
      <c r="N128" s="16" t="n"/>
      <c r="O128" s="27" t="n"/>
      <c r="P128" s="16" t="n"/>
      <c r="Q128" s="16" t="n"/>
    </row>
    <row r="129">
      <c r="A129" s="16" t="n"/>
      <c r="B129" s="16" t="n"/>
      <c r="C129" s="16" t="n"/>
      <c r="D129" s="16" t="n"/>
      <c r="E129" s="9" t="n"/>
      <c r="F129" s="9" t="n"/>
      <c r="G129" s="18" t="n"/>
      <c r="H129" s="16" t="n"/>
      <c r="I129" s="17" t="n"/>
      <c r="J129" s="27" t="n"/>
      <c r="K129" s="17" t="n"/>
      <c r="L129" s="9" t="n"/>
      <c r="M129" s="19" t="n"/>
      <c r="N129" s="16" t="n"/>
      <c r="O129" s="27" t="n"/>
      <c r="P129" s="16" t="n"/>
      <c r="Q129" s="16" t="n"/>
    </row>
    <row r="130">
      <c r="A130" s="16" t="n"/>
      <c r="B130" s="16" t="n"/>
      <c r="C130" s="16" t="n"/>
      <c r="D130" s="16" t="n"/>
      <c r="E130" s="9" t="n"/>
      <c r="F130" s="9" t="n"/>
      <c r="G130" s="18" t="n"/>
      <c r="H130" s="16" t="n"/>
      <c r="I130" s="17" t="n"/>
      <c r="J130" s="27" t="n"/>
      <c r="K130" s="17" t="n"/>
      <c r="L130" s="9" t="n"/>
      <c r="M130" s="19" t="n"/>
      <c r="N130" s="16" t="n"/>
      <c r="O130" s="27" t="n"/>
      <c r="P130" s="16" t="n"/>
      <c r="Q130" s="16" t="n"/>
    </row>
    <row r="131">
      <c r="A131" s="16" t="n"/>
      <c r="B131" s="16" t="n"/>
      <c r="C131" s="16" t="n"/>
      <c r="D131" s="16" t="n"/>
      <c r="E131" s="9" t="n"/>
      <c r="F131" s="9" t="n"/>
      <c r="G131" s="18" t="n"/>
      <c r="H131" s="16" t="n"/>
      <c r="I131" s="17" t="n"/>
      <c r="J131" s="27" t="n"/>
      <c r="K131" s="17" t="n"/>
      <c r="L131" s="9" t="n"/>
      <c r="M131" s="19" t="n"/>
      <c r="N131" s="16" t="n"/>
      <c r="O131" s="27" t="n"/>
      <c r="P131" s="16" t="n"/>
      <c r="Q131" s="16" t="n"/>
    </row>
    <row r="132">
      <c r="A132" s="16" t="n"/>
      <c r="B132" s="16" t="n"/>
      <c r="C132" s="16" t="n"/>
      <c r="D132" s="16" t="n"/>
      <c r="E132" s="9" t="n"/>
      <c r="F132" s="9" t="n"/>
      <c r="G132" s="18" t="n"/>
      <c r="H132" s="16" t="n"/>
      <c r="I132" s="17" t="n"/>
      <c r="J132" s="27" t="n"/>
      <c r="K132" s="17" t="n"/>
      <c r="L132" s="9" t="n"/>
      <c r="M132" s="19" t="n"/>
      <c r="N132" s="16" t="n"/>
      <c r="O132" s="27" t="n"/>
      <c r="P132" s="16" t="n"/>
      <c r="Q132" s="16" t="n"/>
    </row>
    <row r="133">
      <c r="A133" s="16" t="n"/>
      <c r="B133" s="16" t="n"/>
      <c r="C133" s="16" t="n"/>
      <c r="D133" s="16" t="n"/>
      <c r="E133" s="9" t="n"/>
      <c r="F133" s="9" t="n"/>
      <c r="G133" s="18" t="n"/>
      <c r="H133" s="16" t="n"/>
      <c r="I133" s="17" t="n"/>
      <c r="J133" s="27" t="n"/>
      <c r="K133" s="17" t="n"/>
      <c r="L133" s="9" t="n"/>
      <c r="M133" s="19" t="n"/>
      <c r="N133" s="16" t="n"/>
      <c r="O133" s="27" t="n"/>
      <c r="P133" s="16" t="n"/>
      <c r="Q133" s="16" t="n"/>
    </row>
    <row r="134">
      <c r="A134" s="16" t="n"/>
      <c r="B134" s="16" t="n"/>
      <c r="C134" s="16" t="n"/>
      <c r="D134" s="16" t="n"/>
      <c r="E134" s="9" t="n"/>
      <c r="F134" s="9" t="n"/>
      <c r="G134" s="18" t="n"/>
      <c r="H134" s="16" t="n"/>
      <c r="I134" s="17" t="n"/>
      <c r="J134" s="27" t="n"/>
      <c r="K134" s="17" t="n"/>
      <c r="L134" s="9" t="n"/>
      <c r="M134" s="19" t="n"/>
      <c r="N134" s="16" t="n"/>
      <c r="O134" s="27" t="n"/>
      <c r="P134" s="16" t="n"/>
      <c r="Q134" s="16" t="n"/>
    </row>
    <row r="135">
      <c r="A135" s="16" t="n"/>
      <c r="B135" s="16" t="n"/>
      <c r="C135" s="16" t="n"/>
      <c r="D135" s="16" t="n"/>
      <c r="E135" s="9" t="n"/>
      <c r="F135" s="9" t="n"/>
      <c r="G135" s="18" t="n"/>
      <c r="H135" s="16" t="n"/>
      <c r="I135" s="17" t="n"/>
      <c r="J135" s="27" t="n"/>
      <c r="K135" s="17" t="n"/>
      <c r="L135" s="9" t="n"/>
      <c r="M135" s="19" t="n"/>
      <c r="N135" s="16" t="n"/>
      <c r="O135" s="27" t="n"/>
      <c r="P135" s="16" t="n"/>
      <c r="Q135" s="16" t="n"/>
    </row>
    <row r="136">
      <c r="A136" s="16" t="n"/>
      <c r="B136" s="16" t="n"/>
      <c r="C136" s="16" t="n"/>
      <c r="D136" s="16" t="n"/>
      <c r="E136" s="9" t="n"/>
      <c r="F136" s="9" t="n"/>
      <c r="G136" s="18" t="n"/>
      <c r="H136" s="16" t="n"/>
      <c r="I136" s="17" t="n"/>
      <c r="J136" s="27" t="n"/>
      <c r="K136" s="17" t="n"/>
      <c r="L136" s="9" t="n"/>
      <c r="M136" s="19" t="n"/>
      <c r="N136" s="16" t="n"/>
      <c r="O136" s="27" t="n"/>
      <c r="P136" s="16" t="n"/>
      <c r="Q136" s="16" t="n"/>
    </row>
    <row r="137">
      <c r="A137" s="16" t="n"/>
      <c r="B137" s="16" t="n"/>
      <c r="C137" s="16" t="n"/>
      <c r="D137" s="16" t="n"/>
      <c r="E137" s="9" t="n"/>
      <c r="F137" s="9" t="n"/>
      <c r="G137" s="18" t="n"/>
      <c r="H137" s="16" t="n"/>
      <c r="I137" s="17" t="n"/>
      <c r="J137" s="27" t="n"/>
      <c r="K137" s="17" t="n"/>
      <c r="L137" s="9" t="n"/>
      <c r="M137" s="19" t="n"/>
      <c r="N137" s="16" t="n"/>
      <c r="O137" s="27" t="n"/>
      <c r="P137" s="16" t="n"/>
      <c r="Q137" s="16" t="n"/>
    </row>
    <row r="138">
      <c r="A138" s="16" t="n"/>
      <c r="B138" s="16" t="n"/>
      <c r="C138" s="16" t="n"/>
      <c r="D138" s="16" t="n"/>
      <c r="E138" s="9" t="n"/>
      <c r="F138" s="9" t="n"/>
      <c r="G138" s="18" t="n"/>
      <c r="H138" s="16" t="n"/>
      <c r="I138" s="17" t="n"/>
      <c r="J138" s="27" t="n"/>
      <c r="K138" s="17" t="n"/>
      <c r="L138" s="9" t="n"/>
      <c r="M138" s="19" t="n"/>
      <c r="N138" s="16" t="n"/>
      <c r="O138" s="27" t="n"/>
      <c r="P138" s="16" t="n"/>
      <c r="Q138" s="16" t="n"/>
    </row>
    <row r="139">
      <c r="A139" s="16" t="n"/>
      <c r="B139" s="16" t="n"/>
      <c r="C139" s="16" t="n"/>
      <c r="D139" s="16" t="n"/>
      <c r="E139" s="9" t="n"/>
      <c r="F139" s="9" t="n"/>
      <c r="G139" s="18" t="n"/>
      <c r="H139" s="16" t="n"/>
      <c r="I139" s="17" t="n"/>
      <c r="J139" s="27" t="n"/>
      <c r="K139" s="17" t="n"/>
      <c r="L139" s="9" t="n"/>
      <c r="M139" s="19" t="n"/>
      <c r="N139" s="16" t="n"/>
      <c r="O139" s="27" t="n"/>
      <c r="P139" s="16" t="n"/>
      <c r="Q139" s="16" t="n"/>
    </row>
    <row r="140">
      <c r="A140" s="16" t="n"/>
      <c r="B140" s="16" t="n"/>
      <c r="C140" s="16" t="n"/>
      <c r="D140" s="16" t="n"/>
      <c r="E140" s="9" t="n"/>
      <c r="F140" s="9" t="n"/>
      <c r="G140" s="18" t="n"/>
      <c r="H140" s="16" t="n"/>
      <c r="I140" s="17" t="n"/>
      <c r="J140" s="27" t="n"/>
      <c r="K140" s="17" t="n"/>
      <c r="L140" s="9" t="n"/>
      <c r="M140" s="19" t="n"/>
      <c r="N140" s="16" t="n"/>
      <c r="O140" s="27" t="n"/>
      <c r="P140" s="16" t="n"/>
      <c r="Q140" s="16" t="n"/>
    </row>
    <row r="141">
      <c r="A141" s="16" t="n"/>
      <c r="B141" s="16" t="n"/>
      <c r="C141" s="16" t="n"/>
      <c r="D141" s="16" t="n"/>
      <c r="E141" s="9" t="n"/>
      <c r="F141" s="9" t="n"/>
      <c r="G141" s="18" t="n"/>
      <c r="H141" s="16" t="n"/>
      <c r="I141" s="17" t="n"/>
      <c r="J141" s="27" t="n"/>
      <c r="K141" s="17" t="n"/>
      <c r="L141" s="9" t="n"/>
      <c r="M141" s="19" t="n"/>
      <c r="N141" s="16" t="n"/>
      <c r="O141" s="27" t="n"/>
      <c r="P141" s="16" t="n"/>
      <c r="Q141" s="16" t="n"/>
    </row>
    <row r="142">
      <c r="A142" s="16" t="n"/>
      <c r="B142" s="16" t="n"/>
      <c r="C142" s="16" t="n"/>
      <c r="D142" s="16" t="n"/>
      <c r="E142" s="9" t="n"/>
      <c r="F142" s="9" t="n"/>
      <c r="G142" s="18" t="n"/>
      <c r="H142" s="16" t="n"/>
      <c r="I142" s="17" t="n"/>
      <c r="J142" s="27" t="n"/>
      <c r="K142" s="17" t="n"/>
      <c r="L142" s="9" t="n"/>
      <c r="M142" s="19" t="n"/>
      <c r="N142" s="16" t="n"/>
      <c r="O142" s="27" t="n"/>
      <c r="P142" s="16" t="n"/>
      <c r="Q142" s="16" t="n"/>
    </row>
    <row r="143">
      <c r="A143" s="16" t="n"/>
      <c r="B143" s="16" t="n"/>
      <c r="C143" s="16" t="n"/>
      <c r="D143" s="16" t="n"/>
      <c r="E143" s="9" t="n"/>
      <c r="F143" s="9" t="n"/>
      <c r="G143" s="18" t="n"/>
      <c r="H143" s="16" t="n"/>
      <c r="I143" s="17" t="n"/>
      <c r="J143" s="27" t="n"/>
      <c r="K143" s="17" t="n"/>
      <c r="L143" s="9" t="n"/>
      <c r="M143" s="19" t="n"/>
      <c r="N143" s="16" t="n"/>
      <c r="O143" s="27" t="n"/>
      <c r="P143" s="16" t="n"/>
      <c r="Q143" s="16" t="n"/>
    </row>
    <row r="144">
      <c r="A144" s="16" t="n"/>
      <c r="B144" s="16" t="n"/>
      <c r="C144" s="16" t="n"/>
      <c r="D144" s="16" t="n"/>
      <c r="E144" s="9" t="n"/>
      <c r="F144" s="9" t="n"/>
      <c r="G144" s="18" t="n"/>
      <c r="H144" s="16" t="n"/>
      <c r="I144" s="17" t="n"/>
      <c r="J144" s="27" t="n"/>
      <c r="K144" s="17" t="n"/>
      <c r="L144" s="9" t="n"/>
      <c r="M144" s="19" t="n"/>
      <c r="N144" s="16" t="n"/>
      <c r="O144" s="27" t="n"/>
      <c r="P144" s="16" t="n"/>
      <c r="Q144" s="16" t="n"/>
    </row>
    <row r="145">
      <c r="A145" s="16" t="n"/>
      <c r="B145" s="16" t="n"/>
      <c r="C145" s="16" t="n"/>
      <c r="D145" s="16" t="n"/>
      <c r="E145" s="9" t="n"/>
      <c r="F145" s="9" t="n"/>
      <c r="G145" s="18" t="n"/>
      <c r="H145" s="16" t="n"/>
      <c r="I145" s="17" t="n"/>
      <c r="J145" s="27" t="n"/>
      <c r="K145" s="17" t="n"/>
      <c r="L145" s="9" t="n"/>
      <c r="M145" s="19" t="n"/>
      <c r="N145" s="16" t="n"/>
      <c r="O145" s="27" t="n"/>
      <c r="P145" s="16" t="n"/>
      <c r="Q145" s="16" t="n"/>
    </row>
    <row r="146">
      <c r="A146" s="16" t="n"/>
      <c r="B146" s="16" t="n"/>
      <c r="C146" s="16" t="n"/>
      <c r="D146" s="16" t="n"/>
      <c r="E146" s="9" t="n"/>
      <c r="F146" s="9" t="n"/>
      <c r="G146" s="18" t="n"/>
      <c r="H146" s="16" t="n"/>
      <c r="I146" s="17" t="n"/>
      <c r="J146" s="27" t="n"/>
      <c r="K146" s="17" t="n"/>
      <c r="L146" s="9" t="n"/>
      <c r="M146" s="19" t="n"/>
      <c r="N146" s="16" t="n"/>
      <c r="O146" s="27" t="n"/>
      <c r="P146" s="16" t="n"/>
      <c r="Q146" s="16" t="n"/>
    </row>
    <row r="147">
      <c r="A147" s="16" t="n"/>
      <c r="B147" s="16" t="n"/>
      <c r="C147" s="16" t="n"/>
      <c r="D147" s="16" t="n"/>
      <c r="E147" s="9" t="n"/>
      <c r="F147" s="9" t="n"/>
      <c r="G147" s="18" t="n"/>
      <c r="H147" s="16" t="n"/>
      <c r="I147" s="17" t="n"/>
      <c r="J147" s="27" t="n"/>
      <c r="K147" s="17" t="n"/>
      <c r="L147" s="9" t="n"/>
      <c r="M147" s="19" t="n"/>
      <c r="N147" s="16" t="n"/>
      <c r="O147" s="27" t="n"/>
      <c r="P147" s="16" t="n"/>
      <c r="Q147" s="16" t="n"/>
    </row>
    <row r="148">
      <c r="A148" s="16" t="n"/>
      <c r="B148" s="16" t="n"/>
      <c r="C148" s="16" t="n"/>
      <c r="D148" s="16" t="n"/>
      <c r="E148" s="9" t="n"/>
      <c r="F148" s="9" t="n"/>
      <c r="G148" s="18" t="n"/>
      <c r="H148" s="16" t="n"/>
      <c r="I148" s="17" t="n"/>
      <c r="J148" s="27" t="n"/>
      <c r="K148" s="17" t="n"/>
      <c r="L148" s="9" t="n"/>
      <c r="M148" s="19" t="n"/>
      <c r="N148" s="16" t="n"/>
      <c r="O148" s="27" t="n"/>
      <c r="P148" s="16" t="n"/>
      <c r="Q148" s="16" t="n"/>
    </row>
    <row r="149">
      <c r="A149" s="16" t="n"/>
      <c r="B149" s="16" t="n"/>
      <c r="C149" s="16" t="n"/>
      <c r="D149" s="16" t="n"/>
      <c r="E149" s="9" t="n"/>
      <c r="F149" s="9" t="n"/>
      <c r="G149" s="18" t="n"/>
      <c r="H149" s="16" t="n"/>
      <c r="I149" s="17" t="n"/>
      <c r="J149" s="27" t="n"/>
      <c r="K149" s="17" t="n"/>
      <c r="L149" s="9" t="n"/>
      <c r="M149" s="19" t="n"/>
      <c r="N149" s="16" t="n"/>
      <c r="O149" s="27" t="n"/>
      <c r="P149" s="16" t="n"/>
      <c r="Q149" s="16" t="n"/>
    </row>
    <row r="150">
      <c r="A150" s="16" t="n"/>
      <c r="B150" s="16" t="n"/>
      <c r="C150" s="16" t="n"/>
      <c r="D150" s="16" t="n"/>
      <c r="E150" s="9" t="n"/>
      <c r="F150" s="9" t="n"/>
      <c r="G150" s="18" t="n"/>
      <c r="H150" s="16" t="n"/>
      <c r="I150" s="17" t="n"/>
      <c r="J150" s="27" t="n"/>
      <c r="K150" s="17" t="n"/>
      <c r="L150" s="9" t="n"/>
      <c r="M150" s="19" t="n"/>
      <c r="N150" s="16" t="n"/>
      <c r="O150" s="27" t="n"/>
      <c r="P150" s="16" t="n"/>
      <c r="Q150" s="16" t="n"/>
    </row>
    <row r="151">
      <c r="A151" s="16" t="n"/>
      <c r="B151" s="16" t="n"/>
      <c r="C151" s="16" t="n"/>
      <c r="D151" s="16" t="n"/>
      <c r="E151" s="9" t="n"/>
      <c r="F151" s="9" t="n"/>
      <c r="G151" s="18" t="n"/>
      <c r="H151" s="16" t="n"/>
      <c r="I151" s="17" t="n"/>
      <c r="J151" s="27" t="n"/>
      <c r="K151" s="17" t="n"/>
      <c r="L151" s="9" t="n"/>
      <c r="M151" s="19" t="n"/>
      <c r="N151" s="16" t="n"/>
      <c r="O151" s="27" t="n"/>
      <c r="P151" s="16" t="n"/>
      <c r="Q151" s="16" t="n"/>
    </row>
    <row r="152">
      <c r="A152" s="16" t="n"/>
      <c r="B152" s="16" t="n"/>
      <c r="C152" s="16" t="n"/>
      <c r="D152" s="16" t="n"/>
      <c r="E152" s="9" t="n"/>
      <c r="F152" s="9" t="n"/>
      <c r="G152" s="18" t="n"/>
      <c r="H152" s="16" t="n"/>
      <c r="I152" s="17" t="n"/>
      <c r="J152" s="27" t="n"/>
      <c r="K152" s="17" t="n"/>
      <c r="L152" s="9" t="n"/>
      <c r="M152" s="19" t="n"/>
      <c r="N152" s="16" t="n"/>
      <c r="O152" s="27" t="n"/>
      <c r="P152" s="16" t="n"/>
      <c r="Q152" s="16" t="n"/>
    </row>
    <row r="153">
      <c r="A153" s="16" t="n"/>
      <c r="B153" s="16" t="n"/>
      <c r="C153" s="16" t="n"/>
      <c r="D153" s="16" t="n"/>
      <c r="E153" s="9" t="n"/>
      <c r="F153" s="9" t="n"/>
      <c r="G153" s="18" t="n"/>
      <c r="H153" s="16" t="n"/>
      <c r="I153" s="17" t="n"/>
      <c r="J153" s="27" t="n"/>
      <c r="K153" s="17" t="n"/>
      <c r="L153" s="9" t="n"/>
      <c r="M153" s="19" t="n"/>
      <c r="N153" s="16" t="n"/>
      <c r="O153" s="27" t="n"/>
      <c r="P153" s="16" t="n"/>
      <c r="Q153" s="16" t="n"/>
    </row>
    <row r="154">
      <c r="A154" s="16" t="n"/>
      <c r="B154" s="16" t="n"/>
      <c r="C154" s="16" t="n"/>
      <c r="D154" s="16" t="n"/>
      <c r="E154" s="9" t="n"/>
      <c r="F154" s="9" t="n"/>
      <c r="G154" s="18" t="n"/>
      <c r="H154" s="16" t="n"/>
      <c r="I154" s="17" t="n"/>
      <c r="J154" s="27" t="n"/>
      <c r="K154" s="17" t="n"/>
      <c r="L154" s="9" t="n"/>
      <c r="M154" s="19" t="n"/>
      <c r="N154" s="16" t="n"/>
      <c r="O154" s="27" t="n"/>
      <c r="P154" s="16" t="n"/>
      <c r="Q154" s="16" t="n"/>
    </row>
    <row r="155">
      <c r="A155" s="16" t="n"/>
      <c r="B155" s="16" t="n"/>
      <c r="C155" s="16" t="n"/>
      <c r="D155" s="16" t="n"/>
      <c r="E155" s="9" t="n"/>
      <c r="F155" s="9" t="n"/>
      <c r="G155" s="18" t="n"/>
      <c r="H155" s="16" t="n"/>
      <c r="I155" s="17" t="n"/>
      <c r="J155" s="27" t="n"/>
      <c r="K155" s="17" t="n"/>
      <c r="L155" s="9" t="n"/>
      <c r="M155" s="19" t="n"/>
      <c r="N155" s="16" t="n"/>
      <c r="O155" s="27" t="n"/>
      <c r="P155" s="16" t="n"/>
      <c r="Q155" s="16" t="n"/>
    </row>
    <row r="156">
      <c r="A156" s="16" t="n"/>
      <c r="B156" s="16" t="n"/>
      <c r="C156" s="16" t="n"/>
      <c r="D156" s="16" t="n"/>
      <c r="E156" s="9" t="n"/>
      <c r="F156" s="9" t="n"/>
      <c r="G156" s="18" t="n"/>
      <c r="H156" s="16" t="n"/>
      <c r="I156" s="17" t="n"/>
      <c r="J156" s="27" t="n"/>
      <c r="K156" s="17" t="n"/>
      <c r="L156" s="9" t="n"/>
      <c r="M156" s="19" t="n"/>
      <c r="N156" s="16" t="n"/>
      <c r="O156" s="27" t="n"/>
      <c r="P156" s="16" t="n"/>
      <c r="Q156" s="16" t="n"/>
    </row>
    <row r="157">
      <c r="A157" s="16" t="n"/>
      <c r="B157" s="16" t="n"/>
      <c r="C157" s="16" t="n"/>
      <c r="D157" s="16" t="n"/>
      <c r="E157" s="9" t="n"/>
      <c r="F157" s="9" t="n"/>
      <c r="G157" s="18" t="n"/>
      <c r="H157" s="16" t="n"/>
      <c r="I157" s="17" t="n"/>
      <c r="J157" s="27" t="n"/>
      <c r="K157" s="17" t="n"/>
      <c r="L157" s="9" t="n"/>
      <c r="M157" s="19" t="n"/>
      <c r="N157" s="16" t="n"/>
      <c r="O157" s="27" t="n"/>
      <c r="P157" s="16" t="n"/>
      <c r="Q157" s="16" t="n"/>
    </row>
    <row r="158">
      <c r="A158" s="16" t="n"/>
      <c r="B158" s="16" t="n"/>
      <c r="C158" s="16" t="n"/>
      <c r="D158" s="16" t="n"/>
      <c r="E158" s="9" t="n"/>
      <c r="F158" s="9" t="n"/>
      <c r="G158" s="18" t="n"/>
      <c r="H158" s="16" t="n"/>
      <c r="I158" s="17" t="n"/>
      <c r="J158" s="27" t="n"/>
      <c r="K158" s="17" t="n"/>
      <c r="L158" s="9" t="n"/>
      <c r="M158" s="19" t="n"/>
      <c r="N158" s="16" t="n"/>
      <c r="O158" s="27" t="n"/>
      <c r="P158" s="16" t="n"/>
      <c r="Q158" s="16" t="n"/>
    </row>
    <row r="159">
      <c r="A159" s="16" t="n"/>
      <c r="B159" s="16" t="n"/>
      <c r="C159" s="16" t="n"/>
      <c r="D159" s="16" t="n"/>
      <c r="E159" s="9" t="n"/>
      <c r="F159" s="9" t="n"/>
      <c r="G159" s="18" t="n"/>
      <c r="H159" s="16" t="n"/>
      <c r="I159" s="17" t="n"/>
      <c r="J159" s="27" t="n"/>
      <c r="K159" s="17" t="n"/>
      <c r="L159" s="9" t="n"/>
      <c r="M159" s="19" t="n"/>
      <c r="N159" s="16" t="n"/>
      <c r="O159" s="27" t="n"/>
      <c r="P159" s="16" t="n"/>
      <c r="Q159" s="16" t="n"/>
    </row>
    <row r="160">
      <c r="A160" s="16" t="n"/>
      <c r="B160" s="16" t="n"/>
      <c r="C160" s="16" t="n"/>
      <c r="D160" s="16" t="n"/>
      <c r="E160" s="9" t="n"/>
      <c r="F160" s="9" t="n"/>
      <c r="G160" s="18" t="n"/>
      <c r="H160" s="16" t="n"/>
      <c r="I160" s="17" t="n"/>
      <c r="J160" s="27" t="n"/>
      <c r="K160" s="17" t="n"/>
      <c r="L160" s="9" t="n"/>
      <c r="M160" s="19" t="n"/>
      <c r="N160" s="16" t="n"/>
      <c r="O160" s="27" t="n"/>
      <c r="P160" s="16" t="n"/>
      <c r="Q160" s="16" t="n"/>
    </row>
    <row r="161">
      <c r="A161" s="16" t="n"/>
      <c r="B161" s="16" t="n"/>
      <c r="C161" s="16" t="n"/>
      <c r="D161" s="16" t="n"/>
      <c r="E161" s="9" t="n"/>
      <c r="F161" s="9" t="n"/>
      <c r="G161" s="18" t="n"/>
      <c r="H161" s="16" t="n"/>
      <c r="I161" s="17" t="n"/>
      <c r="J161" s="27" t="n"/>
      <c r="K161" s="17" t="n"/>
      <c r="L161" s="9" t="n"/>
      <c r="M161" s="19" t="n"/>
      <c r="N161" s="16" t="n"/>
      <c r="O161" s="27" t="n"/>
      <c r="P161" s="16" t="n"/>
      <c r="Q161" s="16" t="n"/>
    </row>
    <row r="162">
      <c r="A162" s="16" t="n"/>
      <c r="B162" s="16" t="n"/>
      <c r="C162" s="16" t="n"/>
      <c r="D162" s="16" t="n"/>
      <c r="E162" s="9" t="n"/>
      <c r="F162" s="9" t="n"/>
      <c r="G162" s="18" t="n"/>
      <c r="H162" s="16" t="n"/>
      <c r="I162" s="17" t="n"/>
      <c r="J162" s="27" t="n"/>
      <c r="K162" s="17" t="n"/>
      <c r="L162" s="9" t="n"/>
      <c r="M162" s="19" t="n"/>
      <c r="N162" s="16" t="n"/>
      <c r="O162" s="27" t="n"/>
      <c r="P162" s="16" t="n"/>
      <c r="Q162" s="16" t="n"/>
    </row>
    <row r="163">
      <c r="A163" s="16" t="n"/>
      <c r="B163" s="16" t="n"/>
      <c r="C163" s="16" t="n"/>
      <c r="D163" s="16" t="n"/>
      <c r="E163" s="9" t="n"/>
      <c r="F163" s="9" t="n"/>
      <c r="G163" s="18" t="n"/>
      <c r="H163" s="16" t="n"/>
      <c r="I163" s="17" t="n"/>
      <c r="J163" s="27" t="n"/>
      <c r="K163" s="17" t="n"/>
      <c r="L163" s="9" t="n"/>
      <c r="M163" s="19" t="n"/>
      <c r="N163" s="16" t="n"/>
      <c r="O163" s="27" t="n"/>
      <c r="P163" s="16" t="n"/>
      <c r="Q163" s="16" t="n"/>
    </row>
    <row r="164">
      <c r="A164" s="16" t="n"/>
      <c r="B164" s="16" t="n"/>
      <c r="C164" s="16" t="n"/>
      <c r="D164" s="16" t="n"/>
      <c r="E164" s="9" t="n"/>
      <c r="F164" s="9" t="n"/>
      <c r="G164" s="18" t="n"/>
      <c r="H164" s="16" t="n"/>
      <c r="I164" s="17" t="n"/>
      <c r="J164" s="27" t="n"/>
      <c r="K164" s="17" t="n"/>
      <c r="L164" s="9" t="n"/>
      <c r="M164" s="19" t="n"/>
      <c r="N164" s="16" t="n"/>
      <c r="O164" s="27" t="n"/>
      <c r="P164" s="16" t="n"/>
      <c r="Q164" s="16" t="n"/>
    </row>
    <row r="165">
      <c r="A165" s="16" t="n"/>
      <c r="B165" s="16" t="n"/>
      <c r="C165" s="16" t="n"/>
      <c r="D165" s="16" t="n"/>
      <c r="E165" s="9" t="n"/>
      <c r="F165" s="9" t="n"/>
      <c r="G165" s="18" t="n"/>
      <c r="H165" s="16" t="n"/>
      <c r="I165" s="17" t="n"/>
      <c r="J165" s="27" t="n"/>
      <c r="K165" s="17" t="n"/>
      <c r="L165" s="9" t="n"/>
      <c r="M165" s="19" t="n"/>
      <c r="N165" s="16" t="n"/>
      <c r="O165" s="27" t="n"/>
      <c r="P165" s="16" t="n"/>
      <c r="Q165" s="16" t="n"/>
    </row>
    <row r="166">
      <c r="A166" s="16" t="n"/>
      <c r="B166" s="16" t="n"/>
      <c r="C166" s="16" t="n"/>
      <c r="D166" s="16" t="n"/>
      <c r="E166" s="9" t="n"/>
      <c r="F166" s="9" t="n"/>
      <c r="G166" s="18" t="n"/>
      <c r="H166" s="16" t="n"/>
      <c r="I166" s="17" t="n"/>
      <c r="J166" s="27" t="n"/>
      <c r="K166" s="17" t="n"/>
      <c r="L166" s="9" t="n"/>
      <c r="M166" s="19" t="n"/>
      <c r="N166" s="16" t="n"/>
      <c r="O166" s="27" t="n"/>
      <c r="P166" s="16" t="n"/>
      <c r="Q166" s="16" t="n"/>
    </row>
    <row r="167">
      <c r="A167" s="16" t="n"/>
      <c r="B167" s="16" t="n"/>
      <c r="C167" s="16" t="n"/>
      <c r="D167" s="16" t="n"/>
      <c r="E167" s="9" t="n"/>
      <c r="F167" s="9" t="n"/>
      <c r="G167" s="18" t="n"/>
      <c r="H167" s="16" t="n"/>
      <c r="I167" s="17" t="n"/>
      <c r="J167" s="27" t="n"/>
      <c r="K167" s="17" t="n"/>
      <c r="L167" s="9" t="n"/>
      <c r="M167" s="19" t="n"/>
      <c r="N167" s="16" t="n"/>
      <c r="O167" s="27" t="n"/>
      <c r="P167" s="16" t="n"/>
      <c r="Q167" s="16" t="n"/>
    </row>
    <row r="168">
      <c r="A168" s="16" t="n"/>
      <c r="B168" s="16" t="n"/>
      <c r="C168" s="16" t="n"/>
      <c r="D168" s="16" t="n"/>
      <c r="E168" s="9" t="n"/>
      <c r="F168" s="9" t="n"/>
      <c r="G168" s="18" t="n"/>
      <c r="H168" s="16" t="n"/>
      <c r="I168" s="17" t="n"/>
      <c r="J168" s="27" t="n"/>
      <c r="K168" s="17" t="n"/>
      <c r="L168" s="9" t="n"/>
      <c r="M168" s="19" t="n"/>
      <c r="N168" s="16" t="n"/>
      <c r="O168" s="27" t="n"/>
      <c r="P168" s="16" t="n"/>
      <c r="Q168" s="16" t="n"/>
    </row>
    <row r="169">
      <c r="A169" s="16" t="n"/>
      <c r="B169" s="16" t="n"/>
      <c r="C169" s="16" t="n"/>
      <c r="D169" s="16" t="n"/>
      <c r="E169" s="9" t="n"/>
      <c r="F169" s="9" t="n"/>
      <c r="G169" s="18" t="n"/>
      <c r="H169" s="16" t="n"/>
      <c r="I169" s="17" t="n"/>
      <c r="J169" s="27" t="n"/>
      <c r="K169" s="17" t="n"/>
      <c r="L169" s="9" t="n"/>
      <c r="M169" s="19" t="n"/>
      <c r="N169" s="16" t="n"/>
      <c r="O169" s="27" t="n"/>
      <c r="P169" s="16" t="n"/>
      <c r="Q169" s="16" t="n"/>
    </row>
    <row r="170">
      <c r="A170" s="16" t="n"/>
      <c r="B170" s="16" t="n"/>
      <c r="C170" s="16" t="n"/>
      <c r="D170" s="16" t="n"/>
      <c r="E170" s="9" t="n"/>
      <c r="F170" s="9" t="n"/>
      <c r="G170" s="18" t="n"/>
      <c r="H170" s="16" t="n"/>
      <c r="I170" s="17" t="n"/>
      <c r="J170" s="27" t="n"/>
      <c r="K170" s="17" t="n"/>
      <c r="L170" s="9" t="n"/>
      <c r="M170" s="19" t="n"/>
      <c r="N170" s="16" t="n"/>
      <c r="O170" s="27" t="n"/>
      <c r="P170" s="16" t="n"/>
      <c r="Q170" s="16" t="n"/>
    </row>
    <row r="171">
      <c r="A171" s="16" t="n"/>
      <c r="B171" s="16" t="n"/>
      <c r="C171" s="16" t="n"/>
      <c r="D171" s="16" t="n"/>
      <c r="E171" s="9" t="n"/>
      <c r="F171" s="9" t="n"/>
      <c r="G171" s="18" t="n"/>
      <c r="H171" s="16" t="n"/>
      <c r="I171" s="17" t="n"/>
      <c r="J171" s="27" t="n"/>
      <c r="K171" s="17" t="n"/>
      <c r="L171" s="9" t="n"/>
      <c r="M171" s="19" t="n"/>
      <c r="N171" s="16" t="n"/>
      <c r="O171" s="27" t="n"/>
      <c r="P171" s="16" t="n"/>
      <c r="Q171" s="16" t="n"/>
    </row>
    <row r="172">
      <c r="A172" s="16" t="n"/>
      <c r="B172" s="16" t="n"/>
      <c r="C172" s="16" t="n"/>
      <c r="D172" s="16" t="n"/>
      <c r="E172" s="9" t="n"/>
      <c r="F172" s="9" t="n"/>
      <c r="G172" s="18" t="n"/>
      <c r="H172" s="16" t="n"/>
      <c r="I172" s="17" t="n"/>
      <c r="J172" s="27" t="n"/>
      <c r="K172" s="17" t="n"/>
      <c r="L172" s="9" t="n"/>
      <c r="M172" s="19" t="n"/>
      <c r="N172" s="16" t="n"/>
      <c r="O172" s="27" t="n"/>
      <c r="P172" s="16" t="n"/>
      <c r="Q172" s="16" t="n"/>
    </row>
    <row r="173">
      <c r="A173" s="16" t="n"/>
      <c r="B173" s="16" t="n"/>
      <c r="C173" s="16" t="n"/>
      <c r="D173" s="16" t="n"/>
      <c r="E173" s="9" t="n"/>
      <c r="F173" s="9" t="n"/>
      <c r="G173" s="18" t="n"/>
      <c r="H173" s="16" t="n"/>
      <c r="I173" s="17" t="n"/>
      <c r="J173" s="27" t="n"/>
      <c r="K173" s="17" t="n"/>
      <c r="L173" s="9" t="n"/>
      <c r="M173" s="19" t="n"/>
      <c r="N173" s="16" t="n"/>
      <c r="O173" s="27" t="n"/>
      <c r="P173" s="16" t="n"/>
      <c r="Q173" s="16" t="n"/>
    </row>
    <row r="174">
      <c r="A174" s="16" t="n"/>
      <c r="B174" s="16" t="n"/>
      <c r="C174" s="16" t="n"/>
      <c r="D174" s="16" t="n"/>
      <c r="E174" s="9" t="n"/>
      <c r="F174" s="9" t="n"/>
      <c r="G174" s="18" t="n"/>
      <c r="H174" s="16" t="n"/>
      <c r="I174" s="17" t="n"/>
      <c r="J174" s="27" t="n"/>
      <c r="K174" s="17" t="n"/>
      <c r="L174" s="9" t="n"/>
      <c r="M174" s="19" t="n"/>
      <c r="N174" s="16" t="n"/>
      <c r="O174" s="27" t="n"/>
      <c r="P174" s="16" t="n"/>
      <c r="Q174" s="16" t="n"/>
    </row>
    <row r="175">
      <c r="A175" s="16" t="n"/>
      <c r="B175" s="16" t="n"/>
      <c r="C175" s="16" t="n"/>
      <c r="D175" s="16" t="n"/>
      <c r="E175" s="9" t="n"/>
      <c r="F175" s="9" t="n"/>
      <c r="G175" s="18" t="n"/>
      <c r="H175" s="16" t="n"/>
      <c r="I175" s="17" t="n"/>
      <c r="J175" s="27" t="n"/>
      <c r="K175" s="17" t="n"/>
      <c r="L175" s="9" t="n"/>
      <c r="M175" s="19" t="n"/>
      <c r="N175" s="16" t="n"/>
      <c r="O175" s="27" t="n"/>
      <c r="P175" s="16" t="n"/>
      <c r="Q175" s="16" t="n"/>
    </row>
    <row r="176">
      <c r="A176" s="16" t="n"/>
      <c r="B176" s="16" t="n"/>
      <c r="C176" s="16" t="n"/>
      <c r="D176" s="16" t="n"/>
      <c r="E176" s="9" t="n"/>
      <c r="F176" s="9" t="n"/>
      <c r="G176" s="18" t="n"/>
      <c r="H176" s="16" t="n"/>
      <c r="I176" s="17" t="n"/>
      <c r="J176" s="27" t="n"/>
      <c r="K176" s="17" t="n"/>
      <c r="L176" s="9" t="n"/>
      <c r="M176" s="19" t="n"/>
      <c r="N176" s="16" t="n"/>
      <c r="O176" s="27" t="n"/>
      <c r="P176" s="16" t="n"/>
      <c r="Q176" s="16" t="n"/>
    </row>
    <row r="177">
      <c r="A177" s="16" t="n"/>
      <c r="B177" s="16" t="n"/>
      <c r="C177" s="16" t="n"/>
      <c r="D177" s="16" t="n"/>
      <c r="E177" s="9" t="n"/>
      <c r="F177" s="9" t="n"/>
      <c r="G177" s="18" t="n"/>
      <c r="H177" s="16" t="n"/>
      <c r="I177" s="17" t="n"/>
      <c r="J177" s="27" t="n"/>
      <c r="K177" s="17" t="n"/>
      <c r="L177" s="9" t="n"/>
      <c r="M177" s="19" t="n"/>
      <c r="N177" s="16" t="n"/>
      <c r="O177" s="27" t="n"/>
      <c r="P177" s="16" t="n"/>
      <c r="Q177" s="16" t="n"/>
    </row>
    <row r="178">
      <c r="A178" s="16" t="n"/>
      <c r="B178" s="16" t="n"/>
      <c r="C178" s="16" t="n"/>
      <c r="D178" s="16" t="n"/>
      <c r="E178" s="9" t="n"/>
      <c r="F178" s="9" t="n"/>
      <c r="G178" s="18" t="n"/>
      <c r="H178" s="16" t="n"/>
      <c r="I178" s="17" t="n"/>
      <c r="J178" s="27" t="n"/>
      <c r="K178" s="17" t="n"/>
      <c r="L178" s="9" t="n"/>
      <c r="M178" s="19" t="n"/>
      <c r="N178" s="16" t="n"/>
      <c r="O178" s="27" t="n"/>
      <c r="P178" s="16" t="n"/>
      <c r="Q178" s="16" t="n"/>
    </row>
    <row r="179">
      <c r="A179" s="16" t="n"/>
      <c r="B179" s="16" t="n"/>
      <c r="C179" s="16" t="n"/>
      <c r="D179" s="16" t="n"/>
      <c r="E179" s="9" t="n"/>
      <c r="F179" s="9" t="n"/>
      <c r="G179" s="18" t="n"/>
      <c r="H179" s="16" t="n"/>
      <c r="I179" s="17" t="n"/>
      <c r="J179" s="27" t="n"/>
      <c r="K179" s="17" t="n"/>
      <c r="L179" s="9" t="n"/>
      <c r="M179" s="19" t="n"/>
      <c r="N179" s="16" t="n"/>
      <c r="O179" s="27" t="n"/>
      <c r="P179" s="16" t="n"/>
      <c r="Q179" s="16" t="n"/>
    </row>
    <row r="180">
      <c r="A180" s="16" t="n"/>
      <c r="B180" s="16" t="n"/>
      <c r="C180" s="16" t="n"/>
      <c r="D180" s="16" t="n"/>
      <c r="E180" s="9" t="n"/>
      <c r="F180" s="9" t="n"/>
      <c r="G180" s="18" t="n"/>
      <c r="H180" s="16" t="n"/>
      <c r="I180" s="17" t="n"/>
      <c r="J180" s="27" t="n"/>
      <c r="K180" s="17" t="n"/>
      <c r="L180" s="9" t="n"/>
      <c r="M180" s="19" t="n"/>
      <c r="N180" s="16" t="n"/>
      <c r="O180" s="27" t="n"/>
      <c r="P180" s="16" t="n"/>
      <c r="Q180" s="16" t="n"/>
    </row>
    <row r="181">
      <c r="A181" s="16" t="n"/>
      <c r="B181" s="16" t="n"/>
      <c r="C181" s="16" t="n"/>
      <c r="D181" s="16" t="n"/>
      <c r="E181" s="9" t="n"/>
      <c r="F181" s="9" t="n"/>
      <c r="G181" s="18" t="n"/>
      <c r="H181" s="16" t="n"/>
      <c r="I181" s="17" t="n"/>
      <c r="J181" s="27" t="n"/>
      <c r="K181" s="17" t="n"/>
      <c r="L181" s="9" t="n"/>
      <c r="M181" s="19" t="n"/>
      <c r="N181" s="16" t="n"/>
      <c r="O181" s="27" t="n"/>
      <c r="P181" s="16" t="n"/>
      <c r="Q181" s="16" t="n"/>
    </row>
    <row r="182">
      <c r="A182" s="16" t="n"/>
      <c r="B182" s="16" t="n"/>
      <c r="C182" s="16" t="n"/>
      <c r="D182" s="16" t="n"/>
      <c r="E182" s="9" t="n"/>
      <c r="F182" s="9" t="n"/>
      <c r="G182" s="18" t="n"/>
      <c r="H182" s="16" t="n"/>
      <c r="I182" s="17" t="n"/>
      <c r="J182" s="27" t="n"/>
      <c r="K182" s="17" t="n"/>
      <c r="L182" s="9" t="n"/>
      <c r="M182" s="19" t="n"/>
      <c r="N182" s="16" t="n"/>
      <c r="O182" s="27" t="n"/>
      <c r="P182" s="16" t="n"/>
      <c r="Q182" s="16" t="n"/>
    </row>
    <row r="183">
      <c r="A183" s="16" t="n"/>
      <c r="B183" s="16" t="n"/>
      <c r="C183" s="16" t="n"/>
      <c r="D183" s="16" t="n"/>
      <c r="E183" s="9" t="n"/>
      <c r="F183" s="9" t="n"/>
      <c r="G183" s="18" t="n"/>
      <c r="H183" s="16" t="n"/>
      <c r="I183" s="17" t="n"/>
      <c r="J183" s="27" t="n"/>
      <c r="K183" s="17" t="n"/>
      <c r="L183" s="9" t="n"/>
      <c r="M183" s="19" t="n"/>
      <c r="N183" s="16" t="n"/>
      <c r="O183" s="27" t="n"/>
      <c r="P183" s="16" t="n"/>
      <c r="Q183" s="16" t="n"/>
    </row>
    <row r="184">
      <c r="A184" s="16" t="n"/>
      <c r="B184" s="16" t="n"/>
      <c r="C184" s="16" t="n"/>
      <c r="D184" s="16" t="n"/>
      <c r="E184" s="9" t="n"/>
      <c r="F184" s="9" t="n"/>
      <c r="G184" s="18" t="n"/>
      <c r="H184" s="16" t="n"/>
      <c r="I184" s="17" t="n"/>
      <c r="J184" s="27" t="n"/>
      <c r="K184" s="17" t="n"/>
      <c r="L184" s="9" t="n"/>
      <c r="M184" s="19" t="n"/>
      <c r="N184" s="16" t="n"/>
      <c r="O184" s="27" t="n"/>
      <c r="P184" s="16" t="n"/>
      <c r="Q184" s="16" t="n"/>
    </row>
    <row r="185">
      <c r="A185" s="16" t="n"/>
      <c r="B185" s="16" t="n"/>
      <c r="C185" s="16" t="n"/>
      <c r="D185" s="16" t="n"/>
      <c r="E185" s="9" t="n"/>
      <c r="F185" s="9" t="n"/>
      <c r="G185" s="18" t="n"/>
      <c r="H185" s="16" t="n"/>
      <c r="I185" s="17" t="n"/>
      <c r="J185" s="27" t="n"/>
      <c r="K185" s="17" t="n"/>
      <c r="L185" s="9" t="n"/>
      <c r="M185" s="19" t="n"/>
      <c r="N185" s="16" t="n"/>
      <c r="O185" s="27" t="n"/>
      <c r="P185" s="16" t="n"/>
      <c r="Q185" s="16" t="n"/>
    </row>
    <row r="186">
      <c r="A186" s="16" t="n"/>
      <c r="B186" s="16" t="n"/>
      <c r="C186" s="16" t="n"/>
      <c r="D186" s="16" t="n"/>
      <c r="E186" s="9" t="n"/>
      <c r="F186" s="9" t="n"/>
      <c r="G186" s="18" t="n"/>
      <c r="H186" s="16" t="n"/>
      <c r="I186" s="17" t="n"/>
      <c r="J186" s="27" t="n"/>
      <c r="K186" s="17" t="n"/>
      <c r="L186" s="9" t="n"/>
      <c r="M186" s="19" t="n"/>
      <c r="N186" s="16" t="n"/>
      <c r="O186" s="27" t="n"/>
      <c r="P186" s="16" t="n"/>
      <c r="Q186" s="16" t="n"/>
    </row>
    <row r="187">
      <c r="A187" s="16" t="n"/>
      <c r="B187" s="16" t="n"/>
      <c r="C187" s="16" t="n"/>
      <c r="D187" s="16" t="n"/>
      <c r="E187" s="9" t="n"/>
      <c r="F187" s="9" t="n"/>
      <c r="G187" s="18" t="n"/>
      <c r="H187" s="16" t="n"/>
      <c r="I187" s="17" t="n"/>
      <c r="J187" s="27" t="n"/>
      <c r="K187" s="17" t="n"/>
      <c r="L187" s="9" t="n"/>
      <c r="M187" s="19" t="n"/>
      <c r="N187" s="16" t="n"/>
      <c r="O187" s="27" t="n"/>
      <c r="P187" s="16" t="n"/>
      <c r="Q187" s="16" t="n"/>
    </row>
    <row r="188">
      <c r="A188" s="16" t="n"/>
      <c r="B188" s="16" t="n"/>
      <c r="C188" s="16" t="n"/>
      <c r="D188" s="16" t="n"/>
      <c r="E188" s="9" t="n"/>
      <c r="F188" s="9" t="n"/>
      <c r="G188" s="18" t="n"/>
      <c r="H188" s="16" t="n"/>
      <c r="I188" s="17" t="n"/>
      <c r="J188" s="27" t="n"/>
      <c r="K188" s="17" t="n"/>
      <c r="L188" s="9" t="n"/>
      <c r="M188" s="19" t="n"/>
      <c r="N188" s="16" t="n"/>
      <c r="O188" s="27" t="n"/>
      <c r="P188" s="16" t="n"/>
      <c r="Q188" s="16" t="n"/>
    </row>
    <row r="189">
      <c r="A189" s="16" t="n"/>
      <c r="B189" s="16" t="n"/>
      <c r="C189" s="16" t="n"/>
      <c r="D189" s="16" t="n"/>
      <c r="E189" s="9" t="n"/>
      <c r="F189" s="9" t="n"/>
      <c r="G189" s="18" t="n"/>
      <c r="H189" s="16" t="n"/>
      <c r="I189" s="17" t="n"/>
      <c r="J189" s="27" t="n"/>
      <c r="K189" s="17" t="n"/>
      <c r="L189" s="9" t="n"/>
      <c r="M189" s="19" t="n"/>
      <c r="N189" s="16" t="n"/>
      <c r="O189" s="27" t="n"/>
      <c r="P189" s="16" t="n"/>
      <c r="Q189" s="16" t="n"/>
    </row>
    <row r="190">
      <c r="A190" s="16" t="n"/>
      <c r="B190" s="16" t="n"/>
      <c r="C190" s="16" t="n"/>
      <c r="D190" s="16" t="n"/>
      <c r="E190" s="9" t="n"/>
      <c r="F190" s="9" t="n"/>
      <c r="G190" s="18" t="n"/>
      <c r="H190" s="16" t="n"/>
      <c r="I190" s="17" t="n"/>
      <c r="J190" s="27" t="n"/>
      <c r="K190" s="17" t="n"/>
      <c r="L190" s="9" t="n"/>
      <c r="M190" s="19" t="n"/>
      <c r="N190" s="16" t="n"/>
      <c r="O190" s="27" t="n"/>
      <c r="P190" s="16" t="n"/>
      <c r="Q190" s="16" t="n"/>
    </row>
    <row r="191">
      <c r="A191" s="16" t="n"/>
      <c r="B191" s="16" t="n"/>
      <c r="C191" s="16" t="n"/>
      <c r="D191" s="16" t="n"/>
      <c r="E191" s="9" t="n"/>
      <c r="F191" s="9" t="n"/>
      <c r="G191" s="18" t="n"/>
      <c r="H191" s="16" t="n"/>
      <c r="I191" s="17" t="n"/>
      <c r="J191" s="27" t="n"/>
      <c r="K191" s="17" t="n"/>
      <c r="L191" s="9" t="n"/>
      <c r="M191" s="19" t="n"/>
      <c r="N191" s="16" t="n"/>
      <c r="O191" s="27" t="n"/>
      <c r="P191" s="16" t="n"/>
      <c r="Q191" s="16" t="n"/>
    </row>
    <row r="192">
      <c r="A192" s="16" t="n"/>
      <c r="B192" s="16" t="n"/>
      <c r="C192" s="16" t="n"/>
      <c r="D192" s="16" t="n"/>
      <c r="E192" s="9" t="n"/>
      <c r="F192" s="9" t="n"/>
      <c r="G192" s="18" t="n"/>
      <c r="H192" s="16" t="n"/>
      <c r="I192" s="17" t="n"/>
      <c r="J192" s="27" t="n"/>
      <c r="K192" s="17" t="n"/>
      <c r="L192" s="9" t="n"/>
      <c r="M192" s="19" t="n"/>
      <c r="N192" s="16" t="n"/>
      <c r="O192" s="27" t="n"/>
      <c r="P192" s="16" t="n"/>
      <c r="Q192" s="16" t="n"/>
    </row>
    <row r="193">
      <c r="A193" s="16" t="n"/>
      <c r="B193" s="16" t="n"/>
      <c r="C193" s="16" t="n"/>
      <c r="D193" s="16" t="n"/>
      <c r="E193" s="9" t="n"/>
      <c r="F193" s="9" t="n"/>
      <c r="G193" s="18" t="n"/>
      <c r="H193" s="16" t="n"/>
      <c r="I193" s="17" t="n"/>
      <c r="J193" s="27" t="n"/>
      <c r="K193" s="17" t="n"/>
      <c r="L193" s="9" t="n"/>
      <c r="M193" s="19" t="n"/>
      <c r="N193" s="16" t="n"/>
      <c r="O193" s="27" t="n"/>
      <c r="P193" s="16" t="n"/>
      <c r="Q193" s="16" t="n"/>
    </row>
    <row r="194">
      <c r="A194" s="16" t="n"/>
      <c r="B194" s="16" t="n"/>
      <c r="C194" s="16" t="n"/>
      <c r="D194" s="16" t="n"/>
      <c r="E194" s="9" t="n"/>
      <c r="F194" s="9" t="n"/>
      <c r="G194" s="18" t="n"/>
      <c r="H194" s="16" t="n"/>
      <c r="I194" s="17" t="n"/>
      <c r="J194" s="27" t="n"/>
      <c r="K194" s="17" t="n"/>
      <c r="L194" s="9" t="n"/>
      <c r="M194" s="19" t="n"/>
      <c r="N194" s="16" t="n"/>
      <c r="O194" s="27" t="n"/>
      <c r="P194" s="16" t="n"/>
      <c r="Q194" s="16" t="n"/>
    </row>
    <row r="195">
      <c r="A195" s="16" t="n"/>
      <c r="B195" s="16" t="n"/>
      <c r="C195" s="16" t="n"/>
      <c r="D195" s="16" t="n"/>
      <c r="E195" s="9" t="n"/>
      <c r="F195" s="9" t="n"/>
      <c r="G195" s="18" t="n"/>
      <c r="H195" s="16" t="n"/>
      <c r="I195" s="17" t="n"/>
      <c r="J195" s="27" t="n"/>
      <c r="K195" s="17" t="n"/>
      <c r="L195" s="9" t="n"/>
      <c r="M195" s="19" t="n"/>
      <c r="N195" s="16" t="n"/>
      <c r="O195" s="27" t="n"/>
      <c r="P195" s="16" t="n"/>
      <c r="Q195" s="16" t="n"/>
    </row>
    <row r="196">
      <c r="A196" s="16" t="n"/>
      <c r="B196" s="16" t="n"/>
      <c r="C196" s="16" t="n"/>
      <c r="D196" s="16" t="n"/>
      <c r="E196" s="9" t="n"/>
      <c r="F196" s="9" t="n"/>
      <c r="G196" s="18" t="n"/>
      <c r="H196" s="16" t="n"/>
      <c r="I196" s="17" t="n"/>
      <c r="J196" s="27" t="n"/>
      <c r="K196" s="17" t="n"/>
      <c r="L196" s="9" t="n"/>
      <c r="M196" s="19" t="n"/>
      <c r="N196" s="16" t="n"/>
      <c r="O196" s="27" t="n"/>
      <c r="P196" s="16" t="n"/>
      <c r="Q196" s="16" t="n"/>
    </row>
    <row r="197">
      <c r="A197" s="16" t="n"/>
      <c r="B197" s="16" t="n"/>
      <c r="C197" s="16" t="n"/>
      <c r="D197" s="16" t="n"/>
      <c r="E197" s="9" t="n"/>
      <c r="F197" s="9" t="n"/>
      <c r="G197" s="18" t="n"/>
      <c r="H197" s="16" t="n"/>
      <c r="I197" s="17" t="n"/>
      <c r="J197" s="27" t="n"/>
      <c r="K197" s="17" t="n"/>
      <c r="L197" s="9" t="n"/>
      <c r="M197" s="19" t="n"/>
      <c r="N197" s="16" t="n"/>
      <c r="O197" s="27" t="n"/>
      <c r="P197" s="16" t="n"/>
      <c r="Q197" s="16" t="n"/>
    </row>
    <row r="198">
      <c r="A198" s="16" t="n"/>
      <c r="B198" s="16" t="n"/>
      <c r="C198" s="16" t="n"/>
      <c r="D198" s="16" t="n"/>
      <c r="E198" s="9" t="n"/>
      <c r="F198" s="9" t="n"/>
      <c r="G198" s="18" t="n"/>
      <c r="H198" s="16" t="n"/>
      <c r="I198" s="17" t="n"/>
      <c r="J198" s="27" t="n"/>
      <c r="K198" s="17" t="n"/>
      <c r="L198" s="9" t="n"/>
      <c r="M198" s="19" t="n"/>
      <c r="N198" s="16" t="n"/>
      <c r="O198" s="27" t="n"/>
      <c r="P198" s="16" t="n"/>
      <c r="Q198" s="16" t="n"/>
    </row>
    <row r="199">
      <c r="A199" s="16" t="n"/>
      <c r="B199" s="16" t="n"/>
      <c r="C199" s="16" t="n"/>
      <c r="D199" s="16" t="n"/>
      <c r="E199" s="9" t="n"/>
      <c r="F199" s="9" t="n"/>
      <c r="G199" s="18" t="n"/>
      <c r="H199" s="16" t="n"/>
      <c r="I199" s="17" t="n"/>
      <c r="J199" s="27" t="n"/>
      <c r="K199" s="17" t="n"/>
      <c r="L199" s="9" t="n"/>
      <c r="M199" s="19" t="n"/>
      <c r="N199" s="16" t="n"/>
      <c r="O199" s="27" t="n"/>
      <c r="P199" s="16" t="n"/>
      <c r="Q199" s="16" t="n"/>
    </row>
    <row r="200">
      <c r="A200" s="16" t="n"/>
      <c r="B200" s="16" t="n"/>
      <c r="C200" s="16" t="n"/>
      <c r="D200" s="16" t="n"/>
      <c r="E200" s="9" t="n"/>
      <c r="F200" s="9" t="n"/>
      <c r="G200" s="18" t="n"/>
      <c r="H200" s="16" t="n"/>
      <c r="I200" s="17" t="n"/>
      <c r="J200" s="27" t="n"/>
      <c r="K200" s="17" t="n"/>
      <c r="L200" s="9" t="n"/>
      <c r="M200" s="19" t="n"/>
      <c r="N200" s="16" t="n"/>
      <c r="O200" s="27" t="n"/>
      <c r="P200" s="16" t="n"/>
      <c r="Q200" s="16" t="n"/>
    </row>
    <row r="201">
      <c r="A201" s="16" t="n"/>
      <c r="B201" s="16" t="n"/>
      <c r="C201" s="16" t="n"/>
      <c r="D201" s="16" t="n"/>
      <c r="E201" s="9" t="n"/>
      <c r="F201" s="9" t="n"/>
      <c r="G201" s="18" t="n"/>
      <c r="H201" s="16" t="n"/>
      <c r="I201" s="17" t="n"/>
      <c r="J201" s="27" t="n"/>
      <c r="K201" s="17" t="n"/>
      <c r="L201" s="9" t="n"/>
      <c r="M201" s="19" t="n"/>
      <c r="N201" s="16" t="n"/>
      <c r="O201" s="27" t="n"/>
      <c r="P201" s="16" t="n"/>
      <c r="Q201" s="16" t="n"/>
    </row>
    <row r="202">
      <c r="A202" s="16" t="n"/>
      <c r="B202" s="16" t="n"/>
      <c r="C202" s="16" t="n"/>
      <c r="D202" s="16" t="n"/>
      <c r="E202" s="9" t="n"/>
      <c r="F202" s="9" t="n"/>
      <c r="G202" s="18" t="n"/>
      <c r="H202" s="16" t="n"/>
      <c r="I202" s="17" t="n"/>
      <c r="J202" s="27" t="n"/>
      <c r="K202" s="17" t="n"/>
      <c r="L202" s="9" t="n"/>
      <c r="M202" s="19" t="n"/>
      <c r="N202" s="16" t="n"/>
      <c r="O202" s="27" t="n"/>
      <c r="P202" s="16" t="n"/>
      <c r="Q202" s="16" t="n"/>
    </row>
    <row r="203">
      <c r="A203" s="16" t="n"/>
      <c r="B203" s="16" t="n"/>
      <c r="C203" s="16" t="n"/>
      <c r="D203" s="16" t="n"/>
      <c r="E203" s="9" t="n"/>
      <c r="F203" s="9" t="n"/>
      <c r="G203" s="18" t="n"/>
      <c r="H203" s="16" t="n"/>
      <c r="I203" s="17" t="n"/>
      <c r="J203" s="27" t="n"/>
      <c r="K203" s="17" t="n"/>
      <c r="L203" s="9" t="n"/>
      <c r="M203" s="19" t="n"/>
      <c r="N203" s="16" t="n"/>
      <c r="O203" s="27" t="n"/>
      <c r="P203" s="16" t="n"/>
      <c r="Q203" s="16" t="n"/>
    </row>
    <row r="204">
      <c r="A204" s="16" t="n"/>
      <c r="B204" s="16" t="n"/>
      <c r="C204" s="16" t="n"/>
      <c r="D204" s="16" t="n"/>
      <c r="E204" s="9" t="n"/>
      <c r="F204" s="9" t="n"/>
      <c r="G204" s="18" t="n"/>
      <c r="H204" s="16" t="n"/>
      <c r="I204" s="17" t="n"/>
      <c r="J204" s="27" t="n"/>
      <c r="K204" s="17" t="n"/>
      <c r="L204" s="9" t="n"/>
      <c r="M204" s="19" t="n"/>
      <c r="N204" s="16" t="n"/>
      <c r="O204" s="27" t="n"/>
      <c r="P204" s="16" t="n"/>
      <c r="Q204" s="16" t="n"/>
    </row>
    <row r="205">
      <c r="A205" s="16" t="n"/>
      <c r="B205" s="16" t="n"/>
      <c r="C205" s="16" t="n"/>
      <c r="D205" s="16" t="n"/>
      <c r="E205" s="9" t="n"/>
      <c r="F205" s="9" t="n"/>
      <c r="G205" s="18" t="n"/>
      <c r="H205" s="16" t="n"/>
      <c r="I205" s="17" t="n"/>
      <c r="J205" s="27" t="n"/>
      <c r="K205" s="17" t="n"/>
      <c r="L205" s="9" t="n"/>
      <c r="M205" s="19" t="n"/>
      <c r="N205" s="16" t="n"/>
      <c r="O205" s="27" t="n"/>
      <c r="P205" s="16" t="n"/>
      <c r="Q205" s="16" t="n"/>
    </row>
    <row r="206">
      <c r="A206" s="16" t="n"/>
      <c r="B206" s="16" t="n"/>
      <c r="C206" s="16" t="n"/>
      <c r="D206" s="16" t="n"/>
      <c r="E206" s="9" t="n"/>
      <c r="F206" s="9" t="n"/>
      <c r="G206" s="18" t="n"/>
      <c r="H206" s="16" t="n"/>
      <c r="I206" s="17" t="n"/>
      <c r="J206" s="27" t="n"/>
      <c r="K206" s="17" t="n"/>
      <c r="L206" s="9" t="n"/>
      <c r="M206" s="19" t="n"/>
      <c r="N206" s="16" t="n"/>
      <c r="O206" s="27" t="n"/>
      <c r="P206" s="16" t="n"/>
      <c r="Q206" s="16" t="n"/>
    </row>
    <row r="207">
      <c r="A207" s="16" t="n"/>
      <c r="B207" s="16" t="n"/>
      <c r="C207" s="16" t="n"/>
      <c r="D207" s="16" t="n"/>
      <c r="E207" s="9" t="n"/>
      <c r="F207" s="9" t="n"/>
      <c r="G207" s="18" t="n"/>
      <c r="H207" s="16" t="n"/>
      <c r="I207" s="17" t="n"/>
      <c r="J207" s="27" t="n"/>
      <c r="K207" s="17" t="n"/>
      <c r="L207" s="9" t="n"/>
      <c r="M207" s="19" t="n"/>
      <c r="N207" s="16" t="n"/>
      <c r="O207" s="27" t="n"/>
      <c r="P207" s="16" t="n"/>
      <c r="Q207" s="16" t="n"/>
    </row>
    <row r="208">
      <c r="A208" s="16" t="n"/>
      <c r="B208" s="16" t="n"/>
      <c r="C208" s="16" t="n"/>
      <c r="D208" s="16" t="n"/>
      <c r="E208" s="9" t="n"/>
      <c r="F208" s="9" t="n"/>
      <c r="G208" s="18" t="n"/>
      <c r="H208" s="16" t="n"/>
      <c r="I208" s="17" t="n"/>
      <c r="J208" s="27" t="n"/>
      <c r="K208" s="17" t="n"/>
      <c r="L208" s="9" t="n"/>
      <c r="M208" s="19" t="n"/>
      <c r="N208" s="16" t="n"/>
      <c r="O208" s="27" t="n"/>
      <c r="P208" s="16" t="n"/>
      <c r="Q208" s="16" t="n"/>
    </row>
    <row r="209">
      <c r="A209" s="16" t="n"/>
      <c r="B209" s="16" t="n"/>
      <c r="C209" s="16" t="n"/>
      <c r="D209" s="16" t="n"/>
      <c r="E209" s="9" t="n"/>
      <c r="F209" s="9" t="n"/>
      <c r="G209" s="18" t="n"/>
      <c r="H209" s="16" t="n"/>
      <c r="I209" s="17" t="n"/>
      <c r="J209" s="27" t="n"/>
      <c r="K209" s="17" t="n"/>
      <c r="L209" s="9" t="n"/>
      <c r="M209" s="19" t="n"/>
      <c r="N209" s="16" t="n"/>
      <c r="O209" s="27" t="n"/>
      <c r="P209" s="16" t="n"/>
      <c r="Q209" s="16" t="n"/>
    </row>
    <row r="210">
      <c r="A210" s="16" t="n"/>
      <c r="B210" s="16" t="n"/>
      <c r="C210" s="16" t="n"/>
      <c r="D210" s="16" t="n"/>
      <c r="E210" s="9" t="n"/>
      <c r="F210" s="9" t="n"/>
      <c r="G210" s="18" t="n"/>
      <c r="H210" s="16" t="n"/>
      <c r="I210" s="17" t="n"/>
      <c r="J210" s="27" t="n"/>
      <c r="K210" s="17" t="n"/>
      <c r="L210" s="9" t="n"/>
      <c r="M210" s="19" t="n"/>
      <c r="N210" s="16" t="n"/>
      <c r="O210" s="27" t="n"/>
      <c r="P210" s="16" t="n"/>
      <c r="Q210" s="16" t="n"/>
    </row>
    <row r="211">
      <c r="A211" s="16" t="n"/>
      <c r="B211" s="16" t="n"/>
      <c r="C211" s="16" t="n"/>
      <c r="D211" s="16" t="n"/>
      <c r="E211" s="9" t="n"/>
      <c r="F211" s="9" t="n"/>
      <c r="G211" s="18" t="n"/>
      <c r="H211" s="16" t="n"/>
      <c r="I211" s="17" t="n"/>
      <c r="J211" s="27" t="n"/>
      <c r="K211" s="17" t="n"/>
      <c r="L211" s="9" t="n"/>
      <c r="M211" s="19" t="n"/>
      <c r="N211" s="16" t="n"/>
      <c r="O211" s="27" t="n"/>
      <c r="P211" s="16" t="n"/>
      <c r="Q211" s="16" t="n"/>
    </row>
    <row r="212">
      <c r="A212" s="16" t="n"/>
      <c r="B212" s="16" t="n"/>
      <c r="C212" s="16" t="n"/>
      <c r="D212" s="16" t="n"/>
      <c r="E212" s="9" t="n"/>
      <c r="F212" s="9" t="n"/>
      <c r="G212" s="18" t="n"/>
      <c r="H212" s="16" t="n"/>
      <c r="I212" s="17" t="n"/>
      <c r="J212" s="27" t="n"/>
      <c r="K212" s="17" t="n"/>
      <c r="L212" s="9" t="n"/>
      <c r="M212" s="19" t="n"/>
      <c r="N212" s="16" t="n"/>
      <c r="O212" s="27" t="n"/>
      <c r="P212" s="16" t="n"/>
      <c r="Q212" s="16" t="n"/>
    </row>
    <row r="213">
      <c r="A213" s="16" t="n"/>
      <c r="B213" s="16" t="n"/>
      <c r="C213" s="16" t="n"/>
      <c r="D213" s="16" t="n"/>
      <c r="E213" s="9" t="n"/>
      <c r="F213" s="9" t="n"/>
      <c r="G213" s="18" t="n"/>
      <c r="H213" s="16" t="n"/>
      <c r="I213" s="17" t="n"/>
      <c r="J213" s="27" t="n"/>
      <c r="K213" s="17" t="n"/>
      <c r="L213" s="9" t="n"/>
      <c r="M213" s="19" t="n"/>
      <c r="N213" s="16" t="n"/>
      <c r="O213" s="27" t="n"/>
      <c r="P213" s="16" t="n"/>
      <c r="Q213" s="16" t="n"/>
    </row>
    <row r="214">
      <c r="A214" s="16" t="n"/>
      <c r="B214" s="16" t="n"/>
      <c r="C214" s="16" t="n"/>
      <c r="D214" s="16" t="n"/>
      <c r="E214" s="9" t="n"/>
      <c r="F214" s="9" t="n"/>
      <c r="G214" s="18" t="n"/>
      <c r="H214" s="16" t="n"/>
      <c r="I214" s="17" t="n"/>
      <c r="J214" s="27" t="n"/>
      <c r="K214" s="17" t="n"/>
      <c r="L214" s="9" t="n"/>
      <c r="M214" s="19" t="n"/>
      <c r="N214" s="16" t="n"/>
      <c r="O214" s="27" t="n"/>
      <c r="P214" s="16" t="n"/>
      <c r="Q214" s="16" t="n"/>
    </row>
    <row r="215">
      <c r="A215" s="16" t="n"/>
      <c r="B215" s="16" t="n"/>
      <c r="C215" s="16" t="n"/>
      <c r="D215" s="16" t="n"/>
      <c r="E215" s="9" t="n"/>
      <c r="F215" s="9" t="n"/>
      <c r="G215" s="18" t="n"/>
      <c r="H215" s="16" t="n"/>
      <c r="I215" s="17" t="n"/>
      <c r="J215" s="27" t="n"/>
      <c r="K215" s="17" t="n"/>
      <c r="L215" s="9" t="n"/>
      <c r="M215" s="19" t="n"/>
      <c r="N215" s="16" t="n"/>
      <c r="O215" s="27" t="n"/>
      <c r="P215" s="16" t="n"/>
      <c r="Q215" s="16" t="n"/>
    </row>
    <row r="216">
      <c r="A216" s="16" t="n"/>
      <c r="B216" s="16" t="n"/>
      <c r="C216" s="16" t="n"/>
      <c r="D216" s="16" t="n"/>
      <c r="E216" s="9" t="n"/>
      <c r="F216" s="9" t="n"/>
      <c r="G216" s="18" t="n"/>
      <c r="H216" s="16" t="n"/>
      <c r="I216" s="17" t="n"/>
      <c r="J216" s="27" t="n"/>
      <c r="K216" s="17" t="n"/>
      <c r="L216" s="9" t="n"/>
      <c r="M216" s="19" t="n"/>
      <c r="N216" s="16" t="n"/>
      <c r="O216" s="27" t="n"/>
      <c r="P216" s="16" t="n"/>
      <c r="Q216" s="16" t="n"/>
    </row>
    <row r="217">
      <c r="A217" s="16" t="n"/>
      <c r="B217" s="16" t="n"/>
      <c r="C217" s="16" t="n"/>
      <c r="D217" s="16" t="n"/>
      <c r="E217" s="9" t="n"/>
      <c r="F217" s="9" t="n"/>
      <c r="G217" s="18" t="n"/>
      <c r="H217" s="16" t="n"/>
      <c r="I217" s="17" t="n"/>
      <c r="J217" s="27" t="n"/>
      <c r="K217" s="17" t="n"/>
      <c r="L217" s="9" t="n"/>
      <c r="M217" s="19" t="n"/>
      <c r="N217" s="16" t="n"/>
      <c r="O217" s="27" t="n"/>
      <c r="P217" s="16" t="n"/>
      <c r="Q217" s="16" t="n"/>
    </row>
    <row r="218">
      <c r="A218" s="16" t="n"/>
      <c r="B218" s="16" t="n"/>
      <c r="C218" s="16" t="n"/>
      <c r="D218" s="16" t="n"/>
      <c r="E218" s="9" t="n"/>
      <c r="F218" s="9" t="n"/>
      <c r="G218" s="18" t="n"/>
      <c r="H218" s="16" t="n"/>
      <c r="I218" s="17" t="n"/>
      <c r="J218" s="27" t="n"/>
      <c r="K218" s="17" t="n"/>
      <c r="L218" s="9" t="n"/>
      <c r="M218" s="19" t="n"/>
      <c r="N218" s="16" t="n"/>
      <c r="O218" s="27" t="n"/>
      <c r="P218" s="16" t="n"/>
      <c r="Q218" s="16" t="n"/>
    </row>
    <row r="219">
      <c r="A219" s="16" t="n"/>
      <c r="B219" s="16" t="n"/>
      <c r="C219" s="16" t="n"/>
      <c r="D219" s="16" t="n"/>
      <c r="E219" s="9" t="n"/>
      <c r="F219" s="9" t="n"/>
      <c r="G219" s="18" t="n"/>
      <c r="H219" s="16" t="n"/>
      <c r="I219" s="17" t="n"/>
      <c r="J219" s="27" t="n"/>
      <c r="K219" s="17" t="n"/>
      <c r="L219" s="9" t="n"/>
      <c r="M219" s="19" t="n"/>
      <c r="N219" s="16" t="n"/>
      <c r="O219" s="27" t="n"/>
      <c r="P219" s="16" t="n"/>
      <c r="Q219" s="16" t="n"/>
    </row>
    <row r="220">
      <c r="A220" s="16" t="n"/>
      <c r="B220" s="16" t="n"/>
      <c r="C220" s="16" t="n"/>
      <c r="D220" s="16" t="n"/>
      <c r="E220" s="9" t="n"/>
      <c r="F220" s="9" t="n"/>
      <c r="G220" s="18" t="n"/>
      <c r="H220" s="16" t="n"/>
      <c r="I220" s="17" t="n"/>
      <c r="J220" s="27" t="n"/>
      <c r="K220" s="17" t="n"/>
      <c r="L220" s="9" t="n"/>
      <c r="M220" s="19" t="n"/>
      <c r="N220" s="16" t="n"/>
      <c r="O220" s="27" t="n"/>
      <c r="P220" s="16" t="n"/>
      <c r="Q220" s="16" t="n"/>
    </row>
    <row r="221">
      <c r="A221" s="16" t="n"/>
      <c r="B221" s="16" t="n"/>
      <c r="C221" s="16" t="n"/>
      <c r="D221" s="16" t="n"/>
      <c r="E221" s="9" t="n"/>
      <c r="F221" s="9" t="n"/>
      <c r="G221" s="18" t="n"/>
      <c r="H221" s="16" t="n"/>
      <c r="I221" s="17" t="n"/>
      <c r="J221" s="27" t="n"/>
      <c r="K221" s="17" t="n"/>
      <c r="L221" s="9" t="n"/>
      <c r="M221" s="19" t="n"/>
      <c r="N221" s="16" t="n"/>
      <c r="O221" s="27" t="n"/>
      <c r="P221" s="16" t="n"/>
      <c r="Q221" s="16" t="n"/>
    </row>
    <row r="222">
      <c r="A222" s="16" t="n"/>
      <c r="B222" s="16" t="n"/>
      <c r="C222" s="16" t="n"/>
      <c r="D222" s="16" t="n"/>
      <c r="E222" s="9" t="n"/>
      <c r="F222" s="9" t="n"/>
      <c r="G222" s="18" t="n"/>
      <c r="H222" s="16" t="n"/>
      <c r="I222" s="17" t="n"/>
      <c r="J222" s="27" t="n"/>
      <c r="K222" s="17" t="n"/>
      <c r="L222" s="9" t="n"/>
      <c r="M222" s="19" t="n"/>
      <c r="N222" s="16" t="n"/>
      <c r="O222" s="27" t="n"/>
      <c r="P222" s="16" t="n"/>
      <c r="Q222" s="16" t="n"/>
    </row>
    <row r="223">
      <c r="A223" s="16" t="n"/>
      <c r="B223" s="16" t="n"/>
      <c r="C223" s="16" t="n"/>
      <c r="D223" s="16" t="n"/>
      <c r="E223" s="9" t="n"/>
      <c r="F223" s="9" t="n"/>
      <c r="G223" s="18" t="n"/>
      <c r="H223" s="16" t="n"/>
      <c r="I223" s="17" t="n"/>
      <c r="J223" s="27" t="n"/>
      <c r="K223" s="17" t="n"/>
      <c r="L223" s="9" t="n"/>
      <c r="M223" s="19" t="n"/>
      <c r="N223" s="16" t="n"/>
      <c r="O223" s="27" t="n"/>
      <c r="P223" s="16" t="n"/>
      <c r="Q223" s="16" t="n"/>
    </row>
    <row r="224">
      <c r="A224" s="16" t="n"/>
      <c r="B224" s="16" t="n"/>
      <c r="C224" s="16" t="n"/>
      <c r="D224" s="16" t="n"/>
      <c r="E224" s="9" t="n"/>
      <c r="F224" s="9" t="n"/>
      <c r="G224" s="18" t="n"/>
      <c r="H224" s="16" t="n"/>
      <c r="I224" s="17" t="n"/>
      <c r="J224" s="27" t="n"/>
      <c r="K224" s="17" t="n"/>
      <c r="L224" s="9" t="n"/>
      <c r="M224" s="19" t="n"/>
      <c r="N224" s="16" t="n"/>
      <c r="O224" s="27" t="n"/>
      <c r="P224" s="16" t="n"/>
      <c r="Q224" s="16" t="n"/>
    </row>
    <row r="225">
      <c r="A225" s="16" t="n"/>
      <c r="B225" s="16" t="n"/>
      <c r="C225" s="16" t="n"/>
      <c r="D225" s="16" t="n"/>
      <c r="E225" s="9" t="n"/>
      <c r="F225" s="9" t="n"/>
      <c r="G225" s="18" t="n"/>
      <c r="H225" s="16" t="n"/>
      <c r="I225" s="17" t="n"/>
      <c r="J225" s="27" t="n"/>
      <c r="K225" s="17" t="n"/>
      <c r="L225" s="9" t="n"/>
      <c r="M225" s="19" t="n"/>
      <c r="N225" s="16" t="n"/>
      <c r="O225" s="27" t="n"/>
      <c r="P225" s="16" t="n"/>
      <c r="Q225" s="16" t="n"/>
    </row>
    <row r="226">
      <c r="A226" s="16" t="n"/>
      <c r="B226" s="16" t="n"/>
      <c r="C226" s="16" t="n"/>
      <c r="D226" s="16" t="n"/>
      <c r="E226" s="9" t="n"/>
      <c r="F226" s="9" t="n"/>
      <c r="G226" s="18" t="n"/>
      <c r="H226" s="16" t="n"/>
      <c r="I226" s="17" t="n"/>
      <c r="J226" s="27" t="n"/>
      <c r="K226" s="17" t="n"/>
      <c r="L226" s="9" t="n"/>
      <c r="M226" s="19" t="n"/>
      <c r="N226" s="16" t="n"/>
      <c r="O226" s="27" t="n"/>
      <c r="P226" s="16" t="n"/>
      <c r="Q226" s="16" t="n"/>
    </row>
    <row r="227">
      <c r="A227" s="16" t="n"/>
      <c r="B227" s="16" t="n"/>
      <c r="C227" s="16" t="n"/>
      <c r="D227" s="16" t="n"/>
      <c r="E227" s="9" t="n"/>
      <c r="F227" s="9" t="n"/>
      <c r="G227" s="18" t="n"/>
      <c r="H227" s="16" t="n"/>
      <c r="I227" s="17" t="n"/>
      <c r="J227" s="27" t="n"/>
      <c r="K227" s="17" t="n"/>
      <c r="L227" s="9" t="n"/>
      <c r="M227" s="19" t="n"/>
      <c r="N227" s="16" t="n"/>
      <c r="O227" s="27" t="n"/>
      <c r="P227" s="16" t="n"/>
      <c r="Q227" s="16" t="n"/>
    </row>
    <row r="228">
      <c r="A228" s="16" t="n"/>
      <c r="B228" s="16" t="n"/>
      <c r="C228" s="16" t="n"/>
      <c r="D228" s="16" t="n"/>
      <c r="E228" s="9" t="n"/>
      <c r="F228" s="9" t="n"/>
      <c r="G228" s="18" t="n"/>
      <c r="H228" s="16" t="n"/>
      <c r="I228" s="17" t="n"/>
      <c r="J228" s="27" t="n"/>
      <c r="K228" s="17" t="n"/>
      <c r="L228" s="9" t="n"/>
      <c r="M228" s="19" t="n"/>
      <c r="N228" s="16" t="n"/>
      <c r="O228" s="27" t="n"/>
      <c r="P228" s="16" t="n"/>
      <c r="Q228" s="16" t="n"/>
    </row>
    <row r="229">
      <c r="A229" s="16" t="n"/>
      <c r="B229" s="16" t="n"/>
      <c r="C229" s="16" t="n"/>
      <c r="D229" s="16" t="n"/>
      <c r="E229" s="9" t="n"/>
      <c r="F229" s="9" t="n"/>
      <c r="G229" s="18" t="n"/>
      <c r="H229" s="16" t="n"/>
      <c r="I229" s="17" t="n"/>
      <c r="J229" s="27" t="n"/>
      <c r="K229" s="17" t="n"/>
      <c r="L229" s="9" t="n"/>
      <c r="M229" s="19" t="n"/>
      <c r="N229" s="16" t="n"/>
      <c r="O229" s="27" t="n"/>
      <c r="P229" s="16" t="n"/>
      <c r="Q229" s="16" t="n"/>
    </row>
    <row r="230">
      <c r="A230" s="16" t="n"/>
      <c r="B230" s="16" t="n"/>
      <c r="C230" s="16" t="n"/>
      <c r="D230" s="16" t="n"/>
      <c r="E230" s="9" t="n"/>
      <c r="F230" s="9" t="n"/>
      <c r="G230" s="18" t="n"/>
      <c r="H230" s="16" t="n"/>
      <c r="I230" s="17" t="n"/>
      <c r="J230" s="27" t="n"/>
      <c r="K230" s="17" t="n"/>
      <c r="L230" s="9" t="n"/>
      <c r="M230" s="19" t="n"/>
      <c r="N230" s="16" t="n"/>
      <c r="O230" s="27" t="n"/>
      <c r="P230" s="16" t="n"/>
      <c r="Q230" s="16" t="n"/>
    </row>
    <row r="231">
      <c r="A231" s="16" t="n"/>
      <c r="B231" s="16" t="n"/>
      <c r="C231" s="16" t="n"/>
      <c r="D231" s="16" t="n"/>
      <c r="E231" s="9" t="n"/>
      <c r="F231" s="9" t="n"/>
      <c r="G231" s="18" t="n"/>
      <c r="H231" s="16" t="n"/>
      <c r="I231" s="17" t="n"/>
      <c r="J231" s="27" t="n"/>
      <c r="K231" s="17" t="n"/>
      <c r="L231" s="9" t="n"/>
      <c r="M231" s="19" t="n"/>
      <c r="N231" s="16" t="n"/>
      <c r="O231" s="27" t="n"/>
      <c r="P231" s="16" t="n"/>
      <c r="Q231" s="16" t="n"/>
    </row>
    <row r="232">
      <c r="A232" s="16" t="n"/>
      <c r="B232" s="16" t="n"/>
      <c r="C232" s="16" t="n"/>
      <c r="D232" s="16" t="n"/>
      <c r="E232" s="9" t="n"/>
      <c r="F232" s="9" t="n"/>
      <c r="G232" s="18" t="n"/>
      <c r="H232" s="16" t="n"/>
      <c r="I232" s="17" t="n"/>
      <c r="J232" s="27" t="n"/>
      <c r="K232" s="17" t="n"/>
      <c r="L232" s="9" t="n"/>
      <c r="M232" s="19" t="n"/>
      <c r="N232" s="16" t="n"/>
      <c r="O232" s="27" t="n"/>
      <c r="P232" s="16" t="n"/>
      <c r="Q232" s="16" t="n"/>
    </row>
    <row r="233">
      <c r="A233" s="16" t="n"/>
      <c r="B233" s="16" t="n"/>
      <c r="C233" s="16" t="n"/>
      <c r="D233" s="16" t="n"/>
      <c r="E233" s="9" t="n"/>
      <c r="F233" s="9" t="n"/>
      <c r="G233" s="18" t="n"/>
      <c r="H233" s="16" t="n"/>
      <c r="I233" s="17" t="n"/>
      <c r="J233" s="27" t="n"/>
      <c r="K233" s="17" t="n"/>
      <c r="L233" s="9" t="n"/>
      <c r="M233" s="19" t="n"/>
      <c r="N233" s="16" t="n"/>
      <c r="O233" s="27" t="n"/>
      <c r="P233" s="16" t="n"/>
      <c r="Q233" s="16" t="n"/>
    </row>
    <row r="234">
      <c r="A234" s="16" t="n"/>
      <c r="B234" s="16" t="n"/>
      <c r="C234" s="16" t="n"/>
      <c r="D234" s="16" t="n"/>
      <c r="E234" s="9" t="n"/>
      <c r="F234" s="9" t="n"/>
      <c r="G234" s="18" t="n"/>
      <c r="H234" s="16" t="n"/>
      <c r="I234" s="17" t="n"/>
      <c r="J234" s="27" t="n"/>
      <c r="K234" s="17" t="n"/>
      <c r="L234" s="9" t="n"/>
      <c r="M234" s="19" t="n"/>
      <c r="N234" s="16" t="n"/>
      <c r="O234" s="27" t="n"/>
      <c r="P234" s="16" t="n"/>
      <c r="Q234" s="16" t="n"/>
    </row>
    <row r="235">
      <c r="A235" s="16" t="n"/>
      <c r="B235" s="16" t="n"/>
      <c r="C235" s="16" t="n"/>
      <c r="D235" s="16" t="n"/>
      <c r="E235" s="9" t="n"/>
      <c r="F235" s="9" t="n"/>
      <c r="G235" s="18" t="n"/>
      <c r="H235" s="16" t="n"/>
      <c r="I235" s="17" t="n"/>
      <c r="J235" s="27" t="n"/>
      <c r="K235" s="17" t="n"/>
      <c r="L235" s="9" t="n"/>
      <c r="M235" s="19" t="n"/>
      <c r="N235" s="16" t="n"/>
      <c r="O235" s="27" t="n"/>
      <c r="P235" s="16" t="n"/>
      <c r="Q235" s="16" t="n"/>
    </row>
    <row r="236">
      <c r="A236" s="16" t="n"/>
      <c r="B236" s="16" t="n"/>
      <c r="C236" s="16" t="n"/>
      <c r="D236" s="16" t="n"/>
      <c r="E236" s="9" t="n"/>
      <c r="F236" s="9" t="n"/>
      <c r="G236" s="18" t="n"/>
      <c r="H236" s="16" t="n"/>
      <c r="I236" s="17" t="n"/>
      <c r="J236" s="27" t="n"/>
      <c r="K236" s="17" t="n"/>
      <c r="L236" s="9" t="n"/>
      <c r="M236" s="19" t="n"/>
      <c r="N236" s="16" t="n"/>
      <c r="O236" s="27" t="n"/>
      <c r="P236" s="16" t="n"/>
      <c r="Q236" s="16" t="n"/>
    </row>
    <row r="237">
      <c r="A237" s="16" t="n"/>
      <c r="B237" s="16" t="n"/>
      <c r="C237" s="16" t="n"/>
      <c r="D237" s="16" t="n"/>
      <c r="E237" s="9" t="n"/>
      <c r="F237" s="9" t="n"/>
      <c r="G237" s="18" t="n"/>
      <c r="H237" s="16" t="n"/>
      <c r="I237" s="17" t="n"/>
      <c r="J237" s="27" t="n"/>
      <c r="K237" s="17" t="n"/>
      <c r="L237" s="9" t="n"/>
      <c r="M237" s="19" t="n"/>
      <c r="N237" s="16" t="n"/>
      <c r="O237" s="27" t="n"/>
      <c r="P237" s="16" t="n"/>
      <c r="Q237" s="16" t="n"/>
    </row>
    <row r="238">
      <c r="A238" s="16" t="n"/>
      <c r="B238" s="16" t="n"/>
      <c r="C238" s="16" t="n"/>
      <c r="D238" s="16" t="n"/>
      <c r="E238" s="9" t="n"/>
      <c r="F238" s="9" t="n"/>
      <c r="G238" s="18" t="n"/>
      <c r="H238" s="16" t="n"/>
      <c r="I238" s="17" t="n"/>
      <c r="J238" s="27" t="n"/>
      <c r="K238" s="17" t="n"/>
      <c r="L238" s="9" t="n"/>
      <c r="M238" s="19" t="n"/>
      <c r="N238" s="16" t="n"/>
      <c r="O238" s="27" t="n"/>
      <c r="P238" s="16" t="n"/>
      <c r="Q238" s="16" t="n"/>
    </row>
    <row r="239">
      <c r="A239" s="16" t="n"/>
      <c r="B239" s="16" t="n"/>
      <c r="C239" s="16" t="n"/>
      <c r="D239" s="16" t="n"/>
      <c r="E239" s="9" t="n"/>
      <c r="F239" s="9" t="n"/>
      <c r="G239" s="18" t="n"/>
      <c r="H239" s="16" t="n"/>
      <c r="I239" s="17" t="n"/>
      <c r="J239" s="27" t="n"/>
      <c r="K239" s="17" t="n"/>
      <c r="L239" s="9" t="n"/>
      <c r="M239" s="19" t="n"/>
      <c r="N239" s="16" t="n"/>
      <c r="O239" s="27" t="n"/>
      <c r="P239" s="16" t="n"/>
      <c r="Q239" s="16" t="n"/>
    </row>
    <row r="240">
      <c r="A240" s="16" t="n"/>
      <c r="B240" s="16" t="n"/>
      <c r="C240" s="16" t="n"/>
      <c r="D240" s="16" t="n"/>
      <c r="E240" s="9" t="n"/>
      <c r="F240" s="9" t="n"/>
      <c r="G240" s="18" t="n"/>
      <c r="H240" s="16" t="n"/>
      <c r="I240" s="17" t="n"/>
      <c r="J240" s="27" t="n"/>
      <c r="K240" s="17" t="n"/>
      <c r="L240" s="9" t="n"/>
      <c r="M240" s="19" t="n"/>
      <c r="N240" s="16" t="n"/>
      <c r="O240" s="27" t="n"/>
      <c r="P240" s="16" t="n"/>
      <c r="Q240" s="16" t="n"/>
    </row>
    <row r="241">
      <c r="A241" s="16" t="n"/>
      <c r="B241" s="16" t="n"/>
      <c r="C241" s="16" t="n"/>
      <c r="D241" s="16" t="n"/>
      <c r="E241" s="9" t="n"/>
      <c r="F241" s="9" t="n"/>
      <c r="G241" s="18" t="n"/>
      <c r="H241" s="16" t="n"/>
      <c r="I241" s="17" t="n"/>
      <c r="J241" s="27" t="n"/>
      <c r="K241" s="17" t="n"/>
      <c r="L241" s="9" t="n"/>
      <c r="M241" s="19" t="n"/>
      <c r="N241" s="16" t="n"/>
      <c r="O241" s="27" t="n"/>
      <c r="P241" s="16" t="n"/>
      <c r="Q241" s="16" t="n"/>
    </row>
    <row r="242">
      <c r="A242" s="16" t="n"/>
      <c r="B242" s="16" t="n"/>
      <c r="C242" s="16" t="n"/>
      <c r="D242" s="16" t="n"/>
      <c r="E242" s="9" t="n"/>
      <c r="F242" s="9" t="n"/>
      <c r="G242" s="18" t="n"/>
      <c r="H242" s="16" t="n"/>
      <c r="I242" s="17" t="n"/>
      <c r="J242" s="27" t="n"/>
      <c r="K242" s="17" t="n"/>
      <c r="L242" s="9" t="n"/>
      <c r="M242" s="19" t="n"/>
      <c r="N242" s="16" t="n"/>
      <c r="O242" s="27" t="n"/>
      <c r="P242" s="16" t="n"/>
      <c r="Q242" s="16" t="n"/>
    </row>
    <row r="243">
      <c r="A243" s="16" t="n"/>
      <c r="B243" s="16" t="n"/>
      <c r="C243" s="16" t="n"/>
      <c r="D243" s="16" t="n"/>
      <c r="E243" s="9" t="n"/>
      <c r="F243" s="9" t="n"/>
      <c r="G243" s="18" t="n"/>
      <c r="H243" s="16" t="n"/>
      <c r="I243" s="17" t="n"/>
      <c r="J243" s="27" t="n"/>
      <c r="K243" s="17" t="n"/>
      <c r="L243" s="9" t="n"/>
      <c r="M243" s="19" t="n"/>
      <c r="N243" s="16" t="n"/>
      <c r="O243" s="27" t="n"/>
      <c r="P243" s="16" t="n"/>
      <c r="Q243" s="16" t="n"/>
    </row>
    <row r="244">
      <c r="A244" s="16" t="n"/>
      <c r="B244" s="16" t="n"/>
      <c r="C244" s="16" t="n"/>
      <c r="D244" s="16" t="n"/>
      <c r="E244" s="9" t="n"/>
      <c r="F244" s="9" t="n"/>
      <c r="G244" s="18" t="n"/>
      <c r="H244" s="16" t="n"/>
      <c r="I244" s="17" t="n"/>
      <c r="J244" s="27" t="n"/>
      <c r="K244" s="17" t="n"/>
      <c r="L244" s="9" t="n"/>
      <c r="M244" s="19" t="n"/>
      <c r="N244" s="16" t="n"/>
      <c r="O244" s="27" t="n"/>
      <c r="P244" s="16" t="n"/>
      <c r="Q244" s="16" t="n"/>
    </row>
    <row r="245">
      <c r="A245" s="16" t="n"/>
      <c r="B245" s="16" t="n"/>
      <c r="C245" s="16" t="n"/>
      <c r="D245" s="16" t="n"/>
      <c r="E245" s="9" t="n"/>
      <c r="F245" s="9" t="n"/>
      <c r="G245" s="18" t="n"/>
      <c r="H245" s="16" t="n"/>
      <c r="I245" s="17" t="n"/>
      <c r="J245" s="27" t="n"/>
      <c r="K245" s="17" t="n"/>
      <c r="L245" s="9" t="n"/>
      <c r="M245" s="19" t="n"/>
      <c r="N245" s="16" t="n"/>
      <c r="O245" s="27" t="n"/>
      <c r="P245" s="16" t="n"/>
      <c r="Q245" s="16" t="n"/>
    </row>
    <row r="246">
      <c r="A246" s="16" t="n"/>
      <c r="B246" s="16" t="n"/>
      <c r="C246" s="16" t="n"/>
      <c r="D246" s="16" t="n"/>
      <c r="E246" s="9" t="n"/>
      <c r="F246" s="9" t="n"/>
      <c r="G246" s="18" t="n"/>
      <c r="H246" s="16" t="n"/>
      <c r="I246" s="17" t="n"/>
      <c r="J246" s="27" t="n"/>
      <c r="K246" s="17" t="n"/>
      <c r="L246" s="9" t="n"/>
      <c r="M246" s="19" t="n"/>
      <c r="N246" s="16" t="n"/>
      <c r="O246" s="27" t="n"/>
      <c r="P246" s="16" t="n"/>
      <c r="Q246" s="16" t="n"/>
    </row>
    <row r="247">
      <c r="A247" s="16" t="n"/>
      <c r="B247" s="16" t="n"/>
      <c r="C247" s="16" t="n"/>
      <c r="D247" s="16" t="n"/>
      <c r="E247" s="9" t="n"/>
      <c r="F247" s="9" t="n"/>
      <c r="G247" s="18" t="n"/>
      <c r="H247" s="16" t="n"/>
      <c r="I247" s="17" t="n"/>
      <c r="J247" s="27" t="n"/>
      <c r="K247" s="17" t="n"/>
      <c r="L247" s="9" t="n"/>
      <c r="M247" s="19" t="n"/>
      <c r="N247" s="16" t="n"/>
      <c r="O247" s="27" t="n"/>
      <c r="P247" s="16" t="n"/>
      <c r="Q247" s="16" t="n"/>
    </row>
    <row r="248">
      <c r="A248" s="16" t="n"/>
      <c r="B248" s="16" t="n"/>
      <c r="C248" s="16" t="n"/>
      <c r="D248" s="16" t="n"/>
      <c r="E248" s="9" t="n"/>
      <c r="F248" s="9" t="n"/>
      <c r="G248" s="18" t="n"/>
      <c r="H248" s="16" t="n"/>
      <c r="I248" s="17" t="n"/>
      <c r="J248" s="27" t="n"/>
      <c r="K248" s="17" t="n"/>
      <c r="L248" s="9" t="n"/>
      <c r="M248" s="19" t="n"/>
      <c r="N248" s="16" t="n"/>
      <c r="O248" s="27" t="n"/>
      <c r="P248" s="16" t="n"/>
      <c r="Q248" s="16" t="n"/>
    </row>
    <row r="249">
      <c r="A249" s="16" t="n"/>
      <c r="B249" s="16" t="n"/>
      <c r="C249" s="16" t="n"/>
      <c r="D249" s="16" t="n"/>
      <c r="E249" s="9" t="n"/>
      <c r="F249" s="9" t="n"/>
      <c r="G249" s="18" t="n"/>
      <c r="H249" s="16" t="n"/>
      <c r="I249" s="17" t="n"/>
      <c r="J249" s="27" t="n"/>
      <c r="K249" s="17" t="n"/>
      <c r="L249" s="9" t="n"/>
      <c r="M249" s="19" t="n"/>
      <c r="N249" s="16" t="n"/>
      <c r="O249" s="27" t="n"/>
      <c r="P249" s="16" t="n"/>
      <c r="Q249" s="16" t="n"/>
    </row>
    <row r="250">
      <c r="A250" s="16" t="n"/>
      <c r="B250" s="16" t="n"/>
      <c r="C250" s="16" t="n"/>
      <c r="D250" s="16" t="n"/>
      <c r="E250" s="9" t="n"/>
      <c r="F250" s="9" t="n"/>
      <c r="G250" s="18" t="n"/>
      <c r="H250" s="16" t="n"/>
      <c r="I250" s="17" t="n"/>
      <c r="J250" s="27" t="n"/>
      <c r="K250" s="17" t="n"/>
      <c r="L250" s="9" t="n"/>
      <c r="M250" s="19" t="n"/>
      <c r="N250" s="16" t="n"/>
      <c r="O250" s="27" t="n"/>
      <c r="P250" s="16" t="n"/>
      <c r="Q250" s="16" t="n"/>
    </row>
    <row r="251">
      <c r="A251" s="16" t="n"/>
      <c r="B251" s="16" t="n"/>
      <c r="C251" s="16" t="n"/>
      <c r="D251" s="16" t="n"/>
      <c r="E251" s="9" t="n"/>
      <c r="F251" s="9" t="n"/>
      <c r="G251" s="18" t="n"/>
      <c r="H251" s="16" t="n"/>
      <c r="I251" s="17" t="n"/>
      <c r="J251" s="27" t="n"/>
      <c r="K251" s="17" t="n"/>
      <c r="L251" s="9" t="n"/>
      <c r="M251" s="19" t="n"/>
      <c r="N251" s="16" t="n"/>
      <c r="O251" s="27" t="n"/>
      <c r="P251" s="16" t="n"/>
      <c r="Q251" s="16" t="n"/>
    </row>
    <row r="252">
      <c r="A252" s="16" t="n"/>
      <c r="B252" s="16" t="n"/>
      <c r="C252" s="16" t="n"/>
      <c r="D252" s="16" t="n"/>
      <c r="E252" s="9" t="n"/>
      <c r="F252" s="9" t="n"/>
      <c r="G252" s="18" t="n"/>
      <c r="H252" s="16" t="n"/>
      <c r="I252" s="17" t="n"/>
      <c r="J252" s="27" t="n"/>
      <c r="K252" s="17" t="n"/>
      <c r="L252" s="9" t="n"/>
      <c r="M252" s="19" t="n"/>
      <c r="N252" s="16" t="n"/>
      <c r="O252" s="27" t="n"/>
      <c r="P252" s="16" t="n"/>
      <c r="Q252" s="16" t="n"/>
    </row>
    <row r="253">
      <c r="A253" s="16" t="n"/>
      <c r="B253" s="16" t="n"/>
      <c r="C253" s="16" t="n"/>
      <c r="D253" s="16" t="n"/>
      <c r="E253" s="9" t="n"/>
      <c r="F253" s="9" t="n"/>
      <c r="G253" s="18" t="n"/>
      <c r="H253" s="16" t="n"/>
      <c r="I253" s="17" t="n"/>
      <c r="J253" s="27" t="n"/>
      <c r="K253" s="17" t="n"/>
      <c r="L253" s="9" t="n"/>
      <c r="M253" s="19" t="n"/>
      <c r="N253" s="16" t="n"/>
      <c r="O253" s="27" t="n"/>
      <c r="P253" s="16" t="n"/>
      <c r="Q253" s="16" t="n"/>
    </row>
    <row r="254">
      <c r="A254" s="16" t="n"/>
      <c r="B254" s="16" t="n"/>
      <c r="C254" s="16" t="n"/>
      <c r="D254" s="16" t="n"/>
      <c r="E254" s="9" t="n"/>
      <c r="F254" s="9" t="n"/>
      <c r="G254" s="18" t="n"/>
      <c r="H254" s="16" t="n"/>
      <c r="I254" s="17" t="n"/>
      <c r="J254" s="27" t="n"/>
      <c r="K254" s="17" t="n"/>
      <c r="L254" s="9" t="n"/>
      <c r="M254" s="19" t="n"/>
      <c r="N254" s="16" t="n"/>
      <c r="O254" s="27" t="n"/>
      <c r="P254" s="16" t="n"/>
      <c r="Q254" s="16" t="n"/>
    </row>
    <row r="255">
      <c r="A255" s="16" t="n"/>
      <c r="B255" s="16" t="n"/>
      <c r="C255" s="16" t="n"/>
      <c r="D255" s="16" t="n"/>
      <c r="E255" s="9" t="n"/>
      <c r="F255" s="9" t="n"/>
      <c r="G255" s="18" t="n"/>
      <c r="H255" s="16" t="n"/>
      <c r="I255" s="17" t="n"/>
      <c r="J255" s="27" t="n"/>
      <c r="K255" s="17" t="n"/>
      <c r="L255" s="9" t="n"/>
      <c r="M255" s="19" t="n"/>
      <c r="N255" s="16" t="n"/>
      <c r="O255" s="27" t="n"/>
      <c r="P255" s="16" t="n"/>
      <c r="Q255" s="16" t="n"/>
    </row>
    <row r="256">
      <c r="A256" s="16" t="n"/>
      <c r="B256" s="16" t="n"/>
      <c r="C256" s="16" t="n"/>
      <c r="D256" s="16" t="n"/>
      <c r="E256" s="9" t="n"/>
      <c r="F256" s="9" t="n"/>
      <c r="G256" s="18" t="n"/>
      <c r="H256" s="16" t="n"/>
      <c r="I256" s="17" t="n"/>
      <c r="J256" s="27" t="n"/>
      <c r="K256" s="17" t="n"/>
      <c r="L256" s="9" t="n"/>
      <c r="M256" s="19" t="n"/>
      <c r="N256" s="16" t="n"/>
      <c r="O256" s="27" t="n"/>
      <c r="P256" s="16" t="n"/>
      <c r="Q256" s="16" t="n"/>
    </row>
    <row r="257">
      <c r="A257" s="16" t="n"/>
      <c r="B257" s="16" t="n"/>
      <c r="C257" s="16" t="n"/>
      <c r="D257" s="16" t="n"/>
      <c r="E257" s="9" t="n"/>
      <c r="F257" s="9" t="n"/>
      <c r="G257" s="18" t="n"/>
      <c r="H257" s="16" t="n"/>
      <c r="I257" s="17" t="n"/>
      <c r="J257" s="27" t="n"/>
      <c r="K257" s="17" t="n"/>
      <c r="L257" s="9" t="n"/>
      <c r="M257" s="19" t="n"/>
      <c r="N257" s="16" t="n"/>
      <c r="O257" s="27" t="n"/>
      <c r="P257" s="16" t="n"/>
      <c r="Q257" s="16" t="n"/>
    </row>
    <row r="258">
      <c r="A258" s="16" t="n"/>
      <c r="B258" s="16" t="n"/>
      <c r="C258" s="16" t="n"/>
      <c r="D258" s="16" t="n"/>
      <c r="E258" s="9" t="n"/>
      <c r="F258" s="9" t="n"/>
      <c r="G258" s="18" t="n"/>
      <c r="H258" s="16" t="n"/>
      <c r="I258" s="17" t="n"/>
      <c r="J258" s="27" t="n"/>
      <c r="K258" s="17" t="n"/>
      <c r="L258" s="9" t="n"/>
      <c r="M258" s="19" t="n"/>
      <c r="N258" s="16" t="n"/>
      <c r="O258" s="27" t="n"/>
      <c r="P258" s="16" t="n"/>
      <c r="Q258" s="16" t="n"/>
    </row>
    <row r="259">
      <c r="A259" s="16" t="n"/>
      <c r="B259" s="16" t="n"/>
      <c r="C259" s="16" t="n"/>
      <c r="D259" s="16" t="n"/>
      <c r="E259" s="9" t="n"/>
      <c r="F259" s="9" t="n"/>
      <c r="G259" s="18" t="n"/>
      <c r="H259" s="16" t="n"/>
      <c r="I259" s="17" t="n"/>
      <c r="J259" s="27" t="n"/>
      <c r="K259" s="17" t="n"/>
      <c r="L259" s="9" t="n"/>
      <c r="M259" s="19" t="n"/>
      <c r="N259" s="16" t="n"/>
      <c r="O259" s="27" t="n"/>
      <c r="P259" s="16" t="n"/>
      <c r="Q259" s="16" t="n"/>
    </row>
    <row r="260">
      <c r="A260" s="16" t="n"/>
      <c r="B260" s="16" t="n"/>
      <c r="C260" s="16" t="n"/>
      <c r="D260" s="16" t="n"/>
      <c r="E260" s="9" t="n"/>
      <c r="F260" s="9" t="n"/>
      <c r="G260" s="18" t="n"/>
      <c r="H260" s="16" t="n"/>
      <c r="I260" s="17" t="n"/>
      <c r="J260" s="27" t="n"/>
      <c r="K260" s="17" t="n"/>
      <c r="L260" s="9" t="n"/>
      <c r="M260" s="19" t="n"/>
      <c r="N260" s="16" t="n"/>
      <c r="O260" s="27" t="n"/>
      <c r="P260" s="16" t="n"/>
      <c r="Q260" s="16" t="n"/>
    </row>
    <row r="261">
      <c r="A261" s="16" t="n"/>
      <c r="B261" s="16" t="n"/>
      <c r="C261" s="16" t="n"/>
      <c r="D261" s="16" t="n"/>
      <c r="E261" s="9" t="n"/>
      <c r="F261" s="9" t="n"/>
      <c r="G261" s="18" t="n"/>
      <c r="H261" s="16" t="n"/>
      <c r="I261" s="17" t="n"/>
      <c r="J261" s="27" t="n"/>
      <c r="K261" s="17" t="n"/>
      <c r="L261" s="9" t="n"/>
      <c r="M261" s="19" t="n"/>
      <c r="N261" s="16" t="n"/>
      <c r="O261" s="27" t="n"/>
      <c r="P261" s="16" t="n"/>
      <c r="Q261" s="16" t="n"/>
    </row>
    <row r="262">
      <c r="A262" s="16" t="n"/>
      <c r="B262" s="16" t="n"/>
      <c r="C262" s="16" t="n"/>
      <c r="D262" s="16" t="n"/>
      <c r="E262" s="9" t="n"/>
      <c r="F262" s="9" t="n"/>
      <c r="G262" s="18" t="n"/>
      <c r="H262" s="16" t="n"/>
      <c r="I262" s="17" t="n"/>
      <c r="J262" s="27" t="n"/>
      <c r="K262" s="17" t="n"/>
      <c r="L262" s="9" t="n"/>
      <c r="M262" s="19" t="n"/>
      <c r="N262" s="16" t="n"/>
      <c r="O262" s="27" t="n"/>
      <c r="P262" s="16" t="n"/>
      <c r="Q262" s="16" t="n"/>
    </row>
    <row r="263">
      <c r="A263" s="16" t="n"/>
      <c r="B263" s="16" t="n"/>
      <c r="C263" s="16" t="n"/>
      <c r="D263" s="16" t="n"/>
      <c r="E263" s="9" t="n"/>
      <c r="F263" s="9" t="n"/>
      <c r="G263" s="18" t="n"/>
      <c r="H263" s="16" t="n"/>
      <c r="I263" s="17" t="n"/>
      <c r="J263" s="27" t="n"/>
      <c r="K263" s="17" t="n"/>
      <c r="L263" s="9" t="n"/>
      <c r="M263" s="19" t="n"/>
      <c r="N263" s="16" t="n"/>
      <c r="O263" s="27" t="n"/>
      <c r="P263" s="16" t="n"/>
      <c r="Q263" s="16" t="n"/>
    </row>
    <row r="264">
      <c r="A264" s="16" t="n"/>
      <c r="B264" s="16" t="n"/>
      <c r="C264" s="16" t="n"/>
      <c r="D264" s="16" t="n"/>
      <c r="E264" s="9" t="n"/>
      <c r="F264" s="9" t="n"/>
      <c r="G264" s="18" t="n"/>
      <c r="H264" s="16" t="n"/>
      <c r="I264" s="17" t="n"/>
      <c r="J264" s="27" t="n"/>
      <c r="K264" s="17" t="n"/>
      <c r="L264" s="9" t="n"/>
      <c r="M264" s="19" t="n"/>
      <c r="N264" s="16" t="n"/>
      <c r="O264" s="27" t="n"/>
      <c r="P264" s="16" t="n"/>
      <c r="Q264" s="16" t="n"/>
    </row>
    <row r="265">
      <c r="A265" s="16" t="n"/>
      <c r="B265" s="16" t="n"/>
      <c r="C265" s="16" t="n"/>
      <c r="D265" s="16" t="n"/>
      <c r="E265" s="9" t="n"/>
      <c r="F265" s="9" t="n"/>
      <c r="G265" s="18" t="n"/>
      <c r="H265" s="16" t="n"/>
      <c r="I265" s="17" t="n"/>
      <c r="J265" s="27" t="n"/>
      <c r="K265" s="17" t="n"/>
      <c r="L265" s="9" t="n"/>
      <c r="M265" s="19" t="n"/>
      <c r="N265" s="16" t="n"/>
      <c r="O265" s="27" t="n"/>
      <c r="P265" s="16" t="n"/>
      <c r="Q265" s="16" t="n"/>
    </row>
    <row r="266">
      <c r="A266" s="16" t="n"/>
      <c r="B266" s="16" t="n"/>
      <c r="C266" s="16" t="n"/>
      <c r="D266" s="16" t="n"/>
      <c r="E266" s="9" t="n"/>
      <c r="F266" s="9" t="n"/>
      <c r="G266" s="18" t="n"/>
      <c r="H266" s="16" t="n"/>
      <c r="I266" s="17" t="n"/>
      <c r="J266" s="27" t="n"/>
      <c r="K266" s="17" t="n"/>
      <c r="L266" s="9" t="n"/>
      <c r="M266" s="19" t="n"/>
      <c r="N266" s="16" t="n"/>
      <c r="O266" s="27" t="n"/>
      <c r="P266" s="16" t="n"/>
      <c r="Q266" s="16" t="n"/>
    </row>
    <row r="267">
      <c r="A267" s="16" t="n"/>
      <c r="B267" s="16" t="n"/>
      <c r="C267" s="16" t="n"/>
      <c r="D267" s="16" t="n"/>
      <c r="E267" s="9" t="n"/>
      <c r="F267" s="9" t="n"/>
      <c r="G267" s="18" t="n"/>
      <c r="H267" s="16" t="n"/>
      <c r="I267" s="17" t="n"/>
      <c r="J267" s="27" t="n"/>
      <c r="K267" s="17" t="n"/>
      <c r="L267" s="9" t="n"/>
      <c r="M267" s="19" t="n"/>
      <c r="N267" s="16" t="n"/>
      <c r="O267" s="27" t="n"/>
      <c r="P267" s="16" t="n"/>
      <c r="Q267" s="16" t="n"/>
    </row>
    <row r="268">
      <c r="A268" s="16" t="n"/>
      <c r="B268" s="16" t="n"/>
      <c r="C268" s="16" t="n"/>
      <c r="D268" s="16" t="n"/>
      <c r="E268" s="9" t="n"/>
      <c r="F268" s="9" t="n"/>
      <c r="G268" s="18" t="n"/>
      <c r="H268" s="16" t="n"/>
      <c r="I268" s="17" t="n"/>
      <c r="J268" s="27" t="n"/>
      <c r="K268" s="17" t="n"/>
      <c r="L268" s="9" t="n"/>
      <c r="M268" s="19" t="n"/>
      <c r="N268" s="16" t="n"/>
      <c r="O268" s="27" t="n"/>
      <c r="P268" s="16" t="n"/>
      <c r="Q268" s="16" t="n"/>
    </row>
    <row r="269">
      <c r="A269" s="16" t="n"/>
      <c r="B269" s="16" t="n"/>
      <c r="C269" s="16" t="n"/>
      <c r="D269" s="16" t="n"/>
      <c r="E269" s="9" t="n"/>
      <c r="F269" s="9" t="n"/>
      <c r="G269" s="18" t="n"/>
      <c r="H269" s="16" t="n"/>
      <c r="I269" s="17" t="n"/>
      <c r="J269" s="27" t="n"/>
      <c r="K269" s="17" t="n"/>
      <c r="L269" s="9" t="n"/>
      <c r="M269" s="19" t="n"/>
      <c r="N269" s="16" t="n"/>
      <c r="O269" s="27" t="n"/>
      <c r="P269" s="16" t="n"/>
      <c r="Q269" s="16" t="n"/>
    </row>
    <row r="270">
      <c r="A270" s="16" t="n"/>
      <c r="B270" s="16" t="n"/>
      <c r="C270" s="16" t="n"/>
      <c r="D270" s="16" t="n"/>
      <c r="E270" s="9" t="n"/>
      <c r="F270" s="9" t="n"/>
      <c r="G270" s="18" t="n"/>
      <c r="H270" s="16" t="n"/>
      <c r="I270" s="17" t="n"/>
      <c r="J270" s="27" t="n"/>
      <c r="K270" s="17" t="n"/>
      <c r="L270" s="9" t="n"/>
      <c r="M270" s="19" t="n"/>
      <c r="N270" s="16" t="n"/>
      <c r="O270" s="27" t="n"/>
      <c r="P270" s="16" t="n"/>
      <c r="Q270" s="16" t="n"/>
    </row>
    <row r="271">
      <c r="A271" s="16" t="n"/>
      <c r="B271" s="16" t="n"/>
      <c r="C271" s="16" t="n"/>
      <c r="D271" s="16" t="n"/>
      <c r="E271" s="9" t="n"/>
      <c r="F271" s="9" t="n"/>
      <c r="G271" s="18" t="n"/>
      <c r="H271" s="16" t="n"/>
      <c r="I271" s="17" t="n"/>
      <c r="J271" s="27" t="n"/>
      <c r="K271" s="17" t="n"/>
      <c r="L271" s="9" t="n"/>
      <c r="M271" s="19" t="n"/>
      <c r="N271" s="16" t="n"/>
      <c r="O271" s="27" t="n"/>
      <c r="P271" s="16" t="n"/>
      <c r="Q271" s="16" t="n"/>
    </row>
    <row r="272">
      <c r="A272" s="16" t="n"/>
      <c r="B272" s="16" t="n"/>
      <c r="C272" s="16" t="n"/>
      <c r="D272" s="16" t="n"/>
      <c r="E272" s="9" t="n"/>
      <c r="F272" s="9" t="n"/>
      <c r="G272" s="18" t="n"/>
      <c r="H272" s="16" t="n"/>
      <c r="I272" s="17" t="n"/>
      <c r="J272" s="27" t="n"/>
      <c r="K272" s="17" t="n"/>
      <c r="L272" s="9" t="n"/>
      <c r="M272" s="19" t="n"/>
      <c r="N272" s="16" t="n"/>
      <c r="O272" s="27" t="n"/>
      <c r="P272" s="16" t="n"/>
      <c r="Q272" s="16" t="n"/>
    </row>
    <row r="273">
      <c r="A273" s="16" t="n"/>
      <c r="B273" s="16" t="n"/>
      <c r="C273" s="16" t="n"/>
      <c r="D273" s="16" t="n"/>
      <c r="E273" s="9" t="n"/>
      <c r="F273" s="9" t="n"/>
      <c r="G273" s="18" t="n"/>
      <c r="H273" s="16" t="n"/>
      <c r="I273" s="17" t="n"/>
      <c r="J273" s="27" t="n"/>
      <c r="K273" s="17" t="n"/>
      <c r="L273" s="9" t="n"/>
      <c r="M273" s="19" t="n"/>
      <c r="N273" s="16" t="n"/>
      <c r="O273" s="27" t="n"/>
      <c r="P273" s="16" t="n"/>
      <c r="Q273" s="16" t="n"/>
    </row>
    <row r="274">
      <c r="A274" s="16" t="n"/>
      <c r="B274" s="16" t="n"/>
      <c r="C274" s="16" t="n"/>
      <c r="D274" s="16" t="n"/>
      <c r="E274" s="9" t="n"/>
      <c r="F274" s="9" t="n"/>
      <c r="G274" s="18" t="n"/>
      <c r="H274" s="16" t="n"/>
      <c r="I274" s="17" t="n"/>
      <c r="J274" s="27" t="n"/>
      <c r="K274" s="17" t="n"/>
      <c r="L274" s="9" t="n"/>
      <c r="M274" s="19" t="n"/>
      <c r="N274" s="16" t="n"/>
      <c r="O274" s="27" t="n"/>
      <c r="P274" s="16" t="n"/>
      <c r="Q274" s="16" t="n"/>
    </row>
    <row r="275">
      <c r="A275" s="16" t="n"/>
      <c r="B275" s="16" t="n"/>
      <c r="C275" s="16" t="n"/>
      <c r="D275" s="16" t="n"/>
      <c r="E275" s="9" t="n"/>
      <c r="F275" s="9" t="n"/>
      <c r="G275" s="18" t="n"/>
      <c r="H275" s="16" t="n"/>
      <c r="I275" s="17" t="n"/>
      <c r="J275" s="27" t="n"/>
      <c r="K275" s="17" t="n"/>
      <c r="L275" s="9" t="n"/>
      <c r="M275" s="19" t="n"/>
      <c r="N275" s="16" t="n"/>
      <c r="O275" s="27" t="n"/>
      <c r="P275" s="16" t="n"/>
      <c r="Q275" s="16" t="n"/>
    </row>
    <row r="276">
      <c r="A276" s="16" t="n"/>
      <c r="B276" s="16" t="n"/>
      <c r="C276" s="16" t="n"/>
      <c r="D276" s="16" t="n"/>
      <c r="E276" s="9" t="n"/>
      <c r="F276" s="9" t="n"/>
      <c r="G276" s="18" t="n"/>
      <c r="H276" s="16" t="n"/>
      <c r="I276" s="17" t="n"/>
      <c r="J276" s="27" t="n"/>
      <c r="K276" s="17" t="n"/>
      <c r="L276" s="9" t="n"/>
      <c r="M276" s="19" t="n"/>
      <c r="N276" s="16" t="n"/>
      <c r="O276" s="27" t="n"/>
      <c r="P276" s="16" t="n"/>
      <c r="Q276" s="16" t="n"/>
    </row>
    <row r="277">
      <c r="A277" s="16" t="n"/>
      <c r="B277" s="16" t="n"/>
      <c r="C277" s="16" t="n"/>
      <c r="D277" s="16" t="n"/>
      <c r="E277" s="9" t="n"/>
      <c r="F277" s="9" t="n"/>
      <c r="G277" s="18" t="n"/>
      <c r="H277" s="16" t="n"/>
      <c r="I277" s="17" t="n"/>
      <c r="J277" s="27" t="n"/>
      <c r="K277" s="17" t="n"/>
      <c r="L277" s="9" t="n"/>
      <c r="M277" s="19" t="n"/>
      <c r="N277" s="16" t="n"/>
      <c r="O277" s="27" t="n"/>
      <c r="P277" s="16" t="n"/>
      <c r="Q277" s="16" t="n"/>
    </row>
    <row r="278">
      <c r="A278" s="16" t="n"/>
      <c r="B278" s="16" t="n"/>
      <c r="C278" s="16" t="n"/>
      <c r="D278" s="16" t="n"/>
      <c r="E278" s="9" t="n"/>
      <c r="F278" s="9" t="n"/>
      <c r="G278" s="18" t="n"/>
      <c r="H278" s="16" t="n"/>
      <c r="I278" s="17" t="n"/>
      <c r="J278" s="27" t="n"/>
      <c r="K278" s="17" t="n"/>
      <c r="L278" s="9" t="n"/>
      <c r="M278" s="19" t="n"/>
      <c r="N278" s="16" t="n"/>
      <c r="O278" s="27" t="n"/>
      <c r="P278" s="16" t="n"/>
      <c r="Q278" s="16" t="n"/>
    </row>
    <row r="279">
      <c r="A279" s="16" t="n"/>
      <c r="B279" s="16" t="n"/>
      <c r="C279" s="16" t="n"/>
      <c r="D279" s="16" t="n"/>
      <c r="E279" s="9" t="n"/>
      <c r="F279" s="9" t="n"/>
      <c r="G279" s="18" t="n"/>
      <c r="H279" s="16" t="n"/>
      <c r="I279" s="17" t="n"/>
      <c r="J279" s="27" t="n"/>
      <c r="K279" s="17" t="n"/>
      <c r="L279" s="9" t="n"/>
      <c r="M279" s="19" t="n"/>
      <c r="N279" s="16" t="n"/>
      <c r="O279" s="27" t="n"/>
      <c r="P279" s="16" t="n"/>
      <c r="Q279" s="16" t="n"/>
    </row>
    <row r="280">
      <c r="A280" s="16" t="n"/>
      <c r="B280" s="16" t="n"/>
      <c r="C280" s="16" t="n"/>
      <c r="D280" s="16" t="n"/>
      <c r="E280" s="9" t="n"/>
      <c r="F280" s="9" t="n"/>
      <c r="G280" s="18" t="n"/>
      <c r="H280" s="16" t="n"/>
      <c r="I280" s="17" t="n"/>
      <c r="J280" s="27" t="n"/>
      <c r="K280" s="17" t="n"/>
      <c r="L280" s="9" t="n"/>
      <c r="M280" s="19" t="n"/>
      <c r="N280" s="16" t="n"/>
      <c r="O280" s="27" t="n"/>
      <c r="P280" s="16" t="n"/>
      <c r="Q280" s="16" t="n"/>
    </row>
    <row r="281">
      <c r="A281" s="16" t="n"/>
      <c r="B281" s="16" t="n"/>
      <c r="C281" s="16" t="n"/>
      <c r="D281" s="16" t="n"/>
      <c r="E281" s="9" t="n"/>
      <c r="F281" s="9" t="n"/>
      <c r="G281" s="18" t="n"/>
      <c r="H281" s="16" t="n"/>
      <c r="I281" s="17" t="n"/>
      <c r="J281" s="27" t="n"/>
      <c r="K281" s="17" t="n"/>
      <c r="L281" s="9" t="n"/>
      <c r="M281" s="19" t="n"/>
      <c r="N281" s="16" t="n"/>
      <c r="O281" s="27" t="n"/>
      <c r="P281" s="16" t="n"/>
      <c r="Q281" s="16" t="n"/>
    </row>
    <row r="282">
      <c r="A282" s="16" t="n"/>
      <c r="B282" s="16" t="n"/>
      <c r="C282" s="16" t="n"/>
      <c r="D282" s="16" t="n"/>
      <c r="E282" s="9" t="n"/>
      <c r="F282" s="9" t="n"/>
      <c r="G282" s="18" t="n"/>
      <c r="H282" s="16" t="n"/>
      <c r="I282" s="17" t="n"/>
      <c r="J282" s="27" t="n"/>
      <c r="K282" s="17" t="n"/>
      <c r="L282" s="9" t="n"/>
      <c r="M282" s="19" t="n"/>
      <c r="N282" s="16" t="n"/>
      <c r="O282" s="27" t="n"/>
      <c r="P282" s="16" t="n"/>
      <c r="Q282" s="16" t="n"/>
    </row>
    <row r="283">
      <c r="A283" s="16" t="n"/>
      <c r="B283" s="16" t="n"/>
      <c r="C283" s="16" t="n"/>
      <c r="D283" s="16" t="n"/>
      <c r="E283" s="9" t="n"/>
      <c r="F283" s="9" t="n"/>
      <c r="G283" s="18" t="n"/>
      <c r="H283" s="16" t="n"/>
      <c r="I283" s="17" t="n"/>
      <c r="J283" s="27" t="n"/>
      <c r="K283" s="17" t="n"/>
      <c r="L283" s="9" t="n"/>
      <c r="M283" s="19" t="n"/>
      <c r="N283" s="16" t="n"/>
      <c r="O283" s="27" t="n"/>
      <c r="P283" s="16" t="n"/>
      <c r="Q283" s="16" t="n"/>
    </row>
    <row r="284">
      <c r="A284" s="16" t="n"/>
      <c r="B284" s="16" t="n"/>
      <c r="C284" s="16" t="n"/>
      <c r="D284" s="16" t="n"/>
      <c r="E284" s="9" t="n"/>
      <c r="F284" s="9" t="n"/>
      <c r="G284" s="18" t="n"/>
      <c r="H284" s="16" t="n"/>
      <c r="I284" s="17" t="n"/>
      <c r="J284" s="27" t="n"/>
      <c r="K284" s="17" t="n"/>
      <c r="L284" s="9" t="n"/>
      <c r="M284" s="19" t="n"/>
      <c r="N284" s="16" t="n"/>
      <c r="O284" s="27" t="n"/>
      <c r="P284" s="16" t="n"/>
      <c r="Q284" s="16" t="n"/>
    </row>
    <row r="285">
      <c r="A285" s="16" t="n"/>
      <c r="B285" s="16" t="n"/>
      <c r="C285" s="16" t="n"/>
      <c r="D285" s="16" t="n"/>
      <c r="E285" s="9" t="n"/>
      <c r="F285" s="9" t="n"/>
      <c r="G285" s="18" t="n"/>
      <c r="H285" s="16" t="n"/>
      <c r="I285" s="17" t="n"/>
      <c r="J285" s="27" t="n"/>
      <c r="K285" s="17" t="n"/>
      <c r="L285" s="9" t="n"/>
      <c r="M285" s="19" t="n"/>
      <c r="N285" s="16" t="n"/>
      <c r="O285" s="27" t="n"/>
      <c r="P285" s="16" t="n"/>
      <c r="Q285" s="16" t="n"/>
    </row>
    <row r="286">
      <c r="A286" s="16" t="n"/>
      <c r="B286" s="16" t="n"/>
      <c r="C286" s="16" t="n"/>
      <c r="D286" s="16" t="n"/>
      <c r="E286" s="9" t="n"/>
      <c r="F286" s="9" t="n"/>
      <c r="G286" s="18" t="n"/>
      <c r="H286" s="16" t="n"/>
      <c r="I286" s="17" t="n"/>
      <c r="J286" s="27" t="n"/>
      <c r="K286" s="17" t="n"/>
      <c r="L286" s="9" t="n"/>
      <c r="M286" s="19" t="n"/>
      <c r="N286" s="16" t="n"/>
      <c r="O286" s="27" t="n"/>
      <c r="P286" s="16" t="n"/>
      <c r="Q286" s="16" t="n"/>
    </row>
    <row r="287">
      <c r="A287" s="16" t="n"/>
      <c r="B287" s="16" t="n"/>
      <c r="C287" s="16" t="n"/>
      <c r="D287" s="16" t="n"/>
      <c r="E287" s="9" t="n"/>
      <c r="F287" s="9" t="n"/>
      <c r="G287" s="18" t="n"/>
      <c r="H287" s="16" t="n"/>
      <c r="I287" s="17" t="n"/>
      <c r="J287" s="27" t="n"/>
      <c r="K287" s="17" t="n"/>
      <c r="L287" s="9" t="n"/>
      <c r="M287" s="19" t="n"/>
      <c r="N287" s="16" t="n"/>
      <c r="O287" s="27" t="n"/>
      <c r="P287" s="16" t="n"/>
      <c r="Q287" s="16" t="n"/>
    </row>
    <row r="288">
      <c r="A288" s="16" t="n"/>
      <c r="B288" s="16" t="n"/>
      <c r="C288" s="16" t="n"/>
      <c r="D288" s="16" t="n"/>
      <c r="E288" s="9" t="n"/>
      <c r="F288" s="9" t="n"/>
      <c r="G288" s="18" t="n"/>
      <c r="H288" s="16" t="n"/>
      <c r="I288" s="17" t="n"/>
      <c r="J288" s="27" t="n"/>
      <c r="K288" s="17" t="n"/>
      <c r="L288" s="9" t="n"/>
      <c r="M288" s="19" t="n"/>
      <c r="N288" s="16" t="n"/>
      <c r="O288" s="27" t="n"/>
      <c r="P288" s="16" t="n"/>
      <c r="Q288" s="16" t="n"/>
    </row>
    <row r="289">
      <c r="A289" s="16" t="n"/>
      <c r="B289" s="16" t="n"/>
      <c r="C289" s="16" t="n"/>
      <c r="D289" s="16" t="n"/>
      <c r="E289" s="9" t="n"/>
      <c r="F289" s="9" t="n"/>
      <c r="G289" s="18" t="n"/>
      <c r="H289" s="16" t="n"/>
      <c r="I289" s="17" t="n"/>
      <c r="J289" s="27" t="n"/>
      <c r="K289" s="17" t="n"/>
      <c r="L289" s="9" t="n"/>
      <c r="M289" s="19" t="n"/>
      <c r="N289" s="16" t="n"/>
      <c r="O289" s="27" t="n"/>
      <c r="P289" s="16" t="n"/>
      <c r="Q289" s="16" t="n"/>
    </row>
    <row r="290">
      <c r="A290" s="16" t="n"/>
      <c r="B290" s="16" t="n"/>
      <c r="C290" s="16" t="n"/>
      <c r="D290" s="16" t="n"/>
      <c r="E290" s="9" t="n"/>
      <c r="F290" s="9" t="n"/>
      <c r="G290" s="18" t="n"/>
      <c r="H290" s="16" t="n"/>
      <c r="I290" s="17" t="n"/>
      <c r="J290" s="27" t="n"/>
      <c r="K290" s="17" t="n"/>
      <c r="L290" s="9" t="n"/>
      <c r="M290" s="19" t="n"/>
      <c r="N290" s="16" t="n"/>
      <c r="O290" s="27" t="n"/>
      <c r="P290" s="16" t="n"/>
      <c r="Q290" s="16" t="n"/>
    </row>
    <row r="291">
      <c r="A291" s="16" t="n"/>
      <c r="B291" s="16" t="n"/>
      <c r="C291" s="16" t="n"/>
      <c r="D291" s="16" t="n"/>
      <c r="E291" s="9" t="n"/>
      <c r="F291" s="9" t="n"/>
      <c r="G291" s="18" t="n"/>
      <c r="H291" s="16" t="n"/>
      <c r="I291" s="17" t="n"/>
      <c r="J291" s="27" t="n"/>
      <c r="K291" s="17" t="n"/>
      <c r="L291" s="9" t="n"/>
      <c r="M291" s="19" t="n"/>
      <c r="N291" s="16" t="n"/>
      <c r="O291" s="27" t="n"/>
      <c r="P291" s="16" t="n"/>
      <c r="Q291" s="16" t="n"/>
    </row>
    <row r="292">
      <c r="A292" s="16" t="n"/>
      <c r="B292" s="16" t="n"/>
      <c r="C292" s="16" t="n"/>
      <c r="D292" s="16" t="n"/>
      <c r="E292" s="9" t="n"/>
      <c r="F292" s="9" t="n"/>
      <c r="G292" s="18" t="n"/>
      <c r="H292" s="16" t="n"/>
      <c r="I292" s="17" t="n"/>
      <c r="J292" s="27" t="n"/>
      <c r="K292" s="17" t="n"/>
      <c r="L292" s="9" t="n"/>
      <c r="M292" s="19" t="n"/>
      <c r="N292" s="16" t="n"/>
      <c r="O292" s="27" t="n"/>
      <c r="P292" s="16" t="n"/>
      <c r="Q292" s="16" t="n"/>
    </row>
    <row r="293">
      <c r="A293" s="16" t="n"/>
      <c r="B293" s="16" t="n"/>
      <c r="C293" s="16" t="n"/>
      <c r="D293" s="16" t="n"/>
      <c r="E293" s="9" t="n"/>
      <c r="F293" s="9" t="n"/>
      <c r="G293" s="18" t="n"/>
      <c r="H293" s="16" t="n"/>
      <c r="I293" s="17" t="n"/>
      <c r="J293" s="27" t="n"/>
      <c r="K293" s="17" t="n"/>
      <c r="L293" s="9" t="n"/>
      <c r="M293" s="19" t="n"/>
      <c r="N293" s="16" t="n"/>
      <c r="O293" s="27" t="n"/>
      <c r="P293" s="16" t="n"/>
      <c r="Q293" s="16" t="n"/>
    </row>
    <row r="294">
      <c r="A294" s="16" t="n"/>
      <c r="B294" s="16" t="n"/>
      <c r="C294" s="16" t="n"/>
      <c r="D294" s="16" t="n"/>
      <c r="E294" s="9" t="n"/>
      <c r="F294" s="9" t="n"/>
      <c r="G294" s="18" t="n"/>
      <c r="H294" s="16" t="n"/>
      <c r="I294" s="17" t="n"/>
      <c r="J294" s="27" t="n"/>
      <c r="K294" s="17" t="n"/>
      <c r="L294" s="9" t="n"/>
      <c r="M294" s="19" t="n"/>
      <c r="N294" s="16" t="n"/>
      <c r="O294" s="27" t="n"/>
      <c r="P294" s="16" t="n"/>
      <c r="Q294" s="16" t="n"/>
    </row>
    <row r="295">
      <c r="A295" s="16" t="n"/>
      <c r="B295" s="16" t="n"/>
      <c r="C295" s="16" t="n"/>
      <c r="D295" s="16" t="n"/>
      <c r="E295" s="9" t="n"/>
      <c r="F295" s="9" t="n"/>
      <c r="G295" s="18" t="n"/>
      <c r="H295" s="16" t="n"/>
      <c r="I295" s="17" t="n"/>
      <c r="J295" s="27" t="n"/>
      <c r="K295" s="17" t="n"/>
      <c r="L295" s="9" t="n"/>
      <c r="M295" s="19" t="n"/>
      <c r="N295" s="16" t="n"/>
      <c r="O295" s="27" t="n"/>
      <c r="P295" s="16" t="n"/>
      <c r="Q295" s="16" t="n"/>
    </row>
    <row r="296">
      <c r="A296" s="16" t="n"/>
      <c r="B296" s="16" t="n"/>
      <c r="C296" s="16" t="n"/>
      <c r="D296" s="16" t="n"/>
      <c r="E296" s="9" t="n"/>
      <c r="F296" s="9" t="n"/>
      <c r="G296" s="18" t="n"/>
      <c r="H296" s="16" t="n"/>
      <c r="I296" s="17" t="n"/>
      <c r="J296" s="27" t="n"/>
      <c r="K296" s="17" t="n"/>
      <c r="L296" s="9" t="n"/>
      <c r="M296" s="19" t="n"/>
      <c r="N296" s="16" t="n"/>
      <c r="O296" s="27" t="n"/>
      <c r="P296" s="16" t="n"/>
      <c r="Q296" s="16" t="n"/>
    </row>
    <row r="297">
      <c r="A297" s="16" t="n"/>
      <c r="B297" s="16" t="n"/>
      <c r="C297" s="16" t="n"/>
      <c r="D297" s="16" t="n"/>
      <c r="E297" s="9" t="n"/>
      <c r="F297" s="9" t="n"/>
      <c r="G297" s="18" t="n"/>
      <c r="H297" s="16" t="n"/>
      <c r="I297" s="17" t="n"/>
      <c r="J297" s="27" t="n"/>
      <c r="K297" s="17" t="n"/>
      <c r="L297" s="9" t="n"/>
      <c r="M297" s="19" t="n"/>
      <c r="N297" s="16" t="n"/>
      <c r="O297" s="27" t="n"/>
      <c r="P297" s="16" t="n"/>
      <c r="Q297" s="16" t="n"/>
    </row>
    <row r="298">
      <c r="A298" s="16" t="n"/>
      <c r="B298" s="16" t="n"/>
      <c r="C298" s="16" t="n"/>
      <c r="D298" s="16" t="n"/>
      <c r="E298" s="9" t="n"/>
      <c r="F298" s="9" t="n"/>
      <c r="G298" s="18" t="n"/>
      <c r="H298" s="16" t="n"/>
      <c r="I298" s="17" t="n"/>
      <c r="J298" s="27" t="n"/>
      <c r="K298" s="17" t="n"/>
      <c r="L298" s="9" t="n"/>
      <c r="M298" s="19" t="n"/>
      <c r="N298" s="16" t="n"/>
      <c r="O298" s="27" t="n"/>
      <c r="P298" s="16" t="n"/>
      <c r="Q298" s="16" t="n"/>
    </row>
    <row r="299">
      <c r="A299" s="16" t="n"/>
      <c r="B299" s="16" t="n"/>
      <c r="C299" s="16" t="n"/>
      <c r="D299" s="16" t="n"/>
      <c r="E299" s="9" t="n"/>
      <c r="F299" s="9" t="n"/>
      <c r="G299" s="18" t="n"/>
      <c r="H299" s="16" t="n"/>
      <c r="I299" s="17" t="n"/>
      <c r="J299" s="27" t="n"/>
      <c r="K299" s="17" t="n"/>
      <c r="L299" s="9" t="n"/>
      <c r="M299" s="19" t="n"/>
      <c r="N299" s="16" t="n"/>
      <c r="O299" s="27" t="n"/>
      <c r="P299" s="16" t="n"/>
      <c r="Q299" s="16" t="n"/>
    </row>
    <row r="300">
      <c r="A300" s="16" t="n"/>
      <c r="B300" s="16" t="n"/>
      <c r="C300" s="16" t="n"/>
      <c r="D300" s="16" t="n"/>
      <c r="E300" s="9" t="n"/>
      <c r="F300" s="9" t="n"/>
      <c r="G300" s="18" t="n"/>
      <c r="H300" s="16" t="n"/>
      <c r="I300" s="17" t="n"/>
      <c r="J300" s="27" t="n"/>
      <c r="K300" s="17" t="n"/>
      <c r="L300" s="9" t="n"/>
      <c r="M300" s="19" t="n"/>
      <c r="N300" s="16" t="n"/>
      <c r="O300" s="27" t="n"/>
      <c r="P300" s="16" t="n"/>
      <c r="Q300" s="16" t="n"/>
    </row>
    <row r="301">
      <c r="A301" s="16" t="n"/>
      <c r="B301" s="16" t="n"/>
      <c r="C301" s="16" t="n"/>
      <c r="D301" s="16" t="n"/>
      <c r="E301" s="9" t="n"/>
      <c r="F301" s="9" t="n"/>
      <c r="G301" s="18" t="n"/>
      <c r="H301" s="16" t="n"/>
      <c r="I301" s="17" t="n"/>
      <c r="J301" s="27" t="n"/>
      <c r="K301" s="17" t="n"/>
      <c r="L301" s="9" t="n"/>
      <c r="M301" s="19" t="n"/>
      <c r="N301" s="16" t="n"/>
      <c r="O301" s="27" t="n"/>
      <c r="P301" s="16" t="n"/>
      <c r="Q301" s="16" t="n"/>
    </row>
    <row r="302">
      <c r="A302" s="16" t="n"/>
      <c r="B302" s="16" t="n"/>
      <c r="C302" s="16" t="n"/>
      <c r="D302" s="16" t="n"/>
      <c r="E302" s="9" t="n"/>
      <c r="F302" s="9" t="n"/>
      <c r="G302" s="18" t="n"/>
      <c r="H302" s="16" t="n"/>
      <c r="I302" s="17" t="n"/>
      <c r="J302" s="27" t="n"/>
      <c r="K302" s="17" t="n"/>
      <c r="L302" s="9" t="n"/>
      <c r="M302" s="19" t="n"/>
      <c r="N302" s="16" t="n"/>
      <c r="O302" s="27" t="n"/>
      <c r="P302" s="16" t="n"/>
      <c r="Q302" s="16" t="n"/>
    </row>
    <row r="303">
      <c r="A303" s="16" t="n"/>
      <c r="B303" s="16" t="n"/>
      <c r="C303" s="16" t="n"/>
      <c r="D303" s="16" t="n"/>
      <c r="E303" s="9" t="n"/>
      <c r="F303" s="9" t="n"/>
      <c r="G303" s="18" t="n"/>
      <c r="H303" s="16" t="n"/>
      <c r="I303" s="17" t="n"/>
      <c r="J303" s="27" t="n"/>
      <c r="K303" s="17" t="n"/>
      <c r="L303" s="9" t="n"/>
      <c r="M303" s="19" t="n"/>
      <c r="N303" s="16" t="n"/>
      <c r="O303" s="27" t="n"/>
      <c r="P303" s="16" t="n"/>
      <c r="Q303" s="16" t="n"/>
    </row>
    <row r="304">
      <c r="A304" s="16" t="n"/>
      <c r="B304" s="16" t="n"/>
      <c r="C304" s="16" t="n"/>
      <c r="D304" s="16" t="n"/>
      <c r="E304" s="9" t="n"/>
      <c r="F304" s="9" t="n"/>
      <c r="G304" s="18" t="n"/>
      <c r="H304" s="16" t="n"/>
      <c r="I304" s="17" t="n"/>
      <c r="J304" s="27" t="n"/>
      <c r="K304" s="17" t="n"/>
      <c r="L304" s="9" t="n"/>
      <c r="M304" s="19" t="n"/>
      <c r="N304" s="16" t="n"/>
      <c r="O304" s="27" t="n"/>
      <c r="P304" s="16" t="n"/>
      <c r="Q304" s="16" t="n"/>
    </row>
    <row r="305">
      <c r="A305" s="16" t="n"/>
      <c r="B305" s="16" t="n"/>
      <c r="C305" s="16" t="n"/>
      <c r="D305" s="16" t="n"/>
      <c r="E305" s="9" t="n"/>
      <c r="F305" s="9" t="n"/>
      <c r="G305" s="18" t="n"/>
      <c r="H305" s="16" t="n"/>
      <c r="I305" s="17" t="n"/>
      <c r="J305" s="27" t="n"/>
      <c r="K305" s="17" t="n"/>
      <c r="L305" s="9" t="n"/>
      <c r="M305" s="19" t="n"/>
      <c r="N305" s="16" t="n"/>
      <c r="O305" s="27" t="n"/>
      <c r="P305" s="16" t="n"/>
      <c r="Q305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Q305"/>
  <mergeCells count="1">
    <mergeCell ref="A2:Q2"/>
  </mergeCells>
  <conditionalFormatting sqref="Q6:Q305">
    <cfRule type="expression" priority="1" dxfId="0">
      <formula>OR(Q6="Pending Review",Q6="Draft",Q6="Needs Review",Q6="Suggested")</formula>
    </cfRule>
    <cfRule type="expression" priority="2" dxfId="1">
      <formula>OR(Q6="Rejected",Q6="Expired")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K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20" customWidth="1" min="4" max="4"/>
    <col width="12" customWidth="1" min="5" max="5"/>
    <col width="20" customWidth="1" min="6" max="6"/>
    <col width="26" customWidth="1" min="7" max="7"/>
    <col width="16" customWidth="1" min="8" max="8"/>
    <col width="34" customWidth="1" min="9" max="9"/>
    <col width="16" customWidth="1" min="10" max="10"/>
    <col width="10" customWidth="1" min="11" max="11"/>
  </cols>
  <sheetData>
    <row r="1">
      <c r="A1" s="4" t="inlineStr">
        <is>
          <t>Vendor Directory</t>
        </is>
      </c>
    </row>
    <row r="2" ht="48" customHeight="1">
      <c r="A2" s="3" t="inlineStr">
        <is>
          <t>No contact detail may be entered without a traceable source and permitted use. Never copy contacts from unverified places. Contacts are optional.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name</t>
        </is>
      </c>
      <c r="C4" t="inlineStr">
        <is>
          <t>supplier_type</t>
        </is>
      </c>
      <c r="D4" t="inlineStr">
        <is>
          <t>trades</t>
        </is>
      </c>
      <c r="E4" t="inlineStr">
        <is>
          <t>region</t>
        </is>
      </c>
      <c r="F4" t="inlineStr">
        <is>
          <t>contact_name</t>
        </is>
      </c>
      <c r="G4" t="inlineStr">
        <is>
          <t>contact_email</t>
        </is>
      </c>
      <c r="H4" t="inlineStr">
        <is>
          <t>contact_phone</t>
        </is>
      </c>
      <c r="I4" t="inlineStr">
        <is>
          <t>contact_source</t>
        </is>
      </c>
      <c r="J4" t="inlineStr">
        <is>
          <t>qualification_status</t>
        </is>
      </c>
      <c r="K4" t="inlineStr">
        <is>
          <t>is_synthetic</t>
        </is>
      </c>
    </row>
    <row r="5" ht="34" customHeight="1">
      <c r="A5" s="15" t="inlineStr">
        <is>
          <t>Vendor ID</t>
        </is>
      </c>
      <c r="B5" s="15" t="inlineStr">
        <is>
          <t>Name</t>
        </is>
      </c>
      <c r="C5" s="15" t="inlineStr">
        <is>
          <t>Type</t>
        </is>
      </c>
      <c r="D5" s="15" t="inlineStr">
        <is>
          <t>Trades (cost codes)</t>
        </is>
      </c>
      <c r="E5" s="15" t="inlineStr">
        <is>
          <t>Region</t>
        </is>
      </c>
      <c r="F5" s="15" t="inlineStr">
        <is>
          <t>Contact</t>
        </is>
      </c>
      <c r="G5" s="15" t="inlineStr">
        <is>
          <t>Email</t>
        </is>
      </c>
      <c r="H5" s="15" t="inlineStr">
        <is>
          <t>Phone</t>
        </is>
      </c>
      <c r="I5" s="15" t="inlineStr">
        <is>
          <t>Contact source (required if contact given)</t>
        </is>
      </c>
      <c r="J5" s="15" t="inlineStr">
        <is>
          <t>Qualification</t>
        </is>
      </c>
      <c r="K5" s="15" t="inlineStr">
        <is>
          <t>Synthetic (1/0)</t>
        </is>
      </c>
    </row>
    <row r="6">
      <c r="A6" s="16" t="n"/>
      <c r="B6" s="17" t="n"/>
      <c r="C6" s="17" t="n"/>
      <c r="D6" s="17" t="n"/>
      <c r="E6" s="17" t="n"/>
      <c r="F6" s="17" t="n"/>
      <c r="G6" s="17" t="n"/>
      <c r="H6" s="17" t="n"/>
      <c r="I6" s="10" t="n"/>
      <c r="J6" s="16" t="n"/>
      <c r="K6" s="16" t="n"/>
    </row>
    <row r="7">
      <c r="A7" s="16" t="n"/>
      <c r="B7" s="17" t="n"/>
      <c r="C7" s="17" t="n"/>
      <c r="D7" s="17" t="n"/>
      <c r="E7" s="17" t="n"/>
      <c r="F7" s="17" t="n"/>
      <c r="G7" s="17" t="n"/>
      <c r="H7" s="17" t="n"/>
      <c r="I7" s="10" t="n"/>
      <c r="J7" s="16" t="n"/>
      <c r="K7" s="16" t="n"/>
    </row>
    <row r="8">
      <c r="A8" s="16" t="n"/>
      <c r="B8" s="17" t="n"/>
      <c r="C8" s="17" t="n"/>
      <c r="D8" s="17" t="n"/>
      <c r="E8" s="17" t="n"/>
      <c r="F8" s="17" t="n"/>
      <c r="G8" s="17" t="n"/>
      <c r="H8" s="17" t="n"/>
      <c r="I8" s="10" t="n"/>
      <c r="J8" s="16" t="n"/>
      <c r="K8" s="16" t="n"/>
    </row>
    <row r="9">
      <c r="A9" s="16" t="n"/>
      <c r="B9" s="17" t="n"/>
      <c r="C9" s="17" t="n"/>
      <c r="D9" s="17" t="n"/>
      <c r="E9" s="17" t="n"/>
      <c r="F9" s="17" t="n"/>
      <c r="G9" s="17" t="n"/>
      <c r="H9" s="17" t="n"/>
      <c r="I9" s="10" t="n"/>
      <c r="J9" s="16" t="n"/>
      <c r="K9" s="16" t="n"/>
    </row>
    <row r="10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0" t="n"/>
      <c r="J10" s="16" t="n"/>
      <c r="K10" s="16" t="n"/>
    </row>
    <row r="1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0" t="n"/>
      <c r="J11" s="16" t="n"/>
      <c r="K11" s="16" t="n"/>
    </row>
    <row r="12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0" t="n"/>
      <c r="J12" s="16" t="n"/>
      <c r="K12" s="16" t="n"/>
    </row>
    <row r="13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0" t="n"/>
      <c r="J13" s="16" t="n"/>
      <c r="K13" s="16" t="n"/>
    </row>
    <row r="14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0" t="n"/>
      <c r="J14" s="16" t="n"/>
      <c r="K14" s="16" t="n"/>
    </row>
    <row r="15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0" t="n"/>
      <c r="J15" s="16" t="n"/>
      <c r="K15" s="16" t="n"/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0" t="n"/>
      <c r="J16" s="16" t="n"/>
      <c r="K16" s="16" t="n"/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0" t="n"/>
      <c r="J17" s="16" t="n"/>
      <c r="K17" s="16" t="n"/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0" t="n"/>
      <c r="J18" s="16" t="n"/>
      <c r="K18" s="16" t="n"/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0" t="n"/>
      <c r="J19" s="16" t="n"/>
      <c r="K19" s="16" t="n"/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0" t="n"/>
      <c r="J20" s="16" t="n"/>
      <c r="K20" s="16" t="n"/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0" t="n"/>
      <c r="J21" s="16" t="n"/>
      <c r="K21" s="16" t="n"/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0" t="n"/>
      <c r="J22" s="16" t="n"/>
      <c r="K22" s="16" t="n"/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0" t="n"/>
      <c r="J23" s="16" t="n"/>
      <c r="K23" s="16" t="n"/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0" t="n"/>
      <c r="J24" s="16" t="n"/>
      <c r="K24" s="16" t="n"/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0" t="n"/>
      <c r="J25" s="16" t="n"/>
      <c r="K25" s="16" t="n"/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0" t="n"/>
      <c r="J26" s="16" t="n"/>
      <c r="K26" s="16" t="n"/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0" t="n"/>
      <c r="J27" s="16" t="n"/>
      <c r="K27" s="16" t="n"/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0" t="n"/>
      <c r="J28" s="16" t="n"/>
      <c r="K28" s="16" t="n"/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0" t="n"/>
      <c r="J29" s="16" t="n"/>
      <c r="K29" s="16" t="n"/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0" t="n"/>
      <c r="J30" s="16" t="n"/>
      <c r="K30" s="16" t="n"/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0" t="n"/>
      <c r="J31" s="16" t="n"/>
      <c r="K31" s="16" t="n"/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0" t="n"/>
      <c r="J32" s="16" t="n"/>
      <c r="K32" s="16" t="n"/>
    </row>
    <row r="33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0" t="n"/>
      <c r="J33" s="16" t="n"/>
      <c r="K33" s="16" t="n"/>
    </row>
    <row r="34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0" t="n"/>
      <c r="J34" s="16" t="n"/>
      <c r="K34" s="16" t="n"/>
    </row>
    <row r="35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0" t="n"/>
      <c r="J35" s="16" t="n"/>
      <c r="K35" s="16" t="n"/>
    </row>
    <row r="36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0" t="n"/>
      <c r="J36" s="16" t="n"/>
      <c r="K36" s="16" t="n"/>
    </row>
    <row r="37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0" t="n"/>
      <c r="J37" s="16" t="n"/>
      <c r="K37" s="16" t="n"/>
    </row>
    <row r="38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0" t="n"/>
      <c r="J38" s="16" t="n"/>
      <c r="K38" s="16" t="n"/>
    </row>
    <row r="39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0" t="n"/>
      <c r="J39" s="16" t="n"/>
      <c r="K39" s="16" t="n"/>
    </row>
    <row r="40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0" t="n"/>
      <c r="J40" s="16" t="n"/>
      <c r="K40" s="16" t="n"/>
    </row>
    <row r="4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0" t="n"/>
      <c r="J41" s="16" t="n"/>
      <c r="K41" s="16" t="n"/>
    </row>
    <row r="42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0" t="n"/>
      <c r="J42" s="16" t="n"/>
      <c r="K42" s="16" t="n"/>
    </row>
    <row r="43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0" t="n"/>
      <c r="J43" s="16" t="n"/>
      <c r="K43" s="16" t="n"/>
    </row>
    <row r="44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0" t="n"/>
      <c r="J44" s="16" t="n"/>
      <c r="K44" s="16" t="n"/>
    </row>
    <row r="45">
      <c r="A45" s="16" t="n"/>
      <c r="B45" s="17" t="n"/>
      <c r="C45" s="17" t="n"/>
      <c r="D45" s="17" t="n"/>
      <c r="E45" s="17" t="n"/>
      <c r="F45" s="17" t="n"/>
      <c r="G45" s="17" t="n"/>
      <c r="H45" s="17" t="n"/>
      <c r="I45" s="10" t="n"/>
      <c r="J45" s="16" t="n"/>
      <c r="K45" s="16" t="n"/>
    </row>
    <row r="46">
      <c r="A46" s="16" t="n"/>
      <c r="B46" s="17" t="n"/>
      <c r="C46" s="17" t="n"/>
      <c r="D46" s="17" t="n"/>
      <c r="E46" s="17" t="n"/>
      <c r="F46" s="17" t="n"/>
      <c r="G46" s="17" t="n"/>
      <c r="H46" s="17" t="n"/>
      <c r="I46" s="10" t="n"/>
      <c r="J46" s="16" t="n"/>
      <c r="K46" s="16" t="n"/>
    </row>
    <row r="47">
      <c r="A47" s="16" t="n"/>
      <c r="B47" s="17" t="n"/>
      <c r="C47" s="17" t="n"/>
      <c r="D47" s="17" t="n"/>
      <c r="E47" s="17" t="n"/>
      <c r="F47" s="17" t="n"/>
      <c r="G47" s="17" t="n"/>
      <c r="H47" s="17" t="n"/>
      <c r="I47" s="10" t="n"/>
      <c r="J47" s="16" t="n"/>
      <c r="K47" s="16" t="n"/>
    </row>
    <row r="48">
      <c r="A48" s="16" t="n"/>
      <c r="B48" s="17" t="n"/>
      <c r="C48" s="17" t="n"/>
      <c r="D48" s="17" t="n"/>
      <c r="E48" s="17" t="n"/>
      <c r="F48" s="17" t="n"/>
      <c r="G48" s="17" t="n"/>
      <c r="H48" s="17" t="n"/>
      <c r="I48" s="10" t="n"/>
      <c r="J48" s="16" t="n"/>
      <c r="K48" s="16" t="n"/>
    </row>
    <row r="49">
      <c r="A49" s="16" t="n"/>
      <c r="B49" s="17" t="n"/>
      <c r="C49" s="17" t="n"/>
      <c r="D49" s="17" t="n"/>
      <c r="E49" s="17" t="n"/>
      <c r="F49" s="17" t="n"/>
      <c r="G49" s="17" t="n"/>
      <c r="H49" s="17" t="n"/>
      <c r="I49" s="10" t="n"/>
      <c r="J49" s="16" t="n"/>
      <c r="K49" s="16" t="n"/>
    </row>
    <row r="50">
      <c r="A50" s="16" t="n"/>
      <c r="B50" s="17" t="n"/>
      <c r="C50" s="17" t="n"/>
      <c r="D50" s="17" t="n"/>
      <c r="E50" s="17" t="n"/>
      <c r="F50" s="17" t="n"/>
      <c r="G50" s="17" t="n"/>
      <c r="H50" s="17" t="n"/>
      <c r="I50" s="10" t="n"/>
      <c r="J50" s="16" t="n"/>
      <c r="K50" s="16" t="n"/>
    </row>
    <row r="51">
      <c r="A51" s="16" t="n"/>
      <c r="B51" s="17" t="n"/>
      <c r="C51" s="17" t="n"/>
      <c r="D51" s="17" t="n"/>
      <c r="E51" s="17" t="n"/>
      <c r="F51" s="17" t="n"/>
      <c r="G51" s="17" t="n"/>
      <c r="H51" s="17" t="n"/>
      <c r="I51" s="10" t="n"/>
      <c r="J51" s="16" t="n"/>
      <c r="K51" s="16" t="n"/>
    </row>
    <row r="52">
      <c r="A52" s="16" t="n"/>
      <c r="B52" s="17" t="n"/>
      <c r="C52" s="17" t="n"/>
      <c r="D52" s="17" t="n"/>
      <c r="E52" s="17" t="n"/>
      <c r="F52" s="17" t="n"/>
      <c r="G52" s="17" t="n"/>
      <c r="H52" s="17" t="n"/>
      <c r="I52" s="10" t="n"/>
      <c r="J52" s="16" t="n"/>
      <c r="K52" s="16" t="n"/>
    </row>
    <row r="53">
      <c r="A53" s="16" t="n"/>
      <c r="B53" s="17" t="n"/>
      <c r="C53" s="17" t="n"/>
      <c r="D53" s="17" t="n"/>
      <c r="E53" s="17" t="n"/>
      <c r="F53" s="17" t="n"/>
      <c r="G53" s="17" t="n"/>
      <c r="H53" s="17" t="n"/>
      <c r="I53" s="10" t="n"/>
      <c r="J53" s="16" t="n"/>
      <c r="K53" s="16" t="n"/>
    </row>
    <row r="54">
      <c r="A54" s="16" t="n"/>
      <c r="B54" s="17" t="n"/>
      <c r="C54" s="17" t="n"/>
      <c r="D54" s="17" t="n"/>
      <c r="E54" s="17" t="n"/>
      <c r="F54" s="17" t="n"/>
      <c r="G54" s="17" t="n"/>
      <c r="H54" s="17" t="n"/>
      <c r="I54" s="10" t="n"/>
      <c r="J54" s="16" t="n"/>
      <c r="K54" s="16" t="n"/>
    </row>
    <row r="55">
      <c r="A55" s="16" t="n"/>
      <c r="B55" s="17" t="n"/>
      <c r="C55" s="17" t="n"/>
      <c r="D55" s="17" t="n"/>
      <c r="E55" s="17" t="n"/>
      <c r="F55" s="17" t="n"/>
      <c r="G55" s="17" t="n"/>
      <c r="H55" s="17" t="n"/>
      <c r="I55" s="10" t="n"/>
      <c r="J55" s="16" t="n"/>
      <c r="K55" s="16" t="n"/>
    </row>
    <row r="56">
      <c r="A56" s="16" t="n"/>
      <c r="B56" s="17" t="n"/>
      <c r="C56" s="17" t="n"/>
      <c r="D56" s="17" t="n"/>
      <c r="E56" s="17" t="n"/>
      <c r="F56" s="17" t="n"/>
      <c r="G56" s="17" t="n"/>
      <c r="H56" s="17" t="n"/>
      <c r="I56" s="10" t="n"/>
      <c r="J56" s="16" t="n"/>
      <c r="K56" s="16" t="n"/>
    </row>
    <row r="57">
      <c r="A57" s="16" t="n"/>
      <c r="B57" s="17" t="n"/>
      <c r="C57" s="17" t="n"/>
      <c r="D57" s="17" t="n"/>
      <c r="E57" s="17" t="n"/>
      <c r="F57" s="17" t="n"/>
      <c r="G57" s="17" t="n"/>
      <c r="H57" s="17" t="n"/>
      <c r="I57" s="10" t="n"/>
      <c r="J57" s="16" t="n"/>
      <c r="K57" s="16" t="n"/>
    </row>
    <row r="58">
      <c r="A58" s="16" t="n"/>
      <c r="B58" s="17" t="n"/>
      <c r="C58" s="17" t="n"/>
      <c r="D58" s="17" t="n"/>
      <c r="E58" s="17" t="n"/>
      <c r="F58" s="17" t="n"/>
      <c r="G58" s="17" t="n"/>
      <c r="H58" s="17" t="n"/>
      <c r="I58" s="10" t="n"/>
      <c r="J58" s="16" t="n"/>
      <c r="K58" s="16" t="n"/>
    </row>
    <row r="59">
      <c r="A59" s="16" t="n"/>
      <c r="B59" s="17" t="n"/>
      <c r="C59" s="17" t="n"/>
      <c r="D59" s="17" t="n"/>
      <c r="E59" s="17" t="n"/>
      <c r="F59" s="17" t="n"/>
      <c r="G59" s="17" t="n"/>
      <c r="H59" s="17" t="n"/>
      <c r="I59" s="10" t="n"/>
      <c r="J59" s="16" t="n"/>
      <c r="K59" s="16" t="n"/>
    </row>
    <row r="60">
      <c r="A60" s="16" t="n"/>
      <c r="B60" s="17" t="n"/>
      <c r="C60" s="17" t="n"/>
      <c r="D60" s="17" t="n"/>
      <c r="E60" s="17" t="n"/>
      <c r="F60" s="17" t="n"/>
      <c r="G60" s="17" t="n"/>
      <c r="H60" s="17" t="n"/>
      <c r="I60" s="10" t="n"/>
      <c r="J60" s="16" t="n"/>
      <c r="K60" s="16" t="n"/>
    </row>
    <row r="61">
      <c r="A61" s="16" t="n"/>
      <c r="B61" s="17" t="n"/>
      <c r="C61" s="17" t="n"/>
      <c r="D61" s="17" t="n"/>
      <c r="E61" s="17" t="n"/>
      <c r="F61" s="17" t="n"/>
      <c r="G61" s="17" t="n"/>
      <c r="H61" s="17" t="n"/>
      <c r="I61" s="10" t="n"/>
      <c r="J61" s="16" t="n"/>
      <c r="K61" s="16" t="n"/>
    </row>
    <row r="62">
      <c r="A62" s="16" t="n"/>
      <c r="B62" s="17" t="n"/>
      <c r="C62" s="17" t="n"/>
      <c r="D62" s="17" t="n"/>
      <c r="E62" s="17" t="n"/>
      <c r="F62" s="17" t="n"/>
      <c r="G62" s="17" t="n"/>
      <c r="H62" s="17" t="n"/>
      <c r="I62" s="10" t="n"/>
      <c r="J62" s="16" t="n"/>
      <c r="K62" s="16" t="n"/>
    </row>
    <row r="63">
      <c r="A63" s="16" t="n"/>
      <c r="B63" s="17" t="n"/>
      <c r="C63" s="17" t="n"/>
      <c r="D63" s="17" t="n"/>
      <c r="E63" s="17" t="n"/>
      <c r="F63" s="17" t="n"/>
      <c r="G63" s="17" t="n"/>
      <c r="H63" s="17" t="n"/>
      <c r="I63" s="10" t="n"/>
      <c r="J63" s="16" t="n"/>
      <c r="K63" s="16" t="n"/>
    </row>
    <row r="64">
      <c r="A64" s="16" t="n"/>
      <c r="B64" s="17" t="n"/>
      <c r="C64" s="17" t="n"/>
      <c r="D64" s="17" t="n"/>
      <c r="E64" s="17" t="n"/>
      <c r="F64" s="17" t="n"/>
      <c r="G64" s="17" t="n"/>
      <c r="H64" s="17" t="n"/>
      <c r="I64" s="10" t="n"/>
      <c r="J64" s="16" t="n"/>
      <c r="K64" s="16" t="n"/>
    </row>
    <row r="65">
      <c r="A65" s="16" t="n"/>
      <c r="B65" s="17" t="n"/>
      <c r="C65" s="17" t="n"/>
      <c r="D65" s="17" t="n"/>
      <c r="E65" s="17" t="n"/>
      <c r="F65" s="17" t="n"/>
      <c r="G65" s="17" t="n"/>
      <c r="H65" s="17" t="n"/>
      <c r="I65" s="10" t="n"/>
      <c r="J65" s="16" t="n"/>
      <c r="K65" s="16" t="n"/>
    </row>
    <row r="66">
      <c r="A66" s="16" t="n"/>
      <c r="B66" s="17" t="n"/>
      <c r="C66" s="17" t="n"/>
      <c r="D66" s="17" t="n"/>
      <c r="E66" s="17" t="n"/>
      <c r="F66" s="17" t="n"/>
      <c r="G66" s="17" t="n"/>
      <c r="H66" s="17" t="n"/>
      <c r="I66" s="10" t="n"/>
      <c r="J66" s="16" t="n"/>
      <c r="K66" s="16" t="n"/>
    </row>
    <row r="67">
      <c r="A67" s="16" t="n"/>
      <c r="B67" s="17" t="n"/>
      <c r="C67" s="17" t="n"/>
      <c r="D67" s="17" t="n"/>
      <c r="E67" s="17" t="n"/>
      <c r="F67" s="17" t="n"/>
      <c r="G67" s="17" t="n"/>
      <c r="H67" s="17" t="n"/>
      <c r="I67" s="10" t="n"/>
      <c r="J67" s="16" t="n"/>
      <c r="K67" s="16" t="n"/>
    </row>
    <row r="68">
      <c r="A68" s="16" t="n"/>
      <c r="B68" s="17" t="n"/>
      <c r="C68" s="17" t="n"/>
      <c r="D68" s="17" t="n"/>
      <c r="E68" s="17" t="n"/>
      <c r="F68" s="17" t="n"/>
      <c r="G68" s="17" t="n"/>
      <c r="H68" s="17" t="n"/>
      <c r="I68" s="10" t="n"/>
      <c r="J68" s="16" t="n"/>
      <c r="K68" s="16" t="n"/>
    </row>
    <row r="69">
      <c r="A69" s="16" t="n"/>
      <c r="B69" s="17" t="n"/>
      <c r="C69" s="17" t="n"/>
      <c r="D69" s="17" t="n"/>
      <c r="E69" s="17" t="n"/>
      <c r="F69" s="17" t="n"/>
      <c r="G69" s="17" t="n"/>
      <c r="H69" s="17" t="n"/>
      <c r="I69" s="10" t="n"/>
      <c r="J69" s="16" t="n"/>
      <c r="K69" s="16" t="n"/>
    </row>
    <row r="70">
      <c r="A70" s="16" t="n"/>
      <c r="B70" s="17" t="n"/>
      <c r="C70" s="17" t="n"/>
      <c r="D70" s="17" t="n"/>
      <c r="E70" s="17" t="n"/>
      <c r="F70" s="17" t="n"/>
      <c r="G70" s="17" t="n"/>
      <c r="H70" s="17" t="n"/>
      <c r="I70" s="10" t="n"/>
      <c r="J70" s="16" t="n"/>
      <c r="K70" s="16" t="n"/>
    </row>
    <row r="71">
      <c r="A71" s="16" t="n"/>
      <c r="B71" s="17" t="n"/>
      <c r="C71" s="17" t="n"/>
      <c r="D71" s="17" t="n"/>
      <c r="E71" s="17" t="n"/>
      <c r="F71" s="17" t="n"/>
      <c r="G71" s="17" t="n"/>
      <c r="H71" s="17" t="n"/>
      <c r="I71" s="10" t="n"/>
      <c r="J71" s="16" t="n"/>
      <c r="K71" s="16" t="n"/>
    </row>
    <row r="72">
      <c r="A72" s="16" t="n"/>
      <c r="B72" s="17" t="n"/>
      <c r="C72" s="17" t="n"/>
      <c r="D72" s="17" t="n"/>
      <c r="E72" s="17" t="n"/>
      <c r="F72" s="17" t="n"/>
      <c r="G72" s="17" t="n"/>
      <c r="H72" s="17" t="n"/>
      <c r="I72" s="10" t="n"/>
      <c r="J72" s="16" t="n"/>
      <c r="K72" s="16" t="n"/>
    </row>
    <row r="73">
      <c r="A73" s="16" t="n"/>
      <c r="B73" s="17" t="n"/>
      <c r="C73" s="17" t="n"/>
      <c r="D73" s="17" t="n"/>
      <c r="E73" s="17" t="n"/>
      <c r="F73" s="17" t="n"/>
      <c r="G73" s="17" t="n"/>
      <c r="H73" s="17" t="n"/>
      <c r="I73" s="10" t="n"/>
      <c r="J73" s="16" t="n"/>
      <c r="K73" s="16" t="n"/>
    </row>
    <row r="74">
      <c r="A74" s="16" t="n"/>
      <c r="B74" s="17" t="n"/>
      <c r="C74" s="17" t="n"/>
      <c r="D74" s="17" t="n"/>
      <c r="E74" s="17" t="n"/>
      <c r="F74" s="17" t="n"/>
      <c r="G74" s="17" t="n"/>
      <c r="H74" s="17" t="n"/>
      <c r="I74" s="10" t="n"/>
      <c r="J74" s="16" t="n"/>
      <c r="K74" s="16" t="n"/>
    </row>
    <row r="75">
      <c r="A75" s="16" t="n"/>
      <c r="B75" s="17" t="n"/>
      <c r="C75" s="17" t="n"/>
      <c r="D75" s="17" t="n"/>
      <c r="E75" s="17" t="n"/>
      <c r="F75" s="17" t="n"/>
      <c r="G75" s="17" t="n"/>
      <c r="H75" s="17" t="n"/>
      <c r="I75" s="10" t="n"/>
      <c r="J75" s="16" t="n"/>
      <c r="K75" s="16" t="n"/>
    </row>
    <row r="76">
      <c r="A76" s="16" t="n"/>
      <c r="B76" s="17" t="n"/>
      <c r="C76" s="17" t="n"/>
      <c r="D76" s="17" t="n"/>
      <c r="E76" s="17" t="n"/>
      <c r="F76" s="17" t="n"/>
      <c r="G76" s="17" t="n"/>
      <c r="H76" s="17" t="n"/>
      <c r="I76" s="10" t="n"/>
      <c r="J76" s="16" t="n"/>
      <c r="K76" s="16" t="n"/>
    </row>
    <row r="77">
      <c r="A77" s="16" t="n"/>
      <c r="B77" s="17" t="n"/>
      <c r="C77" s="17" t="n"/>
      <c r="D77" s="17" t="n"/>
      <c r="E77" s="17" t="n"/>
      <c r="F77" s="17" t="n"/>
      <c r="G77" s="17" t="n"/>
      <c r="H77" s="17" t="n"/>
      <c r="I77" s="10" t="n"/>
      <c r="J77" s="16" t="n"/>
      <c r="K77" s="16" t="n"/>
    </row>
    <row r="78">
      <c r="A78" s="16" t="n"/>
      <c r="B78" s="17" t="n"/>
      <c r="C78" s="17" t="n"/>
      <c r="D78" s="17" t="n"/>
      <c r="E78" s="17" t="n"/>
      <c r="F78" s="17" t="n"/>
      <c r="G78" s="17" t="n"/>
      <c r="H78" s="17" t="n"/>
      <c r="I78" s="10" t="n"/>
      <c r="J78" s="16" t="n"/>
      <c r="K78" s="16" t="n"/>
    </row>
    <row r="79">
      <c r="A79" s="16" t="n"/>
      <c r="B79" s="17" t="n"/>
      <c r="C79" s="17" t="n"/>
      <c r="D79" s="17" t="n"/>
      <c r="E79" s="17" t="n"/>
      <c r="F79" s="17" t="n"/>
      <c r="G79" s="17" t="n"/>
      <c r="H79" s="17" t="n"/>
      <c r="I79" s="10" t="n"/>
      <c r="J79" s="16" t="n"/>
      <c r="K79" s="16" t="n"/>
    </row>
    <row r="80">
      <c r="A80" s="16" t="n"/>
      <c r="B80" s="17" t="n"/>
      <c r="C80" s="17" t="n"/>
      <c r="D80" s="17" t="n"/>
      <c r="E80" s="17" t="n"/>
      <c r="F80" s="17" t="n"/>
      <c r="G80" s="17" t="n"/>
      <c r="H80" s="17" t="n"/>
      <c r="I80" s="10" t="n"/>
      <c r="J80" s="16" t="n"/>
      <c r="K80" s="16" t="n"/>
    </row>
    <row r="81">
      <c r="A81" s="16" t="n"/>
      <c r="B81" s="17" t="n"/>
      <c r="C81" s="17" t="n"/>
      <c r="D81" s="17" t="n"/>
      <c r="E81" s="17" t="n"/>
      <c r="F81" s="17" t="n"/>
      <c r="G81" s="17" t="n"/>
      <c r="H81" s="17" t="n"/>
      <c r="I81" s="10" t="n"/>
      <c r="J81" s="16" t="n"/>
      <c r="K81" s="16" t="n"/>
    </row>
    <row r="82">
      <c r="A82" s="16" t="n"/>
      <c r="B82" s="17" t="n"/>
      <c r="C82" s="17" t="n"/>
      <c r="D82" s="17" t="n"/>
      <c r="E82" s="17" t="n"/>
      <c r="F82" s="17" t="n"/>
      <c r="G82" s="17" t="n"/>
      <c r="H82" s="17" t="n"/>
      <c r="I82" s="10" t="n"/>
      <c r="J82" s="16" t="n"/>
      <c r="K82" s="16" t="n"/>
    </row>
    <row r="83">
      <c r="A83" s="16" t="n"/>
      <c r="B83" s="17" t="n"/>
      <c r="C83" s="17" t="n"/>
      <c r="D83" s="17" t="n"/>
      <c r="E83" s="17" t="n"/>
      <c r="F83" s="17" t="n"/>
      <c r="G83" s="17" t="n"/>
      <c r="H83" s="17" t="n"/>
      <c r="I83" s="10" t="n"/>
      <c r="J83" s="16" t="n"/>
      <c r="K83" s="16" t="n"/>
    </row>
    <row r="84">
      <c r="A84" s="16" t="n"/>
      <c r="B84" s="17" t="n"/>
      <c r="C84" s="17" t="n"/>
      <c r="D84" s="17" t="n"/>
      <c r="E84" s="17" t="n"/>
      <c r="F84" s="17" t="n"/>
      <c r="G84" s="17" t="n"/>
      <c r="H84" s="17" t="n"/>
      <c r="I84" s="10" t="n"/>
      <c r="J84" s="16" t="n"/>
      <c r="K84" s="16" t="n"/>
    </row>
    <row r="85">
      <c r="A85" s="16" t="n"/>
      <c r="B85" s="17" t="n"/>
      <c r="C85" s="17" t="n"/>
      <c r="D85" s="17" t="n"/>
      <c r="E85" s="17" t="n"/>
      <c r="F85" s="17" t="n"/>
      <c r="G85" s="17" t="n"/>
      <c r="H85" s="17" t="n"/>
      <c r="I85" s="10" t="n"/>
      <c r="J85" s="16" t="n"/>
      <c r="K85" s="16" t="n"/>
    </row>
    <row r="86">
      <c r="A86" s="16" t="n"/>
      <c r="B86" s="17" t="n"/>
      <c r="C86" s="17" t="n"/>
      <c r="D86" s="17" t="n"/>
      <c r="E86" s="17" t="n"/>
      <c r="F86" s="17" t="n"/>
      <c r="G86" s="17" t="n"/>
      <c r="H86" s="17" t="n"/>
      <c r="I86" s="10" t="n"/>
      <c r="J86" s="16" t="n"/>
      <c r="K86" s="16" t="n"/>
    </row>
    <row r="87">
      <c r="A87" s="16" t="n"/>
      <c r="B87" s="17" t="n"/>
      <c r="C87" s="17" t="n"/>
      <c r="D87" s="17" t="n"/>
      <c r="E87" s="17" t="n"/>
      <c r="F87" s="17" t="n"/>
      <c r="G87" s="17" t="n"/>
      <c r="H87" s="17" t="n"/>
      <c r="I87" s="10" t="n"/>
      <c r="J87" s="16" t="n"/>
      <c r="K87" s="16" t="n"/>
    </row>
    <row r="88">
      <c r="A88" s="16" t="n"/>
      <c r="B88" s="17" t="n"/>
      <c r="C88" s="17" t="n"/>
      <c r="D88" s="17" t="n"/>
      <c r="E88" s="17" t="n"/>
      <c r="F88" s="17" t="n"/>
      <c r="G88" s="17" t="n"/>
      <c r="H88" s="17" t="n"/>
      <c r="I88" s="10" t="n"/>
      <c r="J88" s="16" t="n"/>
      <c r="K88" s="16" t="n"/>
    </row>
    <row r="89">
      <c r="A89" s="16" t="n"/>
      <c r="B89" s="17" t="n"/>
      <c r="C89" s="17" t="n"/>
      <c r="D89" s="17" t="n"/>
      <c r="E89" s="17" t="n"/>
      <c r="F89" s="17" t="n"/>
      <c r="G89" s="17" t="n"/>
      <c r="H89" s="17" t="n"/>
      <c r="I89" s="10" t="n"/>
      <c r="J89" s="16" t="n"/>
      <c r="K89" s="16" t="n"/>
    </row>
    <row r="90">
      <c r="A90" s="16" t="n"/>
      <c r="B90" s="17" t="n"/>
      <c r="C90" s="17" t="n"/>
      <c r="D90" s="17" t="n"/>
      <c r="E90" s="17" t="n"/>
      <c r="F90" s="17" t="n"/>
      <c r="G90" s="17" t="n"/>
      <c r="H90" s="17" t="n"/>
      <c r="I90" s="10" t="n"/>
      <c r="J90" s="16" t="n"/>
      <c r="K90" s="16" t="n"/>
    </row>
    <row r="91">
      <c r="A91" s="16" t="n"/>
      <c r="B91" s="17" t="n"/>
      <c r="C91" s="17" t="n"/>
      <c r="D91" s="17" t="n"/>
      <c r="E91" s="17" t="n"/>
      <c r="F91" s="17" t="n"/>
      <c r="G91" s="17" t="n"/>
      <c r="H91" s="17" t="n"/>
      <c r="I91" s="10" t="n"/>
      <c r="J91" s="16" t="n"/>
      <c r="K91" s="16" t="n"/>
    </row>
    <row r="92">
      <c r="A92" s="16" t="n"/>
      <c r="B92" s="17" t="n"/>
      <c r="C92" s="17" t="n"/>
      <c r="D92" s="17" t="n"/>
      <c r="E92" s="17" t="n"/>
      <c r="F92" s="17" t="n"/>
      <c r="G92" s="17" t="n"/>
      <c r="H92" s="17" t="n"/>
      <c r="I92" s="10" t="n"/>
      <c r="J92" s="16" t="n"/>
      <c r="K92" s="16" t="n"/>
    </row>
    <row r="93">
      <c r="A93" s="16" t="n"/>
      <c r="B93" s="17" t="n"/>
      <c r="C93" s="17" t="n"/>
      <c r="D93" s="17" t="n"/>
      <c r="E93" s="17" t="n"/>
      <c r="F93" s="17" t="n"/>
      <c r="G93" s="17" t="n"/>
      <c r="H93" s="17" t="n"/>
      <c r="I93" s="10" t="n"/>
      <c r="J93" s="16" t="n"/>
      <c r="K93" s="16" t="n"/>
    </row>
    <row r="94">
      <c r="A94" s="16" t="n"/>
      <c r="B94" s="17" t="n"/>
      <c r="C94" s="17" t="n"/>
      <c r="D94" s="17" t="n"/>
      <c r="E94" s="17" t="n"/>
      <c r="F94" s="17" t="n"/>
      <c r="G94" s="17" t="n"/>
      <c r="H94" s="17" t="n"/>
      <c r="I94" s="10" t="n"/>
      <c r="J94" s="16" t="n"/>
      <c r="K94" s="16" t="n"/>
    </row>
    <row r="95">
      <c r="A95" s="16" t="n"/>
      <c r="B95" s="17" t="n"/>
      <c r="C95" s="17" t="n"/>
      <c r="D95" s="17" t="n"/>
      <c r="E95" s="17" t="n"/>
      <c r="F95" s="17" t="n"/>
      <c r="G95" s="17" t="n"/>
      <c r="H95" s="17" t="n"/>
      <c r="I95" s="10" t="n"/>
      <c r="J95" s="16" t="n"/>
      <c r="K95" s="16" t="n"/>
    </row>
    <row r="96">
      <c r="A96" s="16" t="n"/>
      <c r="B96" s="17" t="n"/>
      <c r="C96" s="17" t="n"/>
      <c r="D96" s="17" t="n"/>
      <c r="E96" s="17" t="n"/>
      <c r="F96" s="17" t="n"/>
      <c r="G96" s="17" t="n"/>
      <c r="H96" s="17" t="n"/>
      <c r="I96" s="10" t="n"/>
      <c r="J96" s="16" t="n"/>
      <c r="K96" s="16" t="n"/>
    </row>
    <row r="97">
      <c r="A97" s="16" t="n"/>
      <c r="B97" s="17" t="n"/>
      <c r="C97" s="17" t="n"/>
      <c r="D97" s="17" t="n"/>
      <c r="E97" s="17" t="n"/>
      <c r="F97" s="17" t="n"/>
      <c r="G97" s="17" t="n"/>
      <c r="H97" s="17" t="n"/>
      <c r="I97" s="10" t="n"/>
      <c r="J97" s="16" t="n"/>
      <c r="K97" s="16" t="n"/>
    </row>
    <row r="98">
      <c r="A98" s="16" t="n"/>
      <c r="B98" s="17" t="n"/>
      <c r="C98" s="17" t="n"/>
      <c r="D98" s="17" t="n"/>
      <c r="E98" s="17" t="n"/>
      <c r="F98" s="17" t="n"/>
      <c r="G98" s="17" t="n"/>
      <c r="H98" s="17" t="n"/>
      <c r="I98" s="10" t="n"/>
      <c r="J98" s="16" t="n"/>
      <c r="K98" s="16" t="n"/>
    </row>
    <row r="99">
      <c r="A99" s="16" t="n"/>
      <c r="B99" s="17" t="n"/>
      <c r="C99" s="17" t="n"/>
      <c r="D99" s="17" t="n"/>
      <c r="E99" s="17" t="n"/>
      <c r="F99" s="17" t="n"/>
      <c r="G99" s="17" t="n"/>
      <c r="H99" s="17" t="n"/>
      <c r="I99" s="10" t="n"/>
      <c r="J99" s="16" t="n"/>
      <c r="K99" s="16" t="n"/>
    </row>
    <row r="100">
      <c r="A100" s="16" t="n"/>
      <c r="B100" s="17" t="n"/>
      <c r="C100" s="17" t="n"/>
      <c r="D100" s="17" t="n"/>
      <c r="E100" s="17" t="n"/>
      <c r="F100" s="17" t="n"/>
      <c r="G100" s="17" t="n"/>
      <c r="H100" s="17" t="n"/>
      <c r="I100" s="10" t="n"/>
      <c r="J100" s="16" t="n"/>
      <c r="K100" s="16" t="n"/>
    </row>
    <row r="101">
      <c r="A101" s="16" t="n"/>
      <c r="B101" s="17" t="n"/>
      <c r="C101" s="17" t="n"/>
      <c r="D101" s="17" t="n"/>
      <c r="E101" s="17" t="n"/>
      <c r="F101" s="17" t="n"/>
      <c r="G101" s="17" t="n"/>
      <c r="H101" s="17" t="n"/>
      <c r="I101" s="10" t="n"/>
      <c r="J101" s="16" t="n"/>
      <c r="K101" s="16" t="n"/>
    </row>
    <row r="102">
      <c r="A102" s="16" t="n"/>
      <c r="B102" s="17" t="n"/>
      <c r="C102" s="17" t="n"/>
      <c r="D102" s="17" t="n"/>
      <c r="E102" s="17" t="n"/>
      <c r="F102" s="17" t="n"/>
      <c r="G102" s="17" t="n"/>
      <c r="H102" s="17" t="n"/>
      <c r="I102" s="10" t="n"/>
      <c r="J102" s="16" t="n"/>
      <c r="K102" s="16" t="n"/>
    </row>
    <row r="103">
      <c r="A103" s="16" t="n"/>
      <c r="B103" s="17" t="n"/>
      <c r="C103" s="17" t="n"/>
      <c r="D103" s="17" t="n"/>
      <c r="E103" s="17" t="n"/>
      <c r="F103" s="17" t="n"/>
      <c r="G103" s="17" t="n"/>
      <c r="H103" s="17" t="n"/>
      <c r="I103" s="10" t="n"/>
      <c r="J103" s="16" t="n"/>
      <c r="K103" s="16" t="n"/>
    </row>
    <row r="104">
      <c r="A104" s="16" t="n"/>
      <c r="B104" s="17" t="n"/>
      <c r="C104" s="17" t="n"/>
      <c r="D104" s="17" t="n"/>
      <c r="E104" s="17" t="n"/>
      <c r="F104" s="17" t="n"/>
      <c r="G104" s="17" t="n"/>
      <c r="H104" s="17" t="n"/>
      <c r="I104" s="10" t="n"/>
      <c r="J104" s="16" t="n"/>
      <c r="K104" s="16" t="n"/>
    </row>
    <row r="105">
      <c r="A105" s="16" t="n"/>
      <c r="B105" s="17" t="n"/>
      <c r="C105" s="17" t="n"/>
      <c r="D105" s="17" t="n"/>
      <c r="E105" s="17" t="n"/>
      <c r="F105" s="17" t="n"/>
      <c r="G105" s="17" t="n"/>
      <c r="H105" s="17" t="n"/>
      <c r="I105" s="10" t="n"/>
      <c r="J105" s="16" t="n"/>
      <c r="K105" s="16" t="n"/>
    </row>
    <row r="106">
      <c r="A106" s="16" t="n"/>
      <c r="B106" s="17" t="n"/>
      <c r="C106" s="17" t="n"/>
      <c r="D106" s="17" t="n"/>
      <c r="E106" s="17" t="n"/>
      <c r="F106" s="17" t="n"/>
      <c r="G106" s="17" t="n"/>
      <c r="H106" s="17" t="n"/>
      <c r="I106" s="10" t="n"/>
      <c r="J106" s="16" t="n"/>
      <c r="K106" s="16" t="n"/>
    </row>
    <row r="107">
      <c r="A107" s="16" t="n"/>
      <c r="B107" s="17" t="n"/>
      <c r="C107" s="17" t="n"/>
      <c r="D107" s="17" t="n"/>
      <c r="E107" s="17" t="n"/>
      <c r="F107" s="17" t="n"/>
      <c r="G107" s="17" t="n"/>
      <c r="H107" s="17" t="n"/>
      <c r="I107" s="10" t="n"/>
      <c r="J107" s="16" t="n"/>
      <c r="K107" s="16" t="n"/>
    </row>
    <row r="108">
      <c r="A108" s="16" t="n"/>
      <c r="B108" s="17" t="n"/>
      <c r="C108" s="17" t="n"/>
      <c r="D108" s="17" t="n"/>
      <c r="E108" s="17" t="n"/>
      <c r="F108" s="17" t="n"/>
      <c r="G108" s="17" t="n"/>
      <c r="H108" s="17" t="n"/>
      <c r="I108" s="10" t="n"/>
      <c r="J108" s="16" t="n"/>
      <c r="K108" s="16" t="n"/>
    </row>
    <row r="109">
      <c r="A109" s="16" t="n"/>
      <c r="B109" s="17" t="n"/>
      <c r="C109" s="17" t="n"/>
      <c r="D109" s="17" t="n"/>
      <c r="E109" s="17" t="n"/>
      <c r="F109" s="17" t="n"/>
      <c r="G109" s="17" t="n"/>
      <c r="H109" s="17" t="n"/>
      <c r="I109" s="10" t="n"/>
      <c r="J109" s="16" t="n"/>
      <c r="K109" s="16" t="n"/>
    </row>
    <row r="110">
      <c r="A110" s="16" t="n"/>
      <c r="B110" s="17" t="n"/>
      <c r="C110" s="17" t="n"/>
      <c r="D110" s="17" t="n"/>
      <c r="E110" s="17" t="n"/>
      <c r="F110" s="17" t="n"/>
      <c r="G110" s="17" t="n"/>
      <c r="H110" s="17" t="n"/>
      <c r="I110" s="10" t="n"/>
      <c r="J110" s="16" t="n"/>
      <c r="K110" s="16" t="n"/>
    </row>
    <row r="111">
      <c r="A111" s="16" t="n"/>
      <c r="B111" s="17" t="n"/>
      <c r="C111" s="17" t="n"/>
      <c r="D111" s="17" t="n"/>
      <c r="E111" s="17" t="n"/>
      <c r="F111" s="17" t="n"/>
      <c r="G111" s="17" t="n"/>
      <c r="H111" s="17" t="n"/>
      <c r="I111" s="10" t="n"/>
      <c r="J111" s="16" t="n"/>
      <c r="K111" s="16" t="n"/>
    </row>
    <row r="112">
      <c r="A112" s="16" t="n"/>
      <c r="B112" s="17" t="n"/>
      <c r="C112" s="17" t="n"/>
      <c r="D112" s="17" t="n"/>
      <c r="E112" s="17" t="n"/>
      <c r="F112" s="17" t="n"/>
      <c r="G112" s="17" t="n"/>
      <c r="H112" s="17" t="n"/>
      <c r="I112" s="10" t="n"/>
      <c r="J112" s="16" t="n"/>
      <c r="K112" s="16" t="n"/>
    </row>
    <row r="113">
      <c r="A113" s="16" t="n"/>
      <c r="B113" s="17" t="n"/>
      <c r="C113" s="17" t="n"/>
      <c r="D113" s="17" t="n"/>
      <c r="E113" s="17" t="n"/>
      <c r="F113" s="17" t="n"/>
      <c r="G113" s="17" t="n"/>
      <c r="H113" s="17" t="n"/>
      <c r="I113" s="10" t="n"/>
      <c r="J113" s="16" t="n"/>
      <c r="K113" s="16" t="n"/>
    </row>
    <row r="114">
      <c r="A114" s="16" t="n"/>
      <c r="B114" s="17" t="n"/>
      <c r="C114" s="17" t="n"/>
      <c r="D114" s="17" t="n"/>
      <c r="E114" s="17" t="n"/>
      <c r="F114" s="17" t="n"/>
      <c r="G114" s="17" t="n"/>
      <c r="H114" s="17" t="n"/>
      <c r="I114" s="10" t="n"/>
      <c r="J114" s="16" t="n"/>
      <c r="K114" s="16" t="n"/>
    </row>
    <row r="115">
      <c r="A115" s="16" t="n"/>
      <c r="B115" s="17" t="n"/>
      <c r="C115" s="17" t="n"/>
      <c r="D115" s="17" t="n"/>
      <c r="E115" s="17" t="n"/>
      <c r="F115" s="17" t="n"/>
      <c r="G115" s="17" t="n"/>
      <c r="H115" s="17" t="n"/>
      <c r="I115" s="10" t="n"/>
      <c r="J115" s="16" t="n"/>
      <c r="K115" s="16" t="n"/>
    </row>
    <row r="116">
      <c r="A116" s="16" t="n"/>
      <c r="B116" s="17" t="n"/>
      <c r="C116" s="17" t="n"/>
      <c r="D116" s="17" t="n"/>
      <c r="E116" s="17" t="n"/>
      <c r="F116" s="17" t="n"/>
      <c r="G116" s="17" t="n"/>
      <c r="H116" s="17" t="n"/>
      <c r="I116" s="10" t="n"/>
      <c r="J116" s="16" t="n"/>
      <c r="K116" s="16" t="n"/>
    </row>
    <row r="117">
      <c r="A117" s="16" t="n"/>
      <c r="B117" s="17" t="n"/>
      <c r="C117" s="17" t="n"/>
      <c r="D117" s="17" t="n"/>
      <c r="E117" s="17" t="n"/>
      <c r="F117" s="17" t="n"/>
      <c r="G117" s="17" t="n"/>
      <c r="H117" s="17" t="n"/>
      <c r="I117" s="10" t="n"/>
      <c r="J117" s="16" t="n"/>
      <c r="K117" s="16" t="n"/>
    </row>
    <row r="118">
      <c r="A118" s="16" t="n"/>
      <c r="B118" s="17" t="n"/>
      <c r="C118" s="17" t="n"/>
      <c r="D118" s="17" t="n"/>
      <c r="E118" s="17" t="n"/>
      <c r="F118" s="17" t="n"/>
      <c r="G118" s="17" t="n"/>
      <c r="H118" s="17" t="n"/>
      <c r="I118" s="10" t="n"/>
      <c r="J118" s="16" t="n"/>
      <c r="K118" s="16" t="n"/>
    </row>
    <row r="119">
      <c r="A119" s="16" t="n"/>
      <c r="B119" s="17" t="n"/>
      <c r="C119" s="17" t="n"/>
      <c r="D119" s="17" t="n"/>
      <c r="E119" s="17" t="n"/>
      <c r="F119" s="17" t="n"/>
      <c r="G119" s="17" t="n"/>
      <c r="H119" s="17" t="n"/>
      <c r="I119" s="10" t="n"/>
      <c r="J119" s="16" t="n"/>
      <c r="K119" s="16" t="n"/>
    </row>
    <row r="120">
      <c r="A120" s="16" t="n"/>
      <c r="B120" s="17" t="n"/>
      <c r="C120" s="17" t="n"/>
      <c r="D120" s="17" t="n"/>
      <c r="E120" s="17" t="n"/>
      <c r="F120" s="17" t="n"/>
      <c r="G120" s="17" t="n"/>
      <c r="H120" s="17" t="n"/>
      <c r="I120" s="10" t="n"/>
      <c r="J120" s="16" t="n"/>
      <c r="K120" s="16" t="n"/>
    </row>
    <row r="121">
      <c r="A121" s="16" t="n"/>
      <c r="B121" s="17" t="n"/>
      <c r="C121" s="17" t="n"/>
      <c r="D121" s="17" t="n"/>
      <c r="E121" s="17" t="n"/>
      <c r="F121" s="17" t="n"/>
      <c r="G121" s="17" t="n"/>
      <c r="H121" s="17" t="n"/>
      <c r="I121" s="10" t="n"/>
      <c r="J121" s="16" t="n"/>
      <c r="K121" s="16" t="n"/>
    </row>
    <row r="122">
      <c r="A122" s="16" t="n"/>
      <c r="B122" s="17" t="n"/>
      <c r="C122" s="17" t="n"/>
      <c r="D122" s="17" t="n"/>
      <c r="E122" s="17" t="n"/>
      <c r="F122" s="17" t="n"/>
      <c r="G122" s="17" t="n"/>
      <c r="H122" s="17" t="n"/>
      <c r="I122" s="10" t="n"/>
      <c r="J122" s="16" t="n"/>
      <c r="K122" s="16" t="n"/>
    </row>
    <row r="123">
      <c r="A123" s="16" t="n"/>
      <c r="B123" s="17" t="n"/>
      <c r="C123" s="17" t="n"/>
      <c r="D123" s="17" t="n"/>
      <c r="E123" s="17" t="n"/>
      <c r="F123" s="17" t="n"/>
      <c r="G123" s="17" t="n"/>
      <c r="H123" s="17" t="n"/>
      <c r="I123" s="10" t="n"/>
      <c r="J123" s="16" t="n"/>
      <c r="K123" s="16" t="n"/>
    </row>
    <row r="124">
      <c r="A124" s="16" t="n"/>
      <c r="B124" s="17" t="n"/>
      <c r="C124" s="17" t="n"/>
      <c r="D124" s="17" t="n"/>
      <c r="E124" s="17" t="n"/>
      <c r="F124" s="17" t="n"/>
      <c r="G124" s="17" t="n"/>
      <c r="H124" s="17" t="n"/>
      <c r="I124" s="10" t="n"/>
      <c r="J124" s="16" t="n"/>
      <c r="K124" s="16" t="n"/>
    </row>
    <row r="125">
      <c r="A125" s="16" t="n"/>
      <c r="B125" s="17" t="n"/>
      <c r="C125" s="17" t="n"/>
      <c r="D125" s="17" t="n"/>
      <c r="E125" s="17" t="n"/>
      <c r="F125" s="17" t="n"/>
      <c r="G125" s="17" t="n"/>
      <c r="H125" s="17" t="n"/>
      <c r="I125" s="10" t="n"/>
      <c r="J125" s="16" t="n"/>
      <c r="K125" s="16" t="n"/>
    </row>
    <row r="126">
      <c r="A126" s="16" t="n"/>
      <c r="B126" s="17" t="n"/>
      <c r="C126" s="17" t="n"/>
      <c r="D126" s="17" t="n"/>
      <c r="E126" s="17" t="n"/>
      <c r="F126" s="17" t="n"/>
      <c r="G126" s="17" t="n"/>
      <c r="H126" s="17" t="n"/>
      <c r="I126" s="10" t="n"/>
      <c r="J126" s="16" t="n"/>
      <c r="K126" s="16" t="n"/>
    </row>
    <row r="127">
      <c r="A127" s="16" t="n"/>
      <c r="B127" s="17" t="n"/>
      <c r="C127" s="17" t="n"/>
      <c r="D127" s="17" t="n"/>
      <c r="E127" s="17" t="n"/>
      <c r="F127" s="17" t="n"/>
      <c r="G127" s="17" t="n"/>
      <c r="H127" s="17" t="n"/>
      <c r="I127" s="10" t="n"/>
      <c r="J127" s="16" t="n"/>
      <c r="K127" s="16" t="n"/>
    </row>
    <row r="128">
      <c r="A128" s="16" t="n"/>
      <c r="B128" s="17" t="n"/>
      <c r="C128" s="17" t="n"/>
      <c r="D128" s="17" t="n"/>
      <c r="E128" s="17" t="n"/>
      <c r="F128" s="17" t="n"/>
      <c r="G128" s="17" t="n"/>
      <c r="H128" s="17" t="n"/>
      <c r="I128" s="10" t="n"/>
      <c r="J128" s="16" t="n"/>
      <c r="K128" s="16" t="n"/>
    </row>
    <row r="129">
      <c r="A129" s="16" t="n"/>
      <c r="B129" s="17" t="n"/>
      <c r="C129" s="17" t="n"/>
      <c r="D129" s="17" t="n"/>
      <c r="E129" s="17" t="n"/>
      <c r="F129" s="17" t="n"/>
      <c r="G129" s="17" t="n"/>
      <c r="H129" s="17" t="n"/>
      <c r="I129" s="10" t="n"/>
      <c r="J129" s="16" t="n"/>
      <c r="K129" s="16" t="n"/>
    </row>
    <row r="130">
      <c r="A130" s="16" t="n"/>
      <c r="B130" s="17" t="n"/>
      <c r="C130" s="17" t="n"/>
      <c r="D130" s="17" t="n"/>
      <c r="E130" s="17" t="n"/>
      <c r="F130" s="17" t="n"/>
      <c r="G130" s="17" t="n"/>
      <c r="H130" s="17" t="n"/>
      <c r="I130" s="10" t="n"/>
      <c r="J130" s="16" t="n"/>
      <c r="K130" s="16" t="n"/>
    </row>
    <row r="131">
      <c r="A131" s="16" t="n"/>
      <c r="B131" s="17" t="n"/>
      <c r="C131" s="17" t="n"/>
      <c r="D131" s="17" t="n"/>
      <c r="E131" s="17" t="n"/>
      <c r="F131" s="17" t="n"/>
      <c r="G131" s="17" t="n"/>
      <c r="H131" s="17" t="n"/>
      <c r="I131" s="10" t="n"/>
      <c r="J131" s="16" t="n"/>
      <c r="K131" s="16" t="n"/>
    </row>
    <row r="132">
      <c r="A132" s="16" t="n"/>
      <c r="B132" s="17" t="n"/>
      <c r="C132" s="17" t="n"/>
      <c r="D132" s="17" t="n"/>
      <c r="E132" s="17" t="n"/>
      <c r="F132" s="17" t="n"/>
      <c r="G132" s="17" t="n"/>
      <c r="H132" s="17" t="n"/>
      <c r="I132" s="10" t="n"/>
      <c r="J132" s="16" t="n"/>
      <c r="K132" s="16" t="n"/>
    </row>
    <row r="133">
      <c r="A133" s="16" t="n"/>
      <c r="B133" s="17" t="n"/>
      <c r="C133" s="17" t="n"/>
      <c r="D133" s="17" t="n"/>
      <c r="E133" s="17" t="n"/>
      <c r="F133" s="17" t="n"/>
      <c r="G133" s="17" t="n"/>
      <c r="H133" s="17" t="n"/>
      <c r="I133" s="10" t="n"/>
      <c r="J133" s="16" t="n"/>
      <c r="K133" s="16" t="n"/>
    </row>
    <row r="134">
      <c r="A134" s="16" t="n"/>
      <c r="B134" s="17" t="n"/>
      <c r="C134" s="17" t="n"/>
      <c r="D134" s="17" t="n"/>
      <c r="E134" s="17" t="n"/>
      <c r="F134" s="17" t="n"/>
      <c r="G134" s="17" t="n"/>
      <c r="H134" s="17" t="n"/>
      <c r="I134" s="10" t="n"/>
      <c r="J134" s="16" t="n"/>
      <c r="K134" s="16" t="n"/>
    </row>
    <row r="135">
      <c r="A135" s="16" t="n"/>
      <c r="B135" s="17" t="n"/>
      <c r="C135" s="17" t="n"/>
      <c r="D135" s="17" t="n"/>
      <c r="E135" s="17" t="n"/>
      <c r="F135" s="17" t="n"/>
      <c r="G135" s="17" t="n"/>
      <c r="H135" s="17" t="n"/>
      <c r="I135" s="10" t="n"/>
      <c r="J135" s="16" t="n"/>
      <c r="K135" s="16" t="n"/>
    </row>
    <row r="136">
      <c r="A136" s="16" t="n"/>
      <c r="B136" s="17" t="n"/>
      <c r="C136" s="17" t="n"/>
      <c r="D136" s="17" t="n"/>
      <c r="E136" s="17" t="n"/>
      <c r="F136" s="17" t="n"/>
      <c r="G136" s="17" t="n"/>
      <c r="H136" s="17" t="n"/>
      <c r="I136" s="10" t="n"/>
      <c r="J136" s="16" t="n"/>
      <c r="K136" s="16" t="n"/>
    </row>
    <row r="137">
      <c r="A137" s="16" t="n"/>
      <c r="B137" s="17" t="n"/>
      <c r="C137" s="17" t="n"/>
      <c r="D137" s="17" t="n"/>
      <c r="E137" s="17" t="n"/>
      <c r="F137" s="17" t="n"/>
      <c r="G137" s="17" t="n"/>
      <c r="H137" s="17" t="n"/>
      <c r="I137" s="10" t="n"/>
      <c r="J137" s="16" t="n"/>
      <c r="K137" s="16" t="n"/>
    </row>
    <row r="138">
      <c r="A138" s="16" t="n"/>
      <c r="B138" s="17" t="n"/>
      <c r="C138" s="17" t="n"/>
      <c r="D138" s="17" t="n"/>
      <c r="E138" s="17" t="n"/>
      <c r="F138" s="17" t="n"/>
      <c r="G138" s="17" t="n"/>
      <c r="H138" s="17" t="n"/>
      <c r="I138" s="10" t="n"/>
      <c r="J138" s="16" t="n"/>
      <c r="K138" s="16" t="n"/>
    </row>
    <row r="139">
      <c r="A139" s="16" t="n"/>
      <c r="B139" s="17" t="n"/>
      <c r="C139" s="17" t="n"/>
      <c r="D139" s="17" t="n"/>
      <c r="E139" s="17" t="n"/>
      <c r="F139" s="17" t="n"/>
      <c r="G139" s="17" t="n"/>
      <c r="H139" s="17" t="n"/>
      <c r="I139" s="10" t="n"/>
      <c r="J139" s="16" t="n"/>
      <c r="K139" s="16" t="n"/>
    </row>
    <row r="140">
      <c r="A140" s="16" t="n"/>
      <c r="B140" s="17" t="n"/>
      <c r="C140" s="17" t="n"/>
      <c r="D140" s="17" t="n"/>
      <c r="E140" s="17" t="n"/>
      <c r="F140" s="17" t="n"/>
      <c r="G140" s="17" t="n"/>
      <c r="H140" s="17" t="n"/>
      <c r="I140" s="10" t="n"/>
      <c r="J140" s="16" t="n"/>
      <c r="K140" s="16" t="n"/>
    </row>
    <row r="141">
      <c r="A141" s="16" t="n"/>
      <c r="B141" s="17" t="n"/>
      <c r="C141" s="17" t="n"/>
      <c r="D141" s="17" t="n"/>
      <c r="E141" s="17" t="n"/>
      <c r="F141" s="17" t="n"/>
      <c r="G141" s="17" t="n"/>
      <c r="H141" s="17" t="n"/>
      <c r="I141" s="10" t="n"/>
      <c r="J141" s="16" t="n"/>
      <c r="K141" s="16" t="n"/>
    </row>
    <row r="142">
      <c r="A142" s="16" t="n"/>
      <c r="B142" s="17" t="n"/>
      <c r="C142" s="17" t="n"/>
      <c r="D142" s="17" t="n"/>
      <c r="E142" s="17" t="n"/>
      <c r="F142" s="17" t="n"/>
      <c r="G142" s="17" t="n"/>
      <c r="H142" s="17" t="n"/>
      <c r="I142" s="10" t="n"/>
      <c r="J142" s="16" t="n"/>
      <c r="K142" s="16" t="n"/>
    </row>
    <row r="143">
      <c r="A143" s="16" t="n"/>
      <c r="B143" s="17" t="n"/>
      <c r="C143" s="17" t="n"/>
      <c r="D143" s="17" t="n"/>
      <c r="E143" s="17" t="n"/>
      <c r="F143" s="17" t="n"/>
      <c r="G143" s="17" t="n"/>
      <c r="H143" s="17" t="n"/>
      <c r="I143" s="10" t="n"/>
      <c r="J143" s="16" t="n"/>
      <c r="K143" s="16" t="n"/>
    </row>
    <row r="144">
      <c r="A144" s="16" t="n"/>
      <c r="B144" s="17" t="n"/>
      <c r="C144" s="17" t="n"/>
      <c r="D144" s="17" t="n"/>
      <c r="E144" s="17" t="n"/>
      <c r="F144" s="17" t="n"/>
      <c r="G144" s="17" t="n"/>
      <c r="H144" s="17" t="n"/>
      <c r="I144" s="10" t="n"/>
      <c r="J144" s="16" t="n"/>
      <c r="K144" s="16" t="n"/>
    </row>
    <row r="145">
      <c r="A145" s="16" t="n"/>
      <c r="B145" s="17" t="n"/>
      <c r="C145" s="17" t="n"/>
      <c r="D145" s="17" t="n"/>
      <c r="E145" s="17" t="n"/>
      <c r="F145" s="17" t="n"/>
      <c r="G145" s="17" t="n"/>
      <c r="H145" s="17" t="n"/>
      <c r="I145" s="10" t="n"/>
      <c r="J145" s="16" t="n"/>
      <c r="K145" s="16" t="n"/>
    </row>
    <row r="146">
      <c r="A146" s="16" t="n"/>
      <c r="B146" s="17" t="n"/>
      <c r="C146" s="17" t="n"/>
      <c r="D146" s="17" t="n"/>
      <c r="E146" s="17" t="n"/>
      <c r="F146" s="17" t="n"/>
      <c r="G146" s="17" t="n"/>
      <c r="H146" s="17" t="n"/>
      <c r="I146" s="10" t="n"/>
      <c r="J146" s="16" t="n"/>
      <c r="K146" s="16" t="n"/>
    </row>
    <row r="147">
      <c r="A147" s="16" t="n"/>
      <c r="B147" s="17" t="n"/>
      <c r="C147" s="17" t="n"/>
      <c r="D147" s="17" t="n"/>
      <c r="E147" s="17" t="n"/>
      <c r="F147" s="17" t="n"/>
      <c r="G147" s="17" t="n"/>
      <c r="H147" s="17" t="n"/>
      <c r="I147" s="10" t="n"/>
      <c r="J147" s="16" t="n"/>
      <c r="K147" s="16" t="n"/>
    </row>
    <row r="148">
      <c r="A148" s="16" t="n"/>
      <c r="B148" s="17" t="n"/>
      <c r="C148" s="17" t="n"/>
      <c r="D148" s="17" t="n"/>
      <c r="E148" s="17" t="n"/>
      <c r="F148" s="17" t="n"/>
      <c r="G148" s="17" t="n"/>
      <c r="H148" s="17" t="n"/>
      <c r="I148" s="10" t="n"/>
      <c r="J148" s="16" t="n"/>
      <c r="K148" s="16" t="n"/>
    </row>
    <row r="149">
      <c r="A149" s="16" t="n"/>
      <c r="B149" s="17" t="n"/>
      <c r="C149" s="17" t="n"/>
      <c r="D149" s="17" t="n"/>
      <c r="E149" s="17" t="n"/>
      <c r="F149" s="17" t="n"/>
      <c r="G149" s="17" t="n"/>
      <c r="H149" s="17" t="n"/>
      <c r="I149" s="10" t="n"/>
      <c r="J149" s="16" t="n"/>
      <c r="K149" s="16" t="n"/>
    </row>
    <row r="150">
      <c r="A150" s="16" t="n"/>
      <c r="B150" s="17" t="n"/>
      <c r="C150" s="17" t="n"/>
      <c r="D150" s="17" t="n"/>
      <c r="E150" s="17" t="n"/>
      <c r="F150" s="17" t="n"/>
      <c r="G150" s="17" t="n"/>
      <c r="H150" s="17" t="n"/>
      <c r="I150" s="10" t="n"/>
      <c r="J150" s="16" t="n"/>
      <c r="K150" s="16" t="n"/>
    </row>
    <row r="151">
      <c r="A151" s="16" t="n"/>
      <c r="B151" s="17" t="n"/>
      <c r="C151" s="17" t="n"/>
      <c r="D151" s="17" t="n"/>
      <c r="E151" s="17" t="n"/>
      <c r="F151" s="17" t="n"/>
      <c r="G151" s="17" t="n"/>
      <c r="H151" s="17" t="n"/>
      <c r="I151" s="10" t="n"/>
      <c r="J151" s="16" t="n"/>
      <c r="K151" s="16" t="n"/>
    </row>
    <row r="152">
      <c r="A152" s="16" t="n"/>
      <c r="B152" s="17" t="n"/>
      <c r="C152" s="17" t="n"/>
      <c r="D152" s="17" t="n"/>
      <c r="E152" s="17" t="n"/>
      <c r="F152" s="17" t="n"/>
      <c r="G152" s="17" t="n"/>
      <c r="H152" s="17" t="n"/>
      <c r="I152" s="10" t="n"/>
      <c r="J152" s="16" t="n"/>
      <c r="K152" s="16" t="n"/>
    </row>
    <row r="153">
      <c r="A153" s="16" t="n"/>
      <c r="B153" s="17" t="n"/>
      <c r="C153" s="17" t="n"/>
      <c r="D153" s="17" t="n"/>
      <c r="E153" s="17" t="n"/>
      <c r="F153" s="17" t="n"/>
      <c r="G153" s="17" t="n"/>
      <c r="H153" s="17" t="n"/>
      <c r="I153" s="10" t="n"/>
      <c r="J153" s="16" t="n"/>
      <c r="K153" s="16" t="n"/>
    </row>
    <row r="154">
      <c r="A154" s="16" t="n"/>
      <c r="B154" s="17" t="n"/>
      <c r="C154" s="17" t="n"/>
      <c r="D154" s="17" t="n"/>
      <c r="E154" s="17" t="n"/>
      <c r="F154" s="17" t="n"/>
      <c r="G154" s="17" t="n"/>
      <c r="H154" s="17" t="n"/>
      <c r="I154" s="10" t="n"/>
      <c r="J154" s="16" t="n"/>
      <c r="K154" s="16" t="n"/>
    </row>
    <row r="155">
      <c r="A155" s="16" t="n"/>
      <c r="B155" s="17" t="n"/>
      <c r="C155" s="17" t="n"/>
      <c r="D155" s="17" t="n"/>
      <c r="E155" s="17" t="n"/>
      <c r="F155" s="17" t="n"/>
      <c r="G155" s="17" t="n"/>
      <c r="H155" s="17" t="n"/>
      <c r="I155" s="10" t="n"/>
      <c r="J155" s="16" t="n"/>
      <c r="K155" s="16" t="n"/>
    </row>
    <row r="156">
      <c r="A156" s="16" t="n"/>
      <c r="B156" s="17" t="n"/>
      <c r="C156" s="17" t="n"/>
      <c r="D156" s="17" t="n"/>
      <c r="E156" s="17" t="n"/>
      <c r="F156" s="17" t="n"/>
      <c r="G156" s="17" t="n"/>
      <c r="H156" s="17" t="n"/>
      <c r="I156" s="10" t="n"/>
      <c r="J156" s="16" t="n"/>
      <c r="K156" s="16" t="n"/>
    </row>
    <row r="157">
      <c r="A157" s="16" t="n"/>
      <c r="B157" s="17" t="n"/>
      <c r="C157" s="17" t="n"/>
      <c r="D157" s="17" t="n"/>
      <c r="E157" s="17" t="n"/>
      <c r="F157" s="17" t="n"/>
      <c r="G157" s="17" t="n"/>
      <c r="H157" s="17" t="n"/>
      <c r="I157" s="10" t="n"/>
      <c r="J157" s="16" t="n"/>
      <c r="K157" s="16" t="n"/>
    </row>
    <row r="158">
      <c r="A158" s="16" t="n"/>
      <c r="B158" s="17" t="n"/>
      <c r="C158" s="17" t="n"/>
      <c r="D158" s="17" t="n"/>
      <c r="E158" s="17" t="n"/>
      <c r="F158" s="17" t="n"/>
      <c r="G158" s="17" t="n"/>
      <c r="H158" s="17" t="n"/>
      <c r="I158" s="10" t="n"/>
      <c r="J158" s="16" t="n"/>
      <c r="K158" s="16" t="n"/>
    </row>
    <row r="159">
      <c r="A159" s="16" t="n"/>
      <c r="B159" s="17" t="n"/>
      <c r="C159" s="17" t="n"/>
      <c r="D159" s="17" t="n"/>
      <c r="E159" s="17" t="n"/>
      <c r="F159" s="17" t="n"/>
      <c r="G159" s="17" t="n"/>
      <c r="H159" s="17" t="n"/>
      <c r="I159" s="10" t="n"/>
      <c r="J159" s="16" t="n"/>
      <c r="K159" s="16" t="n"/>
    </row>
    <row r="160">
      <c r="A160" s="16" t="n"/>
      <c r="B160" s="17" t="n"/>
      <c r="C160" s="17" t="n"/>
      <c r="D160" s="17" t="n"/>
      <c r="E160" s="17" t="n"/>
      <c r="F160" s="17" t="n"/>
      <c r="G160" s="17" t="n"/>
      <c r="H160" s="17" t="n"/>
      <c r="I160" s="10" t="n"/>
      <c r="J160" s="16" t="n"/>
      <c r="K160" s="16" t="n"/>
    </row>
    <row r="161">
      <c r="A161" s="16" t="n"/>
      <c r="B161" s="17" t="n"/>
      <c r="C161" s="17" t="n"/>
      <c r="D161" s="17" t="n"/>
      <c r="E161" s="17" t="n"/>
      <c r="F161" s="17" t="n"/>
      <c r="G161" s="17" t="n"/>
      <c r="H161" s="17" t="n"/>
      <c r="I161" s="10" t="n"/>
      <c r="J161" s="16" t="n"/>
      <c r="K161" s="16" t="n"/>
    </row>
    <row r="162">
      <c r="A162" s="16" t="n"/>
      <c r="B162" s="17" t="n"/>
      <c r="C162" s="17" t="n"/>
      <c r="D162" s="17" t="n"/>
      <c r="E162" s="17" t="n"/>
      <c r="F162" s="17" t="n"/>
      <c r="G162" s="17" t="n"/>
      <c r="H162" s="17" t="n"/>
      <c r="I162" s="10" t="n"/>
      <c r="J162" s="16" t="n"/>
      <c r="K162" s="16" t="n"/>
    </row>
    <row r="163">
      <c r="A163" s="16" t="n"/>
      <c r="B163" s="17" t="n"/>
      <c r="C163" s="17" t="n"/>
      <c r="D163" s="17" t="n"/>
      <c r="E163" s="17" t="n"/>
      <c r="F163" s="17" t="n"/>
      <c r="G163" s="17" t="n"/>
      <c r="H163" s="17" t="n"/>
      <c r="I163" s="10" t="n"/>
      <c r="J163" s="16" t="n"/>
      <c r="K163" s="16" t="n"/>
    </row>
    <row r="164">
      <c r="A164" s="16" t="n"/>
      <c r="B164" s="17" t="n"/>
      <c r="C164" s="17" t="n"/>
      <c r="D164" s="17" t="n"/>
      <c r="E164" s="17" t="n"/>
      <c r="F164" s="17" t="n"/>
      <c r="G164" s="17" t="n"/>
      <c r="H164" s="17" t="n"/>
      <c r="I164" s="10" t="n"/>
      <c r="J164" s="16" t="n"/>
      <c r="K164" s="16" t="n"/>
    </row>
    <row r="165">
      <c r="A165" s="16" t="n"/>
      <c r="B165" s="17" t="n"/>
      <c r="C165" s="17" t="n"/>
      <c r="D165" s="17" t="n"/>
      <c r="E165" s="17" t="n"/>
      <c r="F165" s="17" t="n"/>
      <c r="G165" s="17" t="n"/>
      <c r="H165" s="17" t="n"/>
      <c r="I165" s="10" t="n"/>
      <c r="J165" s="16" t="n"/>
      <c r="K165" s="16" t="n"/>
    </row>
    <row r="166">
      <c r="A166" s="16" t="n"/>
      <c r="B166" s="17" t="n"/>
      <c r="C166" s="17" t="n"/>
      <c r="D166" s="17" t="n"/>
      <c r="E166" s="17" t="n"/>
      <c r="F166" s="17" t="n"/>
      <c r="G166" s="17" t="n"/>
      <c r="H166" s="17" t="n"/>
      <c r="I166" s="10" t="n"/>
      <c r="J166" s="16" t="n"/>
      <c r="K166" s="16" t="n"/>
    </row>
    <row r="167">
      <c r="A167" s="16" t="n"/>
      <c r="B167" s="17" t="n"/>
      <c r="C167" s="17" t="n"/>
      <c r="D167" s="17" t="n"/>
      <c r="E167" s="17" t="n"/>
      <c r="F167" s="17" t="n"/>
      <c r="G167" s="17" t="n"/>
      <c r="H167" s="17" t="n"/>
      <c r="I167" s="10" t="n"/>
      <c r="J167" s="16" t="n"/>
      <c r="K167" s="16" t="n"/>
    </row>
    <row r="168">
      <c r="A168" s="16" t="n"/>
      <c r="B168" s="17" t="n"/>
      <c r="C168" s="17" t="n"/>
      <c r="D168" s="17" t="n"/>
      <c r="E168" s="17" t="n"/>
      <c r="F168" s="17" t="n"/>
      <c r="G168" s="17" t="n"/>
      <c r="H168" s="17" t="n"/>
      <c r="I168" s="10" t="n"/>
      <c r="J168" s="16" t="n"/>
      <c r="K168" s="16" t="n"/>
    </row>
    <row r="169">
      <c r="A169" s="16" t="n"/>
      <c r="B169" s="17" t="n"/>
      <c r="C169" s="17" t="n"/>
      <c r="D169" s="17" t="n"/>
      <c r="E169" s="17" t="n"/>
      <c r="F169" s="17" t="n"/>
      <c r="G169" s="17" t="n"/>
      <c r="H169" s="17" t="n"/>
      <c r="I169" s="10" t="n"/>
      <c r="J169" s="16" t="n"/>
      <c r="K169" s="16" t="n"/>
    </row>
    <row r="170">
      <c r="A170" s="16" t="n"/>
      <c r="B170" s="17" t="n"/>
      <c r="C170" s="17" t="n"/>
      <c r="D170" s="17" t="n"/>
      <c r="E170" s="17" t="n"/>
      <c r="F170" s="17" t="n"/>
      <c r="G170" s="17" t="n"/>
      <c r="H170" s="17" t="n"/>
      <c r="I170" s="10" t="n"/>
      <c r="J170" s="16" t="n"/>
      <c r="K170" s="16" t="n"/>
    </row>
    <row r="171">
      <c r="A171" s="16" t="n"/>
      <c r="B171" s="17" t="n"/>
      <c r="C171" s="17" t="n"/>
      <c r="D171" s="17" t="n"/>
      <c r="E171" s="17" t="n"/>
      <c r="F171" s="17" t="n"/>
      <c r="G171" s="17" t="n"/>
      <c r="H171" s="17" t="n"/>
      <c r="I171" s="10" t="n"/>
      <c r="J171" s="16" t="n"/>
      <c r="K171" s="16" t="n"/>
    </row>
    <row r="172">
      <c r="A172" s="16" t="n"/>
      <c r="B172" s="17" t="n"/>
      <c r="C172" s="17" t="n"/>
      <c r="D172" s="17" t="n"/>
      <c r="E172" s="17" t="n"/>
      <c r="F172" s="17" t="n"/>
      <c r="G172" s="17" t="n"/>
      <c r="H172" s="17" t="n"/>
      <c r="I172" s="10" t="n"/>
      <c r="J172" s="16" t="n"/>
      <c r="K172" s="16" t="n"/>
    </row>
    <row r="173">
      <c r="A173" s="16" t="n"/>
      <c r="B173" s="17" t="n"/>
      <c r="C173" s="17" t="n"/>
      <c r="D173" s="17" t="n"/>
      <c r="E173" s="17" t="n"/>
      <c r="F173" s="17" t="n"/>
      <c r="G173" s="17" t="n"/>
      <c r="H173" s="17" t="n"/>
      <c r="I173" s="10" t="n"/>
      <c r="J173" s="16" t="n"/>
      <c r="K173" s="16" t="n"/>
    </row>
    <row r="174">
      <c r="A174" s="16" t="n"/>
      <c r="B174" s="17" t="n"/>
      <c r="C174" s="17" t="n"/>
      <c r="D174" s="17" t="n"/>
      <c r="E174" s="17" t="n"/>
      <c r="F174" s="17" t="n"/>
      <c r="G174" s="17" t="n"/>
      <c r="H174" s="17" t="n"/>
      <c r="I174" s="10" t="n"/>
      <c r="J174" s="16" t="n"/>
      <c r="K174" s="16" t="n"/>
    </row>
    <row r="175">
      <c r="A175" s="16" t="n"/>
      <c r="B175" s="17" t="n"/>
      <c r="C175" s="17" t="n"/>
      <c r="D175" s="17" t="n"/>
      <c r="E175" s="17" t="n"/>
      <c r="F175" s="17" t="n"/>
      <c r="G175" s="17" t="n"/>
      <c r="H175" s="17" t="n"/>
      <c r="I175" s="10" t="n"/>
      <c r="J175" s="16" t="n"/>
      <c r="K175" s="16" t="n"/>
    </row>
    <row r="176">
      <c r="A176" s="16" t="n"/>
      <c r="B176" s="17" t="n"/>
      <c r="C176" s="17" t="n"/>
      <c r="D176" s="17" t="n"/>
      <c r="E176" s="17" t="n"/>
      <c r="F176" s="17" t="n"/>
      <c r="G176" s="17" t="n"/>
      <c r="H176" s="17" t="n"/>
      <c r="I176" s="10" t="n"/>
      <c r="J176" s="16" t="n"/>
      <c r="K176" s="16" t="n"/>
    </row>
    <row r="177">
      <c r="A177" s="16" t="n"/>
      <c r="B177" s="17" t="n"/>
      <c r="C177" s="17" t="n"/>
      <c r="D177" s="17" t="n"/>
      <c r="E177" s="17" t="n"/>
      <c r="F177" s="17" t="n"/>
      <c r="G177" s="17" t="n"/>
      <c r="H177" s="17" t="n"/>
      <c r="I177" s="10" t="n"/>
      <c r="J177" s="16" t="n"/>
      <c r="K177" s="16" t="n"/>
    </row>
    <row r="178">
      <c r="A178" s="16" t="n"/>
      <c r="B178" s="17" t="n"/>
      <c r="C178" s="17" t="n"/>
      <c r="D178" s="17" t="n"/>
      <c r="E178" s="17" t="n"/>
      <c r="F178" s="17" t="n"/>
      <c r="G178" s="17" t="n"/>
      <c r="H178" s="17" t="n"/>
      <c r="I178" s="10" t="n"/>
      <c r="J178" s="16" t="n"/>
      <c r="K178" s="16" t="n"/>
    </row>
    <row r="179">
      <c r="A179" s="16" t="n"/>
      <c r="B179" s="17" t="n"/>
      <c r="C179" s="17" t="n"/>
      <c r="D179" s="17" t="n"/>
      <c r="E179" s="17" t="n"/>
      <c r="F179" s="17" t="n"/>
      <c r="G179" s="17" t="n"/>
      <c r="H179" s="17" t="n"/>
      <c r="I179" s="10" t="n"/>
      <c r="J179" s="16" t="n"/>
      <c r="K179" s="16" t="n"/>
    </row>
    <row r="180">
      <c r="A180" s="16" t="n"/>
      <c r="B180" s="17" t="n"/>
      <c r="C180" s="17" t="n"/>
      <c r="D180" s="17" t="n"/>
      <c r="E180" s="17" t="n"/>
      <c r="F180" s="17" t="n"/>
      <c r="G180" s="17" t="n"/>
      <c r="H180" s="17" t="n"/>
      <c r="I180" s="10" t="n"/>
      <c r="J180" s="16" t="n"/>
      <c r="K180" s="16" t="n"/>
    </row>
    <row r="181">
      <c r="A181" s="16" t="n"/>
      <c r="B181" s="17" t="n"/>
      <c r="C181" s="17" t="n"/>
      <c r="D181" s="17" t="n"/>
      <c r="E181" s="17" t="n"/>
      <c r="F181" s="17" t="n"/>
      <c r="G181" s="17" t="n"/>
      <c r="H181" s="17" t="n"/>
      <c r="I181" s="10" t="n"/>
      <c r="J181" s="16" t="n"/>
      <c r="K181" s="16" t="n"/>
    </row>
    <row r="182">
      <c r="A182" s="16" t="n"/>
      <c r="B182" s="17" t="n"/>
      <c r="C182" s="17" t="n"/>
      <c r="D182" s="17" t="n"/>
      <c r="E182" s="17" t="n"/>
      <c r="F182" s="17" t="n"/>
      <c r="G182" s="17" t="n"/>
      <c r="H182" s="17" t="n"/>
      <c r="I182" s="10" t="n"/>
      <c r="J182" s="16" t="n"/>
      <c r="K182" s="16" t="n"/>
    </row>
    <row r="183">
      <c r="A183" s="16" t="n"/>
      <c r="B183" s="17" t="n"/>
      <c r="C183" s="17" t="n"/>
      <c r="D183" s="17" t="n"/>
      <c r="E183" s="17" t="n"/>
      <c r="F183" s="17" t="n"/>
      <c r="G183" s="17" t="n"/>
      <c r="H183" s="17" t="n"/>
      <c r="I183" s="10" t="n"/>
      <c r="J183" s="16" t="n"/>
      <c r="K183" s="16" t="n"/>
    </row>
    <row r="184">
      <c r="A184" s="16" t="n"/>
      <c r="B184" s="17" t="n"/>
      <c r="C184" s="17" t="n"/>
      <c r="D184" s="17" t="n"/>
      <c r="E184" s="17" t="n"/>
      <c r="F184" s="17" t="n"/>
      <c r="G184" s="17" t="n"/>
      <c r="H184" s="17" t="n"/>
      <c r="I184" s="10" t="n"/>
      <c r="J184" s="16" t="n"/>
      <c r="K184" s="16" t="n"/>
    </row>
    <row r="185">
      <c r="A185" s="16" t="n"/>
      <c r="B185" s="17" t="n"/>
      <c r="C185" s="17" t="n"/>
      <c r="D185" s="17" t="n"/>
      <c r="E185" s="17" t="n"/>
      <c r="F185" s="17" t="n"/>
      <c r="G185" s="17" t="n"/>
      <c r="H185" s="17" t="n"/>
      <c r="I185" s="10" t="n"/>
      <c r="J185" s="16" t="n"/>
      <c r="K185" s="16" t="n"/>
    </row>
    <row r="186">
      <c r="A186" s="16" t="n"/>
      <c r="B186" s="17" t="n"/>
      <c r="C186" s="17" t="n"/>
      <c r="D186" s="17" t="n"/>
      <c r="E186" s="17" t="n"/>
      <c r="F186" s="17" t="n"/>
      <c r="G186" s="17" t="n"/>
      <c r="H186" s="17" t="n"/>
      <c r="I186" s="10" t="n"/>
      <c r="J186" s="16" t="n"/>
      <c r="K186" s="16" t="n"/>
    </row>
    <row r="187">
      <c r="A187" s="16" t="n"/>
      <c r="B187" s="17" t="n"/>
      <c r="C187" s="17" t="n"/>
      <c r="D187" s="17" t="n"/>
      <c r="E187" s="17" t="n"/>
      <c r="F187" s="17" t="n"/>
      <c r="G187" s="17" t="n"/>
      <c r="H187" s="17" t="n"/>
      <c r="I187" s="10" t="n"/>
      <c r="J187" s="16" t="n"/>
      <c r="K187" s="16" t="n"/>
    </row>
    <row r="188">
      <c r="A188" s="16" t="n"/>
      <c r="B188" s="17" t="n"/>
      <c r="C188" s="17" t="n"/>
      <c r="D188" s="17" t="n"/>
      <c r="E188" s="17" t="n"/>
      <c r="F188" s="17" t="n"/>
      <c r="G188" s="17" t="n"/>
      <c r="H188" s="17" t="n"/>
      <c r="I188" s="10" t="n"/>
      <c r="J188" s="16" t="n"/>
      <c r="K188" s="16" t="n"/>
    </row>
    <row r="189">
      <c r="A189" s="16" t="n"/>
      <c r="B189" s="17" t="n"/>
      <c r="C189" s="17" t="n"/>
      <c r="D189" s="17" t="n"/>
      <c r="E189" s="17" t="n"/>
      <c r="F189" s="17" t="n"/>
      <c r="G189" s="17" t="n"/>
      <c r="H189" s="17" t="n"/>
      <c r="I189" s="10" t="n"/>
      <c r="J189" s="16" t="n"/>
      <c r="K189" s="16" t="n"/>
    </row>
    <row r="190">
      <c r="A190" s="16" t="n"/>
      <c r="B190" s="17" t="n"/>
      <c r="C190" s="17" t="n"/>
      <c r="D190" s="17" t="n"/>
      <c r="E190" s="17" t="n"/>
      <c r="F190" s="17" t="n"/>
      <c r="G190" s="17" t="n"/>
      <c r="H190" s="17" t="n"/>
      <c r="I190" s="10" t="n"/>
      <c r="J190" s="16" t="n"/>
      <c r="K190" s="16" t="n"/>
    </row>
    <row r="191">
      <c r="A191" s="16" t="n"/>
      <c r="B191" s="17" t="n"/>
      <c r="C191" s="17" t="n"/>
      <c r="D191" s="17" t="n"/>
      <c r="E191" s="17" t="n"/>
      <c r="F191" s="17" t="n"/>
      <c r="G191" s="17" t="n"/>
      <c r="H191" s="17" t="n"/>
      <c r="I191" s="10" t="n"/>
      <c r="J191" s="16" t="n"/>
      <c r="K191" s="16" t="n"/>
    </row>
    <row r="192">
      <c r="A192" s="16" t="n"/>
      <c r="B192" s="17" t="n"/>
      <c r="C192" s="17" t="n"/>
      <c r="D192" s="17" t="n"/>
      <c r="E192" s="17" t="n"/>
      <c r="F192" s="17" t="n"/>
      <c r="G192" s="17" t="n"/>
      <c r="H192" s="17" t="n"/>
      <c r="I192" s="10" t="n"/>
      <c r="J192" s="16" t="n"/>
      <c r="K192" s="16" t="n"/>
    </row>
    <row r="193">
      <c r="A193" s="16" t="n"/>
      <c r="B193" s="17" t="n"/>
      <c r="C193" s="17" t="n"/>
      <c r="D193" s="17" t="n"/>
      <c r="E193" s="17" t="n"/>
      <c r="F193" s="17" t="n"/>
      <c r="G193" s="17" t="n"/>
      <c r="H193" s="17" t="n"/>
      <c r="I193" s="10" t="n"/>
      <c r="J193" s="16" t="n"/>
      <c r="K193" s="16" t="n"/>
    </row>
    <row r="194">
      <c r="A194" s="16" t="n"/>
      <c r="B194" s="17" t="n"/>
      <c r="C194" s="17" t="n"/>
      <c r="D194" s="17" t="n"/>
      <c r="E194" s="17" t="n"/>
      <c r="F194" s="17" t="n"/>
      <c r="G194" s="17" t="n"/>
      <c r="H194" s="17" t="n"/>
      <c r="I194" s="10" t="n"/>
      <c r="J194" s="16" t="n"/>
      <c r="K194" s="16" t="n"/>
    </row>
    <row r="195">
      <c r="A195" s="16" t="n"/>
      <c r="B195" s="17" t="n"/>
      <c r="C195" s="17" t="n"/>
      <c r="D195" s="17" t="n"/>
      <c r="E195" s="17" t="n"/>
      <c r="F195" s="17" t="n"/>
      <c r="G195" s="17" t="n"/>
      <c r="H195" s="17" t="n"/>
      <c r="I195" s="10" t="n"/>
      <c r="J195" s="16" t="n"/>
      <c r="K195" s="16" t="n"/>
    </row>
    <row r="196">
      <c r="A196" s="16" t="n"/>
      <c r="B196" s="17" t="n"/>
      <c r="C196" s="17" t="n"/>
      <c r="D196" s="17" t="n"/>
      <c r="E196" s="17" t="n"/>
      <c r="F196" s="17" t="n"/>
      <c r="G196" s="17" t="n"/>
      <c r="H196" s="17" t="n"/>
      <c r="I196" s="10" t="n"/>
      <c r="J196" s="16" t="n"/>
      <c r="K196" s="16" t="n"/>
    </row>
    <row r="197">
      <c r="A197" s="16" t="n"/>
      <c r="B197" s="17" t="n"/>
      <c r="C197" s="17" t="n"/>
      <c r="D197" s="17" t="n"/>
      <c r="E197" s="17" t="n"/>
      <c r="F197" s="17" t="n"/>
      <c r="G197" s="17" t="n"/>
      <c r="H197" s="17" t="n"/>
      <c r="I197" s="10" t="n"/>
      <c r="J197" s="16" t="n"/>
      <c r="K197" s="16" t="n"/>
    </row>
    <row r="198">
      <c r="A198" s="16" t="n"/>
      <c r="B198" s="17" t="n"/>
      <c r="C198" s="17" t="n"/>
      <c r="D198" s="17" t="n"/>
      <c r="E198" s="17" t="n"/>
      <c r="F198" s="17" t="n"/>
      <c r="G198" s="17" t="n"/>
      <c r="H198" s="17" t="n"/>
      <c r="I198" s="10" t="n"/>
      <c r="J198" s="16" t="n"/>
      <c r="K198" s="16" t="n"/>
    </row>
    <row r="199">
      <c r="A199" s="16" t="n"/>
      <c r="B199" s="17" t="n"/>
      <c r="C199" s="17" t="n"/>
      <c r="D199" s="17" t="n"/>
      <c r="E199" s="17" t="n"/>
      <c r="F199" s="17" t="n"/>
      <c r="G199" s="17" t="n"/>
      <c r="H199" s="17" t="n"/>
      <c r="I199" s="10" t="n"/>
      <c r="J199" s="16" t="n"/>
      <c r="K199" s="16" t="n"/>
    </row>
    <row r="200">
      <c r="A200" s="16" t="n"/>
      <c r="B200" s="17" t="n"/>
      <c r="C200" s="17" t="n"/>
      <c r="D200" s="17" t="n"/>
      <c r="E200" s="17" t="n"/>
      <c r="F200" s="17" t="n"/>
      <c r="G200" s="17" t="n"/>
      <c r="H200" s="17" t="n"/>
      <c r="I200" s="10" t="n"/>
      <c r="J200" s="16" t="n"/>
      <c r="K200" s="16" t="n"/>
    </row>
    <row r="201">
      <c r="A201" s="16" t="n"/>
      <c r="B201" s="17" t="n"/>
      <c r="C201" s="17" t="n"/>
      <c r="D201" s="17" t="n"/>
      <c r="E201" s="17" t="n"/>
      <c r="F201" s="17" t="n"/>
      <c r="G201" s="17" t="n"/>
      <c r="H201" s="17" t="n"/>
      <c r="I201" s="10" t="n"/>
      <c r="J201" s="16" t="n"/>
      <c r="K201" s="16" t="n"/>
    </row>
    <row r="202">
      <c r="A202" s="16" t="n"/>
      <c r="B202" s="17" t="n"/>
      <c r="C202" s="17" t="n"/>
      <c r="D202" s="17" t="n"/>
      <c r="E202" s="17" t="n"/>
      <c r="F202" s="17" t="n"/>
      <c r="G202" s="17" t="n"/>
      <c r="H202" s="17" t="n"/>
      <c r="I202" s="10" t="n"/>
      <c r="J202" s="16" t="n"/>
      <c r="K202" s="16" t="n"/>
    </row>
    <row r="203">
      <c r="A203" s="16" t="n"/>
      <c r="B203" s="17" t="n"/>
      <c r="C203" s="17" t="n"/>
      <c r="D203" s="17" t="n"/>
      <c r="E203" s="17" t="n"/>
      <c r="F203" s="17" t="n"/>
      <c r="G203" s="17" t="n"/>
      <c r="H203" s="17" t="n"/>
      <c r="I203" s="10" t="n"/>
      <c r="J203" s="16" t="n"/>
      <c r="K203" s="16" t="n"/>
    </row>
    <row r="204">
      <c r="A204" s="16" t="n"/>
      <c r="B204" s="17" t="n"/>
      <c r="C204" s="17" t="n"/>
      <c r="D204" s="17" t="n"/>
      <c r="E204" s="17" t="n"/>
      <c r="F204" s="17" t="n"/>
      <c r="G204" s="17" t="n"/>
      <c r="H204" s="17" t="n"/>
      <c r="I204" s="10" t="n"/>
      <c r="J204" s="16" t="n"/>
      <c r="K204" s="16" t="n"/>
    </row>
    <row r="205">
      <c r="A205" s="16" t="n"/>
      <c r="B205" s="17" t="n"/>
      <c r="C205" s="17" t="n"/>
      <c r="D205" s="17" t="n"/>
      <c r="E205" s="17" t="n"/>
      <c r="F205" s="17" t="n"/>
      <c r="G205" s="17" t="n"/>
      <c r="H205" s="17" t="n"/>
      <c r="I205" s="10" t="n"/>
      <c r="J205" s="16" t="n"/>
      <c r="K205" s="16" t="n"/>
    </row>
    <row r="206">
      <c r="A206" s="16" t="n"/>
      <c r="B206" s="17" t="n"/>
      <c r="C206" s="17" t="n"/>
      <c r="D206" s="17" t="n"/>
      <c r="E206" s="17" t="n"/>
      <c r="F206" s="17" t="n"/>
      <c r="G206" s="17" t="n"/>
      <c r="H206" s="17" t="n"/>
      <c r="I206" s="10" t="n"/>
      <c r="J206" s="16" t="n"/>
      <c r="K206" s="16" t="n"/>
    </row>
    <row r="207">
      <c r="A207" s="16" t="n"/>
      <c r="B207" s="17" t="n"/>
      <c r="C207" s="17" t="n"/>
      <c r="D207" s="17" t="n"/>
      <c r="E207" s="17" t="n"/>
      <c r="F207" s="17" t="n"/>
      <c r="G207" s="17" t="n"/>
      <c r="H207" s="17" t="n"/>
      <c r="I207" s="10" t="n"/>
      <c r="J207" s="16" t="n"/>
      <c r="K207" s="16" t="n"/>
    </row>
    <row r="208">
      <c r="A208" s="16" t="n"/>
      <c r="B208" s="17" t="n"/>
      <c r="C208" s="17" t="n"/>
      <c r="D208" s="17" t="n"/>
      <c r="E208" s="17" t="n"/>
      <c r="F208" s="17" t="n"/>
      <c r="G208" s="17" t="n"/>
      <c r="H208" s="17" t="n"/>
      <c r="I208" s="10" t="n"/>
      <c r="J208" s="16" t="n"/>
      <c r="K208" s="16" t="n"/>
    </row>
    <row r="209">
      <c r="A209" s="16" t="n"/>
      <c r="B209" s="17" t="n"/>
      <c r="C209" s="17" t="n"/>
      <c r="D209" s="17" t="n"/>
      <c r="E209" s="17" t="n"/>
      <c r="F209" s="17" t="n"/>
      <c r="G209" s="17" t="n"/>
      <c r="H209" s="17" t="n"/>
      <c r="I209" s="10" t="n"/>
      <c r="J209" s="16" t="n"/>
      <c r="K209" s="16" t="n"/>
    </row>
    <row r="210">
      <c r="A210" s="16" t="n"/>
      <c r="B210" s="17" t="n"/>
      <c r="C210" s="17" t="n"/>
      <c r="D210" s="17" t="n"/>
      <c r="E210" s="17" t="n"/>
      <c r="F210" s="17" t="n"/>
      <c r="G210" s="17" t="n"/>
      <c r="H210" s="17" t="n"/>
      <c r="I210" s="10" t="n"/>
      <c r="J210" s="16" t="n"/>
      <c r="K210" s="16" t="n"/>
    </row>
    <row r="211">
      <c r="A211" s="16" t="n"/>
      <c r="B211" s="17" t="n"/>
      <c r="C211" s="17" t="n"/>
      <c r="D211" s="17" t="n"/>
      <c r="E211" s="17" t="n"/>
      <c r="F211" s="17" t="n"/>
      <c r="G211" s="17" t="n"/>
      <c r="H211" s="17" t="n"/>
      <c r="I211" s="10" t="n"/>
      <c r="J211" s="16" t="n"/>
      <c r="K211" s="16" t="n"/>
    </row>
    <row r="212">
      <c r="A212" s="16" t="n"/>
      <c r="B212" s="17" t="n"/>
      <c r="C212" s="17" t="n"/>
      <c r="D212" s="17" t="n"/>
      <c r="E212" s="17" t="n"/>
      <c r="F212" s="17" t="n"/>
      <c r="G212" s="17" t="n"/>
      <c r="H212" s="17" t="n"/>
      <c r="I212" s="10" t="n"/>
      <c r="J212" s="16" t="n"/>
      <c r="K212" s="16" t="n"/>
    </row>
    <row r="213">
      <c r="A213" s="16" t="n"/>
      <c r="B213" s="17" t="n"/>
      <c r="C213" s="17" t="n"/>
      <c r="D213" s="17" t="n"/>
      <c r="E213" s="17" t="n"/>
      <c r="F213" s="17" t="n"/>
      <c r="G213" s="17" t="n"/>
      <c r="H213" s="17" t="n"/>
      <c r="I213" s="10" t="n"/>
      <c r="J213" s="16" t="n"/>
      <c r="K213" s="16" t="n"/>
    </row>
    <row r="214">
      <c r="A214" s="16" t="n"/>
      <c r="B214" s="17" t="n"/>
      <c r="C214" s="17" t="n"/>
      <c r="D214" s="17" t="n"/>
      <c r="E214" s="17" t="n"/>
      <c r="F214" s="17" t="n"/>
      <c r="G214" s="17" t="n"/>
      <c r="H214" s="17" t="n"/>
      <c r="I214" s="10" t="n"/>
      <c r="J214" s="16" t="n"/>
      <c r="K214" s="16" t="n"/>
    </row>
    <row r="215">
      <c r="A215" s="16" t="n"/>
      <c r="B215" s="17" t="n"/>
      <c r="C215" s="17" t="n"/>
      <c r="D215" s="17" t="n"/>
      <c r="E215" s="17" t="n"/>
      <c r="F215" s="17" t="n"/>
      <c r="G215" s="17" t="n"/>
      <c r="H215" s="17" t="n"/>
      <c r="I215" s="10" t="n"/>
      <c r="J215" s="16" t="n"/>
      <c r="K215" s="16" t="n"/>
    </row>
    <row r="216">
      <c r="A216" s="16" t="n"/>
      <c r="B216" s="17" t="n"/>
      <c r="C216" s="17" t="n"/>
      <c r="D216" s="17" t="n"/>
      <c r="E216" s="17" t="n"/>
      <c r="F216" s="17" t="n"/>
      <c r="G216" s="17" t="n"/>
      <c r="H216" s="17" t="n"/>
      <c r="I216" s="10" t="n"/>
      <c r="J216" s="16" t="n"/>
      <c r="K216" s="16" t="n"/>
    </row>
    <row r="217">
      <c r="A217" s="16" t="n"/>
      <c r="B217" s="17" t="n"/>
      <c r="C217" s="17" t="n"/>
      <c r="D217" s="17" t="n"/>
      <c r="E217" s="17" t="n"/>
      <c r="F217" s="17" t="n"/>
      <c r="G217" s="17" t="n"/>
      <c r="H217" s="17" t="n"/>
      <c r="I217" s="10" t="n"/>
      <c r="J217" s="16" t="n"/>
      <c r="K217" s="16" t="n"/>
    </row>
    <row r="218">
      <c r="A218" s="16" t="n"/>
      <c r="B218" s="17" t="n"/>
      <c r="C218" s="17" t="n"/>
      <c r="D218" s="17" t="n"/>
      <c r="E218" s="17" t="n"/>
      <c r="F218" s="17" t="n"/>
      <c r="G218" s="17" t="n"/>
      <c r="H218" s="17" t="n"/>
      <c r="I218" s="10" t="n"/>
      <c r="J218" s="16" t="n"/>
      <c r="K218" s="16" t="n"/>
    </row>
    <row r="219">
      <c r="A219" s="16" t="n"/>
      <c r="B219" s="17" t="n"/>
      <c r="C219" s="17" t="n"/>
      <c r="D219" s="17" t="n"/>
      <c r="E219" s="17" t="n"/>
      <c r="F219" s="17" t="n"/>
      <c r="G219" s="17" t="n"/>
      <c r="H219" s="17" t="n"/>
      <c r="I219" s="10" t="n"/>
      <c r="J219" s="16" t="n"/>
      <c r="K219" s="16" t="n"/>
    </row>
    <row r="220">
      <c r="A220" s="16" t="n"/>
      <c r="B220" s="17" t="n"/>
      <c r="C220" s="17" t="n"/>
      <c r="D220" s="17" t="n"/>
      <c r="E220" s="17" t="n"/>
      <c r="F220" s="17" t="n"/>
      <c r="G220" s="17" t="n"/>
      <c r="H220" s="17" t="n"/>
      <c r="I220" s="10" t="n"/>
      <c r="J220" s="16" t="n"/>
      <c r="K220" s="16" t="n"/>
    </row>
    <row r="221">
      <c r="A221" s="16" t="n"/>
      <c r="B221" s="17" t="n"/>
      <c r="C221" s="17" t="n"/>
      <c r="D221" s="17" t="n"/>
      <c r="E221" s="17" t="n"/>
      <c r="F221" s="17" t="n"/>
      <c r="G221" s="17" t="n"/>
      <c r="H221" s="17" t="n"/>
      <c r="I221" s="10" t="n"/>
      <c r="J221" s="16" t="n"/>
      <c r="K221" s="16" t="n"/>
    </row>
    <row r="222">
      <c r="A222" s="16" t="n"/>
      <c r="B222" s="17" t="n"/>
      <c r="C222" s="17" t="n"/>
      <c r="D222" s="17" t="n"/>
      <c r="E222" s="17" t="n"/>
      <c r="F222" s="17" t="n"/>
      <c r="G222" s="17" t="n"/>
      <c r="H222" s="17" t="n"/>
      <c r="I222" s="10" t="n"/>
      <c r="J222" s="16" t="n"/>
      <c r="K222" s="16" t="n"/>
    </row>
    <row r="223">
      <c r="A223" s="16" t="n"/>
      <c r="B223" s="17" t="n"/>
      <c r="C223" s="17" t="n"/>
      <c r="D223" s="17" t="n"/>
      <c r="E223" s="17" t="n"/>
      <c r="F223" s="17" t="n"/>
      <c r="G223" s="17" t="n"/>
      <c r="H223" s="17" t="n"/>
      <c r="I223" s="10" t="n"/>
      <c r="J223" s="16" t="n"/>
      <c r="K223" s="16" t="n"/>
    </row>
    <row r="224">
      <c r="A224" s="16" t="n"/>
      <c r="B224" s="17" t="n"/>
      <c r="C224" s="17" t="n"/>
      <c r="D224" s="17" t="n"/>
      <c r="E224" s="17" t="n"/>
      <c r="F224" s="17" t="n"/>
      <c r="G224" s="17" t="n"/>
      <c r="H224" s="17" t="n"/>
      <c r="I224" s="10" t="n"/>
      <c r="J224" s="16" t="n"/>
      <c r="K224" s="16" t="n"/>
    </row>
    <row r="225">
      <c r="A225" s="16" t="n"/>
      <c r="B225" s="17" t="n"/>
      <c r="C225" s="17" t="n"/>
      <c r="D225" s="17" t="n"/>
      <c r="E225" s="17" t="n"/>
      <c r="F225" s="17" t="n"/>
      <c r="G225" s="17" t="n"/>
      <c r="H225" s="17" t="n"/>
      <c r="I225" s="10" t="n"/>
      <c r="J225" s="16" t="n"/>
      <c r="K225" s="16" t="n"/>
    </row>
    <row r="226">
      <c r="A226" s="16" t="n"/>
      <c r="B226" s="17" t="n"/>
      <c r="C226" s="17" t="n"/>
      <c r="D226" s="17" t="n"/>
      <c r="E226" s="17" t="n"/>
      <c r="F226" s="17" t="n"/>
      <c r="G226" s="17" t="n"/>
      <c r="H226" s="17" t="n"/>
      <c r="I226" s="10" t="n"/>
      <c r="J226" s="16" t="n"/>
      <c r="K226" s="16" t="n"/>
    </row>
    <row r="227">
      <c r="A227" s="16" t="n"/>
      <c r="B227" s="17" t="n"/>
      <c r="C227" s="17" t="n"/>
      <c r="D227" s="17" t="n"/>
      <c r="E227" s="17" t="n"/>
      <c r="F227" s="17" t="n"/>
      <c r="G227" s="17" t="n"/>
      <c r="H227" s="17" t="n"/>
      <c r="I227" s="10" t="n"/>
      <c r="J227" s="16" t="n"/>
      <c r="K227" s="16" t="n"/>
    </row>
    <row r="228">
      <c r="A228" s="16" t="n"/>
      <c r="B228" s="17" t="n"/>
      <c r="C228" s="17" t="n"/>
      <c r="D228" s="17" t="n"/>
      <c r="E228" s="17" t="n"/>
      <c r="F228" s="17" t="n"/>
      <c r="G228" s="17" t="n"/>
      <c r="H228" s="17" t="n"/>
      <c r="I228" s="10" t="n"/>
      <c r="J228" s="16" t="n"/>
      <c r="K228" s="16" t="n"/>
    </row>
    <row r="229">
      <c r="A229" s="16" t="n"/>
      <c r="B229" s="17" t="n"/>
      <c r="C229" s="17" t="n"/>
      <c r="D229" s="17" t="n"/>
      <c r="E229" s="17" t="n"/>
      <c r="F229" s="17" t="n"/>
      <c r="G229" s="17" t="n"/>
      <c r="H229" s="17" t="n"/>
      <c r="I229" s="10" t="n"/>
      <c r="J229" s="16" t="n"/>
      <c r="K229" s="16" t="n"/>
    </row>
    <row r="230">
      <c r="A230" s="16" t="n"/>
      <c r="B230" s="17" t="n"/>
      <c r="C230" s="17" t="n"/>
      <c r="D230" s="17" t="n"/>
      <c r="E230" s="17" t="n"/>
      <c r="F230" s="17" t="n"/>
      <c r="G230" s="17" t="n"/>
      <c r="H230" s="17" t="n"/>
      <c r="I230" s="10" t="n"/>
      <c r="J230" s="16" t="n"/>
      <c r="K230" s="16" t="n"/>
    </row>
    <row r="231">
      <c r="A231" s="16" t="n"/>
      <c r="B231" s="17" t="n"/>
      <c r="C231" s="17" t="n"/>
      <c r="D231" s="17" t="n"/>
      <c r="E231" s="17" t="n"/>
      <c r="F231" s="17" t="n"/>
      <c r="G231" s="17" t="n"/>
      <c r="H231" s="17" t="n"/>
      <c r="I231" s="10" t="n"/>
      <c r="J231" s="16" t="n"/>
      <c r="K231" s="16" t="n"/>
    </row>
    <row r="232">
      <c r="A232" s="16" t="n"/>
      <c r="B232" s="17" t="n"/>
      <c r="C232" s="17" t="n"/>
      <c r="D232" s="17" t="n"/>
      <c r="E232" s="17" t="n"/>
      <c r="F232" s="17" t="n"/>
      <c r="G232" s="17" t="n"/>
      <c r="H232" s="17" t="n"/>
      <c r="I232" s="10" t="n"/>
      <c r="J232" s="16" t="n"/>
      <c r="K232" s="16" t="n"/>
    </row>
    <row r="233">
      <c r="A233" s="16" t="n"/>
      <c r="B233" s="17" t="n"/>
      <c r="C233" s="17" t="n"/>
      <c r="D233" s="17" t="n"/>
      <c r="E233" s="17" t="n"/>
      <c r="F233" s="17" t="n"/>
      <c r="G233" s="17" t="n"/>
      <c r="H233" s="17" t="n"/>
      <c r="I233" s="10" t="n"/>
      <c r="J233" s="16" t="n"/>
      <c r="K233" s="16" t="n"/>
    </row>
    <row r="234">
      <c r="A234" s="16" t="n"/>
      <c r="B234" s="17" t="n"/>
      <c r="C234" s="17" t="n"/>
      <c r="D234" s="17" t="n"/>
      <c r="E234" s="17" t="n"/>
      <c r="F234" s="17" t="n"/>
      <c r="G234" s="17" t="n"/>
      <c r="H234" s="17" t="n"/>
      <c r="I234" s="10" t="n"/>
      <c r="J234" s="16" t="n"/>
      <c r="K234" s="16" t="n"/>
    </row>
    <row r="235">
      <c r="A235" s="16" t="n"/>
      <c r="B235" s="17" t="n"/>
      <c r="C235" s="17" t="n"/>
      <c r="D235" s="17" t="n"/>
      <c r="E235" s="17" t="n"/>
      <c r="F235" s="17" t="n"/>
      <c r="G235" s="17" t="n"/>
      <c r="H235" s="17" t="n"/>
      <c r="I235" s="10" t="n"/>
      <c r="J235" s="16" t="n"/>
      <c r="K235" s="16" t="n"/>
    </row>
    <row r="236">
      <c r="A236" s="16" t="n"/>
      <c r="B236" s="17" t="n"/>
      <c r="C236" s="17" t="n"/>
      <c r="D236" s="17" t="n"/>
      <c r="E236" s="17" t="n"/>
      <c r="F236" s="17" t="n"/>
      <c r="G236" s="17" t="n"/>
      <c r="H236" s="17" t="n"/>
      <c r="I236" s="10" t="n"/>
      <c r="J236" s="16" t="n"/>
      <c r="K236" s="16" t="n"/>
    </row>
    <row r="237">
      <c r="A237" s="16" t="n"/>
      <c r="B237" s="17" t="n"/>
      <c r="C237" s="17" t="n"/>
      <c r="D237" s="17" t="n"/>
      <c r="E237" s="17" t="n"/>
      <c r="F237" s="17" t="n"/>
      <c r="G237" s="17" t="n"/>
      <c r="H237" s="17" t="n"/>
      <c r="I237" s="10" t="n"/>
      <c r="J237" s="16" t="n"/>
      <c r="K237" s="16" t="n"/>
    </row>
    <row r="238">
      <c r="A238" s="16" t="n"/>
      <c r="B238" s="17" t="n"/>
      <c r="C238" s="17" t="n"/>
      <c r="D238" s="17" t="n"/>
      <c r="E238" s="17" t="n"/>
      <c r="F238" s="17" t="n"/>
      <c r="G238" s="17" t="n"/>
      <c r="H238" s="17" t="n"/>
      <c r="I238" s="10" t="n"/>
      <c r="J238" s="16" t="n"/>
      <c r="K238" s="16" t="n"/>
    </row>
    <row r="239">
      <c r="A239" s="16" t="n"/>
      <c r="B239" s="17" t="n"/>
      <c r="C239" s="17" t="n"/>
      <c r="D239" s="17" t="n"/>
      <c r="E239" s="17" t="n"/>
      <c r="F239" s="17" t="n"/>
      <c r="G239" s="17" t="n"/>
      <c r="H239" s="17" t="n"/>
      <c r="I239" s="10" t="n"/>
      <c r="J239" s="16" t="n"/>
      <c r="K239" s="16" t="n"/>
    </row>
    <row r="240">
      <c r="A240" s="16" t="n"/>
      <c r="B240" s="17" t="n"/>
      <c r="C240" s="17" t="n"/>
      <c r="D240" s="17" t="n"/>
      <c r="E240" s="17" t="n"/>
      <c r="F240" s="17" t="n"/>
      <c r="G240" s="17" t="n"/>
      <c r="H240" s="17" t="n"/>
      <c r="I240" s="10" t="n"/>
      <c r="J240" s="16" t="n"/>
      <c r="K240" s="16" t="n"/>
    </row>
    <row r="241">
      <c r="A241" s="16" t="n"/>
      <c r="B241" s="17" t="n"/>
      <c r="C241" s="17" t="n"/>
      <c r="D241" s="17" t="n"/>
      <c r="E241" s="17" t="n"/>
      <c r="F241" s="17" t="n"/>
      <c r="G241" s="17" t="n"/>
      <c r="H241" s="17" t="n"/>
      <c r="I241" s="10" t="n"/>
      <c r="J241" s="16" t="n"/>
      <c r="K241" s="16" t="n"/>
    </row>
    <row r="242">
      <c r="A242" s="16" t="n"/>
      <c r="B242" s="17" t="n"/>
      <c r="C242" s="17" t="n"/>
      <c r="D242" s="17" t="n"/>
      <c r="E242" s="17" t="n"/>
      <c r="F242" s="17" t="n"/>
      <c r="G242" s="17" t="n"/>
      <c r="H242" s="17" t="n"/>
      <c r="I242" s="10" t="n"/>
      <c r="J242" s="16" t="n"/>
      <c r="K242" s="16" t="n"/>
    </row>
    <row r="243">
      <c r="A243" s="16" t="n"/>
      <c r="B243" s="17" t="n"/>
      <c r="C243" s="17" t="n"/>
      <c r="D243" s="17" t="n"/>
      <c r="E243" s="17" t="n"/>
      <c r="F243" s="17" t="n"/>
      <c r="G243" s="17" t="n"/>
      <c r="H243" s="17" t="n"/>
      <c r="I243" s="10" t="n"/>
      <c r="J243" s="16" t="n"/>
      <c r="K243" s="16" t="n"/>
    </row>
    <row r="244">
      <c r="A244" s="16" t="n"/>
      <c r="B244" s="17" t="n"/>
      <c r="C244" s="17" t="n"/>
      <c r="D244" s="17" t="n"/>
      <c r="E244" s="17" t="n"/>
      <c r="F244" s="17" t="n"/>
      <c r="G244" s="17" t="n"/>
      <c r="H244" s="17" t="n"/>
      <c r="I244" s="10" t="n"/>
      <c r="J244" s="16" t="n"/>
      <c r="K244" s="16" t="n"/>
    </row>
    <row r="245">
      <c r="A245" s="16" t="n"/>
      <c r="B245" s="17" t="n"/>
      <c r="C245" s="17" t="n"/>
      <c r="D245" s="17" t="n"/>
      <c r="E245" s="17" t="n"/>
      <c r="F245" s="17" t="n"/>
      <c r="G245" s="17" t="n"/>
      <c r="H245" s="17" t="n"/>
      <c r="I245" s="10" t="n"/>
      <c r="J245" s="16" t="n"/>
      <c r="K245" s="16" t="n"/>
    </row>
    <row r="246">
      <c r="A246" s="16" t="n"/>
      <c r="B246" s="17" t="n"/>
      <c r="C246" s="17" t="n"/>
      <c r="D246" s="17" t="n"/>
      <c r="E246" s="17" t="n"/>
      <c r="F246" s="17" t="n"/>
      <c r="G246" s="17" t="n"/>
      <c r="H246" s="17" t="n"/>
      <c r="I246" s="10" t="n"/>
      <c r="J246" s="16" t="n"/>
      <c r="K246" s="16" t="n"/>
    </row>
    <row r="247">
      <c r="A247" s="16" t="n"/>
      <c r="B247" s="17" t="n"/>
      <c r="C247" s="17" t="n"/>
      <c r="D247" s="17" t="n"/>
      <c r="E247" s="17" t="n"/>
      <c r="F247" s="17" t="n"/>
      <c r="G247" s="17" t="n"/>
      <c r="H247" s="17" t="n"/>
      <c r="I247" s="10" t="n"/>
      <c r="J247" s="16" t="n"/>
      <c r="K247" s="16" t="n"/>
    </row>
    <row r="248">
      <c r="A248" s="16" t="n"/>
      <c r="B248" s="17" t="n"/>
      <c r="C248" s="17" t="n"/>
      <c r="D248" s="17" t="n"/>
      <c r="E248" s="17" t="n"/>
      <c r="F248" s="17" t="n"/>
      <c r="G248" s="17" t="n"/>
      <c r="H248" s="17" t="n"/>
      <c r="I248" s="10" t="n"/>
      <c r="J248" s="16" t="n"/>
      <c r="K248" s="16" t="n"/>
    </row>
    <row r="249">
      <c r="A249" s="16" t="n"/>
      <c r="B249" s="17" t="n"/>
      <c r="C249" s="17" t="n"/>
      <c r="D249" s="17" t="n"/>
      <c r="E249" s="17" t="n"/>
      <c r="F249" s="17" t="n"/>
      <c r="G249" s="17" t="n"/>
      <c r="H249" s="17" t="n"/>
      <c r="I249" s="10" t="n"/>
      <c r="J249" s="16" t="n"/>
      <c r="K249" s="16" t="n"/>
    </row>
    <row r="250">
      <c r="A250" s="16" t="n"/>
      <c r="B250" s="17" t="n"/>
      <c r="C250" s="17" t="n"/>
      <c r="D250" s="17" t="n"/>
      <c r="E250" s="17" t="n"/>
      <c r="F250" s="17" t="n"/>
      <c r="G250" s="17" t="n"/>
      <c r="H250" s="17" t="n"/>
      <c r="I250" s="10" t="n"/>
      <c r="J250" s="16" t="n"/>
      <c r="K250" s="16" t="n"/>
    </row>
    <row r="251">
      <c r="A251" s="16" t="n"/>
      <c r="B251" s="17" t="n"/>
      <c r="C251" s="17" t="n"/>
      <c r="D251" s="17" t="n"/>
      <c r="E251" s="17" t="n"/>
      <c r="F251" s="17" t="n"/>
      <c r="G251" s="17" t="n"/>
      <c r="H251" s="17" t="n"/>
      <c r="I251" s="10" t="n"/>
      <c r="J251" s="16" t="n"/>
      <c r="K251" s="16" t="n"/>
    </row>
    <row r="252">
      <c r="A252" s="16" t="n"/>
      <c r="B252" s="17" t="n"/>
      <c r="C252" s="17" t="n"/>
      <c r="D252" s="17" t="n"/>
      <c r="E252" s="17" t="n"/>
      <c r="F252" s="17" t="n"/>
      <c r="G252" s="17" t="n"/>
      <c r="H252" s="17" t="n"/>
      <c r="I252" s="10" t="n"/>
      <c r="J252" s="16" t="n"/>
      <c r="K252" s="16" t="n"/>
    </row>
    <row r="253">
      <c r="A253" s="16" t="n"/>
      <c r="B253" s="17" t="n"/>
      <c r="C253" s="17" t="n"/>
      <c r="D253" s="17" t="n"/>
      <c r="E253" s="17" t="n"/>
      <c r="F253" s="17" t="n"/>
      <c r="G253" s="17" t="n"/>
      <c r="H253" s="17" t="n"/>
      <c r="I253" s="10" t="n"/>
      <c r="J253" s="16" t="n"/>
      <c r="K253" s="16" t="n"/>
    </row>
    <row r="254">
      <c r="A254" s="16" t="n"/>
      <c r="B254" s="17" t="n"/>
      <c r="C254" s="17" t="n"/>
      <c r="D254" s="17" t="n"/>
      <c r="E254" s="17" t="n"/>
      <c r="F254" s="17" t="n"/>
      <c r="G254" s="17" t="n"/>
      <c r="H254" s="17" t="n"/>
      <c r="I254" s="10" t="n"/>
      <c r="J254" s="16" t="n"/>
      <c r="K254" s="16" t="n"/>
    </row>
    <row r="255">
      <c r="A255" s="16" t="n"/>
      <c r="B255" s="17" t="n"/>
      <c r="C255" s="17" t="n"/>
      <c r="D255" s="17" t="n"/>
      <c r="E255" s="17" t="n"/>
      <c r="F255" s="17" t="n"/>
      <c r="G255" s="17" t="n"/>
      <c r="H255" s="17" t="n"/>
      <c r="I255" s="10" t="n"/>
      <c r="J255" s="16" t="n"/>
      <c r="K255" s="16" t="n"/>
    </row>
    <row r="256">
      <c r="A256" s="16" t="n"/>
      <c r="B256" s="17" t="n"/>
      <c r="C256" s="17" t="n"/>
      <c r="D256" s="17" t="n"/>
      <c r="E256" s="17" t="n"/>
      <c r="F256" s="17" t="n"/>
      <c r="G256" s="17" t="n"/>
      <c r="H256" s="17" t="n"/>
      <c r="I256" s="10" t="n"/>
      <c r="J256" s="16" t="n"/>
      <c r="K256" s="16" t="n"/>
    </row>
    <row r="257">
      <c r="A257" s="16" t="n"/>
      <c r="B257" s="17" t="n"/>
      <c r="C257" s="17" t="n"/>
      <c r="D257" s="17" t="n"/>
      <c r="E257" s="17" t="n"/>
      <c r="F257" s="17" t="n"/>
      <c r="G257" s="17" t="n"/>
      <c r="H257" s="17" t="n"/>
      <c r="I257" s="10" t="n"/>
      <c r="J257" s="16" t="n"/>
      <c r="K257" s="16" t="n"/>
    </row>
    <row r="258">
      <c r="A258" s="16" t="n"/>
      <c r="B258" s="17" t="n"/>
      <c r="C258" s="17" t="n"/>
      <c r="D258" s="17" t="n"/>
      <c r="E258" s="17" t="n"/>
      <c r="F258" s="17" t="n"/>
      <c r="G258" s="17" t="n"/>
      <c r="H258" s="17" t="n"/>
      <c r="I258" s="10" t="n"/>
      <c r="J258" s="16" t="n"/>
      <c r="K258" s="16" t="n"/>
    </row>
    <row r="259">
      <c r="A259" s="16" t="n"/>
      <c r="B259" s="17" t="n"/>
      <c r="C259" s="17" t="n"/>
      <c r="D259" s="17" t="n"/>
      <c r="E259" s="17" t="n"/>
      <c r="F259" s="17" t="n"/>
      <c r="G259" s="17" t="n"/>
      <c r="H259" s="17" t="n"/>
      <c r="I259" s="10" t="n"/>
      <c r="J259" s="16" t="n"/>
      <c r="K259" s="16" t="n"/>
    </row>
    <row r="260">
      <c r="A260" s="16" t="n"/>
      <c r="B260" s="17" t="n"/>
      <c r="C260" s="17" t="n"/>
      <c r="D260" s="17" t="n"/>
      <c r="E260" s="17" t="n"/>
      <c r="F260" s="17" t="n"/>
      <c r="G260" s="17" t="n"/>
      <c r="H260" s="17" t="n"/>
      <c r="I260" s="10" t="n"/>
      <c r="J260" s="16" t="n"/>
      <c r="K260" s="16" t="n"/>
    </row>
    <row r="261">
      <c r="A261" s="16" t="n"/>
      <c r="B261" s="17" t="n"/>
      <c r="C261" s="17" t="n"/>
      <c r="D261" s="17" t="n"/>
      <c r="E261" s="17" t="n"/>
      <c r="F261" s="17" t="n"/>
      <c r="G261" s="17" t="n"/>
      <c r="H261" s="17" t="n"/>
      <c r="I261" s="10" t="n"/>
      <c r="J261" s="16" t="n"/>
      <c r="K261" s="16" t="n"/>
    </row>
    <row r="262">
      <c r="A262" s="16" t="n"/>
      <c r="B262" s="17" t="n"/>
      <c r="C262" s="17" t="n"/>
      <c r="D262" s="17" t="n"/>
      <c r="E262" s="17" t="n"/>
      <c r="F262" s="17" t="n"/>
      <c r="G262" s="17" t="n"/>
      <c r="H262" s="17" t="n"/>
      <c r="I262" s="10" t="n"/>
      <c r="J262" s="16" t="n"/>
      <c r="K262" s="16" t="n"/>
    </row>
    <row r="263">
      <c r="A263" s="16" t="n"/>
      <c r="B263" s="17" t="n"/>
      <c r="C263" s="17" t="n"/>
      <c r="D263" s="17" t="n"/>
      <c r="E263" s="17" t="n"/>
      <c r="F263" s="17" t="n"/>
      <c r="G263" s="17" t="n"/>
      <c r="H263" s="17" t="n"/>
      <c r="I263" s="10" t="n"/>
      <c r="J263" s="16" t="n"/>
      <c r="K263" s="16" t="n"/>
    </row>
    <row r="264">
      <c r="A264" s="16" t="n"/>
      <c r="B264" s="17" t="n"/>
      <c r="C264" s="17" t="n"/>
      <c r="D264" s="17" t="n"/>
      <c r="E264" s="17" t="n"/>
      <c r="F264" s="17" t="n"/>
      <c r="G264" s="17" t="n"/>
      <c r="H264" s="17" t="n"/>
      <c r="I264" s="10" t="n"/>
      <c r="J264" s="16" t="n"/>
      <c r="K264" s="16" t="n"/>
    </row>
    <row r="265">
      <c r="A265" s="16" t="n"/>
      <c r="B265" s="17" t="n"/>
      <c r="C265" s="17" t="n"/>
      <c r="D265" s="17" t="n"/>
      <c r="E265" s="17" t="n"/>
      <c r="F265" s="17" t="n"/>
      <c r="G265" s="17" t="n"/>
      <c r="H265" s="17" t="n"/>
      <c r="I265" s="10" t="n"/>
      <c r="J265" s="16" t="n"/>
      <c r="K265" s="16" t="n"/>
    </row>
    <row r="266">
      <c r="A266" s="16" t="n"/>
      <c r="B266" s="17" t="n"/>
      <c r="C266" s="17" t="n"/>
      <c r="D266" s="17" t="n"/>
      <c r="E266" s="17" t="n"/>
      <c r="F266" s="17" t="n"/>
      <c r="G266" s="17" t="n"/>
      <c r="H266" s="17" t="n"/>
      <c r="I266" s="10" t="n"/>
      <c r="J266" s="16" t="n"/>
      <c r="K266" s="16" t="n"/>
    </row>
    <row r="267">
      <c r="A267" s="16" t="n"/>
      <c r="B267" s="17" t="n"/>
      <c r="C267" s="17" t="n"/>
      <c r="D267" s="17" t="n"/>
      <c r="E267" s="17" t="n"/>
      <c r="F267" s="17" t="n"/>
      <c r="G267" s="17" t="n"/>
      <c r="H267" s="17" t="n"/>
      <c r="I267" s="10" t="n"/>
      <c r="J267" s="16" t="n"/>
      <c r="K267" s="16" t="n"/>
    </row>
    <row r="268">
      <c r="A268" s="16" t="n"/>
      <c r="B268" s="17" t="n"/>
      <c r="C268" s="17" t="n"/>
      <c r="D268" s="17" t="n"/>
      <c r="E268" s="17" t="n"/>
      <c r="F268" s="17" t="n"/>
      <c r="G268" s="17" t="n"/>
      <c r="H268" s="17" t="n"/>
      <c r="I268" s="10" t="n"/>
      <c r="J268" s="16" t="n"/>
      <c r="K268" s="16" t="n"/>
    </row>
    <row r="269">
      <c r="A269" s="16" t="n"/>
      <c r="B269" s="17" t="n"/>
      <c r="C269" s="17" t="n"/>
      <c r="D269" s="17" t="n"/>
      <c r="E269" s="17" t="n"/>
      <c r="F269" s="17" t="n"/>
      <c r="G269" s="17" t="n"/>
      <c r="H269" s="17" t="n"/>
      <c r="I269" s="10" t="n"/>
      <c r="J269" s="16" t="n"/>
      <c r="K269" s="16" t="n"/>
    </row>
    <row r="270">
      <c r="A270" s="16" t="n"/>
      <c r="B270" s="17" t="n"/>
      <c r="C270" s="17" t="n"/>
      <c r="D270" s="17" t="n"/>
      <c r="E270" s="17" t="n"/>
      <c r="F270" s="17" t="n"/>
      <c r="G270" s="17" t="n"/>
      <c r="H270" s="17" t="n"/>
      <c r="I270" s="10" t="n"/>
      <c r="J270" s="16" t="n"/>
      <c r="K270" s="16" t="n"/>
    </row>
    <row r="271">
      <c r="A271" s="16" t="n"/>
      <c r="B271" s="17" t="n"/>
      <c r="C271" s="17" t="n"/>
      <c r="D271" s="17" t="n"/>
      <c r="E271" s="17" t="n"/>
      <c r="F271" s="17" t="n"/>
      <c r="G271" s="17" t="n"/>
      <c r="H271" s="17" t="n"/>
      <c r="I271" s="10" t="n"/>
      <c r="J271" s="16" t="n"/>
      <c r="K271" s="16" t="n"/>
    </row>
    <row r="272">
      <c r="A272" s="16" t="n"/>
      <c r="B272" s="17" t="n"/>
      <c r="C272" s="17" t="n"/>
      <c r="D272" s="17" t="n"/>
      <c r="E272" s="17" t="n"/>
      <c r="F272" s="17" t="n"/>
      <c r="G272" s="17" t="n"/>
      <c r="H272" s="17" t="n"/>
      <c r="I272" s="10" t="n"/>
      <c r="J272" s="16" t="n"/>
      <c r="K272" s="16" t="n"/>
    </row>
    <row r="273">
      <c r="A273" s="16" t="n"/>
      <c r="B273" s="17" t="n"/>
      <c r="C273" s="17" t="n"/>
      <c r="D273" s="17" t="n"/>
      <c r="E273" s="17" t="n"/>
      <c r="F273" s="17" t="n"/>
      <c r="G273" s="17" t="n"/>
      <c r="H273" s="17" t="n"/>
      <c r="I273" s="10" t="n"/>
      <c r="J273" s="16" t="n"/>
      <c r="K273" s="16" t="n"/>
    </row>
    <row r="274">
      <c r="A274" s="16" t="n"/>
      <c r="B274" s="17" t="n"/>
      <c r="C274" s="17" t="n"/>
      <c r="D274" s="17" t="n"/>
      <c r="E274" s="17" t="n"/>
      <c r="F274" s="17" t="n"/>
      <c r="G274" s="17" t="n"/>
      <c r="H274" s="17" t="n"/>
      <c r="I274" s="10" t="n"/>
      <c r="J274" s="16" t="n"/>
      <c r="K274" s="16" t="n"/>
    </row>
    <row r="275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0" t="n"/>
      <c r="J275" s="16" t="n"/>
      <c r="K275" s="16" t="n"/>
    </row>
    <row r="276">
      <c r="A276" s="16" t="n"/>
      <c r="B276" s="17" t="n"/>
      <c r="C276" s="17" t="n"/>
      <c r="D276" s="17" t="n"/>
      <c r="E276" s="17" t="n"/>
      <c r="F276" s="17" t="n"/>
      <c r="G276" s="17" t="n"/>
      <c r="H276" s="17" t="n"/>
      <c r="I276" s="10" t="n"/>
      <c r="J276" s="16" t="n"/>
      <c r="K276" s="16" t="n"/>
    </row>
    <row r="277">
      <c r="A277" s="16" t="n"/>
      <c r="B277" s="17" t="n"/>
      <c r="C277" s="17" t="n"/>
      <c r="D277" s="17" t="n"/>
      <c r="E277" s="17" t="n"/>
      <c r="F277" s="17" t="n"/>
      <c r="G277" s="17" t="n"/>
      <c r="H277" s="17" t="n"/>
      <c r="I277" s="10" t="n"/>
      <c r="J277" s="16" t="n"/>
      <c r="K277" s="16" t="n"/>
    </row>
    <row r="278">
      <c r="A278" s="16" t="n"/>
      <c r="B278" s="17" t="n"/>
      <c r="C278" s="17" t="n"/>
      <c r="D278" s="17" t="n"/>
      <c r="E278" s="17" t="n"/>
      <c r="F278" s="17" t="n"/>
      <c r="G278" s="17" t="n"/>
      <c r="H278" s="17" t="n"/>
      <c r="I278" s="10" t="n"/>
      <c r="J278" s="16" t="n"/>
      <c r="K278" s="16" t="n"/>
    </row>
    <row r="279">
      <c r="A279" s="16" t="n"/>
      <c r="B279" s="17" t="n"/>
      <c r="C279" s="17" t="n"/>
      <c r="D279" s="17" t="n"/>
      <c r="E279" s="17" t="n"/>
      <c r="F279" s="17" t="n"/>
      <c r="G279" s="17" t="n"/>
      <c r="H279" s="17" t="n"/>
      <c r="I279" s="10" t="n"/>
      <c r="J279" s="16" t="n"/>
      <c r="K279" s="16" t="n"/>
    </row>
    <row r="280">
      <c r="A280" s="16" t="n"/>
      <c r="B280" s="17" t="n"/>
      <c r="C280" s="17" t="n"/>
      <c r="D280" s="17" t="n"/>
      <c r="E280" s="17" t="n"/>
      <c r="F280" s="17" t="n"/>
      <c r="G280" s="17" t="n"/>
      <c r="H280" s="17" t="n"/>
      <c r="I280" s="10" t="n"/>
      <c r="J280" s="16" t="n"/>
      <c r="K280" s="16" t="n"/>
    </row>
    <row r="281">
      <c r="A281" s="16" t="n"/>
      <c r="B281" s="17" t="n"/>
      <c r="C281" s="17" t="n"/>
      <c r="D281" s="17" t="n"/>
      <c r="E281" s="17" t="n"/>
      <c r="F281" s="17" t="n"/>
      <c r="G281" s="17" t="n"/>
      <c r="H281" s="17" t="n"/>
      <c r="I281" s="10" t="n"/>
      <c r="J281" s="16" t="n"/>
      <c r="K281" s="16" t="n"/>
    </row>
    <row r="282">
      <c r="A282" s="16" t="n"/>
      <c r="B282" s="17" t="n"/>
      <c r="C282" s="17" t="n"/>
      <c r="D282" s="17" t="n"/>
      <c r="E282" s="17" t="n"/>
      <c r="F282" s="17" t="n"/>
      <c r="G282" s="17" t="n"/>
      <c r="H282" s="17" t="n"/>
      <c r="I282" s="10" t="n"/>
      <c r="J282" s="16" t="n"/>
      <c r="K282" s="16" t="n"/>
    </row>
    <row r="283">
      <c r="A283" s="16" t="n"/>
      <c r="B283" s="17" t="n"/>
      <c r="C283" s="17" t="n"/>
      <c r="D283" s="17" t="n"/>
      <c r="E283" s="17" t="n"/>
      <c r="F283" s="17" t="n"/>
      <c r="G283" s="17" t="n"/>
      <c r="H283" s="17" t="n"/>
      <c r="I283" s="10" t="n"/>
      <c r="J283" s="16" t="n"/>
      <c r="K283" s="16" t="n"/>
    </row>
    <row r="284">
      <c r="A284" s="16" t="n"/>
      <c r="B284" s="17" t="n"/>
      <c r="C284" s="17" t="n"/>
      <c r="D284" s="17" t="n"/>
      <c r="E284" s="17" t="n"/>
      <c r="F284" s="17" t="n"/>
      <c r="G284" s="17" t="n"/>
      <c r="H284" s="17" t="n"/>
      <c r="I284" s="10" t="n"/>
      <c r="J284" s="16" t="n"/>
      <c r="K284" s="16" t="n"/>
    </row>
    <row r="285">
      <c r="A285" s="16" t="n"/>
      <c r="B285" s="17" t="n"/>
      <c r="C285" s="17" t="n"/>
      <c r="D285" s="17" t="n"/>
      <c r="E285" s="17" t="n"/>
      <c r="F285" s="17" t="n"/>
      <c r="G285" s="17" t="n"/>
      <c r="H285" s="17" t="n"/>
      <c r="I285" s="10" t="n"/>
      <c r="J285" s="16" t="n"/>
      <c r="K285" s="16" t="n"/>
    </row>
    <row r="286">
      <c r="A286" s="16" t="n"/>
      <c r="B286" s="17" t="n"/>
      <c r="C286" s="17" t="n"/>
      <c r="D286" s="17" t="n"/>
      <c r="E286" s="17" t="n"/>
      <c r="F286" s="17" t="n"/>
      <c r="G286" s="17" t="n"/>
      <c r="H286" s="17" t="n"/>
      <c r="I286" s="10" t="n"/>
      <c r="J286" s="16" t="n"/>
      <c r="K286" s="16" t="n"/>
    </row>
    <row r="287">
      <c r="A287" s="16" t="n"/>
      <c r="B287" s="17" t="n"/>
      <c r="C287" s="17" t="n"/>
      <c r="D287" s="17" t="n"/>
      <c r="E287" s="17" t="n"/>
      <c r="F287" s="17" t="n"/>
      <c r="G287" s="17" t="n"/>
      <c r="H287" s="17" t="n"/>
      <c r="I287" s="10" t="n"/>
      <c r="J287" s="16" t="n"/>
      <c r="K287" s="16" t="n"/>
    </row>
    <row r="288">
      <c r="A288" s="16" t="n"/>
      <c r="B288" s="17" t="n"/>
      <c r="C288" s="17" t="n"/>
      <c r="D288" s="17" t="n"/>
      <c r="E288" s="17" t="n"/>
      <c r="F288" s="17" t="n"/>
      <c r="G288" s="17" t="n"/>
      <c r="H288" s="17" t="n"/>
      <c r="I288" s="10" t="n"/>
      <c r="J288" s="16" t="n"/>
      <c r="K288" s="16" t="n"/>
    </row>
    <row r="289">
      <c r="A289" s="16" t="n"/>
      <c r="B289" s="17" t="n"/>
      <c r="C289" s="17" t="n"/>
      <c r="D289" s="17" t="n"/>
      <c r="E289" s="17" t="n"/>
      <c r="F289" s="17" t="n"/>
      <c r="G289" s="17" t="n"/>
      <c r="H289" s="17" t="n"/>
      <c r="I289" s="10" t="n"/>
      <c r="J289" s="16" t="n"/>
      <c r="K289" s="16" t="n"/>
    </row>
    <row r="290">
      <c r="A290" s="16" t="n"/>
      <c r="B290" s="17" t="n"/>
      <c r="C290" s="17" t="n"/>
      <c r="D290" s="17" t="n"/>
      <c r="E290" s="17" t="n"/>
      <c r="F290" s="17" t="n"/>
      <c r="G290" s="17" t="n"/>
      <c r="H290" s="17" t="n"/>
      <c r="I290" s="10" t="n"/>
      <c r="J290" s="16" t="n"/>
      <c r="K290" s="16" t="n"/>
    </row>
    <row r="291">
      <c r="A291" s="16" t="n"/>
      <c r="B291" s="17" t="n"/>
      <c r="C291" s="17" t="n"/>
      <c r="D291" s="17" t="n"/>
      <c r="E291" s="17" t="n"/>
      <c r="F291" s="17" t="n"/>
      <c r="G291" s="17" t="n"/>
      <c r="H291" s="17" t="n"/>
      <c r="I291" s="10" t="n"/>
      <c r="J291" s="16" t="n"/>
      <c r="K291" s="16" t="n"/>
    </row>
    <row r="292">
      <c r="A292" s="16" t="n"/>
      <c r="B292" s="17" t="n"/>
      <c r="C292" s="17" t="n"/>
      <c r="D292" s="17" t="n"/>
      <c r="E292" s="17" t="n"/>
      <c r="F292" s="17" t="n"/>
      <c r="G292" s="17" t="n"/>
      <c r="H292" s="17" t="n"/>
      <c r="I292" s="10" t="n"/>
      <c r="J292" s="16" t="n"/>
      <c r="K292" s="16" t="n"/>
    </row>
    <row r="293">
      <c r="A293" s="16" t="n"/>
      <c r="B293" s="17" t="n"/>
      <c r="C293" s="17" t="n"/>
      <c r="D293" s="17" t="n"/>
      <c r="E293" s="17" t="n"/>
      <c r="F293" s="17" t="n"/>
      <c r="G293" s="17" t="n"/>
      <c r="H293" s="17" t="n"/>
      <c r="I293" s="10" t="n"/>
      <c r="J293" s="16" t="n"/>
      <c r="K293" s="16" t="n"/>
    </row>
    <row r="294">
      <c r="A294" s="16" t="n"/>
      <c r="B294" s="17" t="n"/>
      <c r="C294" s="17" t="n"/>
      <c r="D294" s="17" t="n"/>
      <c r="E294" s="17" t="n"/>
      <c r="F294" s="17" t="n"/>
      <c r="G294" s="17" t="n"/>
      <c r="H294" s="17" t="n"/>
      <c r="I294" s="10" t="n"/>
      <c r="J294" s="16" t="n"/>
      <c r="K294" s="16" t="n"/>
    </row>
    <row r="295">
      <c r="A295" s="16" t="n"/>
      <c r="B295" s="17" t="n"/>
      <c r="C295" s="17" t="n"/>
      <c r="D295" s="17" t="n"/>
      <c r="E295" s="17" t="n"/>
      <c r="F295" s="17" t="n"/>
      <c r="G295" s="17" t="n"/>
      <c r="H295" s="17" t="n"/>
      <c r="I295" s="10" t="n"/>
      <c r="J295" s="16" t="n"/>
      <c r="K295" s="16" t="n"/>
    </row>
    <row r="296">
      <c r="A296" s="16" t="n"/>
      <c r="B296" s="17" t="n"/>
      <c r="C296" s="17" t="n"/>
      <c r="D296" s="17" t="n"/>
      <c r="E296" s="17" t="n"/>
      <c r="F296" s="17" t="n"/>
      <c r="G296" s="17" t="n"/>
      <c r="H296" s="17" t="n"/>
      <c r="I296" s="10" t="n"/>
      <c r="J296" s="16" t="n"/>
      <c r="K296" s="16" t="n"/>
    </row>
    <row r="297">
      <c r="A297" s="16" t="n"/>
      <c r="B297" s="17" t="n"/>
      <c r="C297" s="17" t="n"/>
      <c r="D297" s="17" t="n"/>
      <c r="E297" s="17" t="n"/>
      <c r="F297" s="17" t="n"/>
      <c r="G297" s="17" t="n"/>
      <c r="H297" s="17" t="n"/>
      <c r="I297" s="10" t="n"/>
      <c r="J297" s="16" t="n"/>
      <c r="K297" s="16" t="n"/>
    </row>
    <row r="298">
      <c r="A298" s="16" t="n"/>
      <c r="B298" s="17" t="n"/>
      <c r="C298" s="17" t="n"/>
      <c r="D298" s="17" t="n"/>
      <c r="E298" s="17" t="n"/>
      <c r="F298" s="17" t="n"/>
      <c r="G298" s="17" t="n"/>
      <c r="H298" s="17" t="n"/>
      <c r="I298" s="10" t="n"/>
      <c r="J298" s="16" t="n"/>
      <c r="K298" s="16" t="n"/>
    </row>
    <row r="299">
      <c r="A299" s="16" t="n"/>
      <c r="B299" s="17" t="n"/>
      <c r="C299" s="17" t="n"/>
      <c r="D299" s="17" t="n"/>
      <c r="E299" s="17" t="n"/>
      <c r="F299" s="17" t="n"/>
      <c r="G299" s="17" t="n"/>
      <c r="H299" s="17" t="n"/>
      <c r="I299" s="10" t="n"/>
      <c r="J299" s="16" t="n"/>
      <c r="K299" s="16" t="n"/>
    </row>
    <row r="300">
      <c r="A300" s="16" t="n"/>
      <c r="B300" s="17" t="n"/>
      <c r="C300" s="17" t="n"/>
      <c r="D300" s="17" t="n"/>
      <c r="E300" s="17" t="n"/>
      <c r="F300" s="17" t="n"/>
      <c r="G300" s="17" t="n"/>
      <c r="H300" s="17" t="n"/>
      <c r="I300" s="10" t="n"/>
      <c r="J300" s="16" t="n"/>
      <c r="K300" s="16" t="n"/>
    </row>
    <row r="301">
      <c r="A301" s="16" t="n"/>
      <c r="B301" s="17" t="n"/>
      <c r="C301" s="17" t="n"/>
      <c r="D301" s="17" t="n"/>
      <c r="E301" s="17" t="n"/>
      <c r="F301" s="17" t="n"/>
      <c r="G301" s="17" t="n"/>
      <c r="H301" s="17" t="n"/>
      <c r="I301" s="10" t="n"/>
      <c r="J301" s="16" t="n"/>
      <c r="K301" s="16" t="n"/>
    </row>
    <row r="302">
      <c r="A302" s="16" t="n"/>
      <c r="B302" s="17" t="n"/>
      <c r="C302" s="17" t="n"/>
      <c r="D302" s="17" t="n"/>
      <c r="E302" s="17" t="n"/>
      <c r="F302" s="17" t="n"/>
      <c r="G302" s="17" t="n"/>
      <c r="H302" s="17" t="n"/>
      <c r="I302" s="10" t="n"/>
      <c r="J302" s="16" t="n"/>
      <c r="K302" s="16" t="n"/>
    </row>
    <row r="303">
      <c r="A303" s="16" t="n"/>
      <c r="B303" s="17" t="n"/>
      <c r="C303" s="17" t="n"/>
      <c r="D303" s="17" t="n"/>
      <c r="E303" s="17" t="n"/>
      <c r="F303" s="17" t="n"/>
      <c r="G303" s="17" t="n"/>
      <c r="H303" s="17" t="n"/>
      <c r="I303" s="10" t="n"/>
      <c r="J303" s="16" t="n"/>
      <c r="K303" s="16" t="n"/>
    </row>
    <row r="304">
      <c r="A304" s="16" t="n"/>
      <c r="B304" s="17" t="n"/>
      <c r="C304" s="17" t="n"/>
      <c r="D304" s="17" t="n"/>
      <c r="E304" s="17" t="n"/>
      <c r="F304" s="17" t="n"/>
      <c r="G304" s="17" t="n"/>
      <c r="H304" s="17" t="n"/>
      <c r="I304" s="10" t="n"/>
      <c r="J304" s="16" t="n"/>
      <c r="K304" s="16" t="n"/>
    </row>
    <row r="305">
      <c r="A305" s="16" t="n"/>
      <c r="B305" s="17" t="n"/>
      <c r="C305" s="17" t="n"/>
      <c r="D305" s="17" t="n"/>
      <c r="E305" s="17" t="n"/>
      <c r="F305" s="17" t="n"/>
      <c r="G305" s="17" t="n"/>
      <c r="H305" s="17" t="n"/>
      <c r="I305" s="10" t="n"/>
      <c r="J305" s="16" t="n"/>
      <c r="K305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K305"/>
  <mergeCells count="1">
    <mergeCell ref="A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A1:W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8" customWidth="1" min="6" max="6"/>
    <col width="12" customWidth="1" min="7" max="7"/>
    <col width="9" customWidth="1" min="8" max="8"/>
    <col width="20" customWidth="1" min="9" max="9"/>
    <col width="14" customWidth="1" min="10" max="10"/>
    <col width="6" customWidth="1" min="11" max="11"/>
    <col width="18" customWidth="1" min="12" max="12"/>
    <col width="36" customWidth="1" min="13" max="13"/>
    <col width="10" customWidth="1" min="14" max="14"/>
    <col width="7" customWidth="1" min="15" max="15"/>
    <col width="12" customWidth="1" min="16" max="16"/>
    <col width="7" customWidth="1" min="17" max="17"/>
    <col width="18" customWidth="1" min="18" max="18"/>
    <col width="9" customWidth="1" min="19" max="19"/>
    <col width="9" customWidth="1" min="20" max="20"/>
    <col width="10" customWidth="1" min="21" max="21"/>
    <col width="13" customWidth="1" min="22" max="22"/>
    <col width="30" customWidth="1" min="23" max="23"/>
  </cols>
  <sheetData>
    <row r="1">
      <c r="A1" s="4" t="inlineStr">
        <is>
          <t>Vendor Quotations (one row per quotation line)</t>
        </is>
      </c>
    </row>
    <row r="2" ht="48" customHeight="1">
      <c r="A2" s="3" t="inlineStr">
        <is>
          <t>Enter or import supplier quotations. Imported quotations start as Draft; a Procurement Reviewer verifies them against the supplier's document. AI-extracted values must be checked by a human.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quotation_id</t>
        </is>
      </c>
      <c r="B4" t="inlineStr">
        <is>
          <t>supplier_id</t>
        </is>
      </c>
      <c r="C4" t="inlineStr">
        <is>
          <t>reference</t>
        </is>
      </c>
      <c r="D4" t="inlineStr">
        <is>
          <t>quote_date</t>
        </is>
      </c>
      <c r="E4" t="inlineStr">
        <is>
          <t>valid_until</t>
        </is>
      </c>
      <c r="F4" t="inlineStr">
        <is>
          <t>currency</t>
        </is>
      </c>
      <c r="G4" t="inlineStr">
        <is>
          <t>tax_treatment</t>
        </is>
      </c>
      <c r="H4" t="inlineStr">
        <is>
          <t>tax_rate_pct</t>
        </is>
      </c>
      <c r="I4" t="inlineStr">
        <is>
          <t>payment_terms</t>
        </is>
      </c>
      <c r="J4" t="inlineStr">
        <is>
          <t>status</t>
        </is>
      </c>
      <c r="K4" t="inlineStr">
        <is>
          <t>line_no</t>
        </is>
      </c>
      <c r="L4" t="inlineStr">
        <is>
          <t>procurement_item_id</t>
        </is>
      </c>
      <c r="M4" t="inlineStr">
        <is>
          <t>description</t>
        </is>
      </c>
      <c r="N4" t="inlineStr">
        <is>
          <t>quantity</t>
        </is>
      </c>
      <c r="O4" t="inlineStr">
        <is>
          <t>unit</t>
        </is>
      </c>
      <c r="P4" t="inlineStr">
        <is>
          <t>unit_rate</t>
        </is>
      </c>
      <c r="Q4" t="inlineStr">
        <is>
          <t>discount_pct</t>
        </is>
      </c>
      <c r="R4" t="inlineStr">
        <is>
          <t>extended</t>
        </is>
      </c>
      <c r="S4" t="inlineStr">
        <is>
          <t>delivery_included</t>
        </is>
      </c>
      <c r="T4" t="inlineStr">
        <is>
          <t>unloading_included</t>
        </is>
      </c>
      <c r="U4" t="inlineStr">
        <is>
          <t>lead_time_days</t>
        </is>
      </c>
      <c r="V4" t="inlineStr">
        <is>
          <t>compliance</t>
        </is>
      </c>
      <c r="W4" t="inlineStr">
        <is>
          <t>comments</t>
        </is>
      </c>
    </row>
    <row r="5" ht="34" customHeight="1">
      <c r="A5" s="15" t="inlineStr">
        <is>
          <t>Quotation ID</t>
        </is>
      </c>
      <c r="B5" s="15" t="inlineStr">
        <is>
          <t>Vendor ID</t>
        </is>
      </c>
      <c r="C5" s="15" t="inlineStr">
        <is>
          <t>Supplier ref</t>
        </is>
      </c>
      <c r="D5" s="15" t="inlineStr">
        <is>
          <t>Quote date</t>
        </is>
      </c>
      <c r="E5" s="15" t="inlineStr">
        <is>
          <t>Valid until</t>
        </is>
      </c>
      <c r="F5" s="15" t="inlineStr">
        <is>
          <t>Currency</t>
        </is>
      </c>
      <c r="G5" s="15" t="inlineStr">
        <is>
          <t>Tax (excl/incl/exempt)</t>
        </is>
      </c>
      <c r="H5" s="15" t="inlineStr">
        <is>
          <t>Tax rate %</t>
        </is>
      </c>
      <c r="I5" s="15" t="inlineStr">
        <is>
          <t>Payment terms</t>
        </is>
      </c>
      <c r="J5" s="15" t="inlineStr">
        <is>
          <t>Status</t>
        </is>
      </c>
      <c r="K5" s="15" t="inlineStr">
        <is>
          <t>Line</t>
        </is>
      </c>
      <c r="L5" s="15" t="inlineStr">
        <is>
          <t>Procurement item</t>
        </is>
      </c>
      <c r="M5" s="15" t="inlineStr">
        <is>
          <t>Description</t>
        </is>
      </c>
      <c r="N5" s="15" t="inlineStr">
        <is>
          <t>Qty</t>
        </is>
      </c>
      <c r="O5" s="15" t="inlineStr">
        <is>
          <t>Unit</t>
        </is>
      </c>
      <c r="P5" s="15" t="inlineStr">
        <is>
          <t>Unit rate</t>
        </is>
      </c>
      <c r="Q5" s="15" t="inlineStr">
        <is>
          <t>Disc %</t>
        </is>
      </c>
      <c r="R5" s="15" t="inlineStr">
        <is>
          <t>Extended (qty x rate x (1-disc))</t>
        </is>
      </c>
      <c r="S5" s="15" t="inlineStr">
        <is>
          <t>Delivery incl.</t>
        </is>
      </c>
      <c r="T5" s="15" t="inlineStr">
        <is>
          <t>Unloading incl.</t>
        </is>
      </c>
      <c r="U5" s="15" t="inlineStr">
        <is>
          <t>Lead time (days)</t>
        </is>
      </c>
      <c r="V5" s="15" t="inlineStr">
        <is>
          <t>Compliance</t>
        </is>
      </c>
      <c r="W5" s="15" t="inlineStr">
        <is>
          <t>Comments / deviations</t>
        </is>
      </c>
    </row>
    <row r="6">
      <c r="A6" s="17" t="n"/>
      <c r="B6" s="17" t="n"/>
      <c r="C6" s="17" t="n"/>
      <c r="D6" s="27" t="n"/>
      <c r="E6" s="27" t="n"/>
      <c r="F6" s="17" t="n"/>
      <c r="G6" s="17" t="n"/>
      <c r="H6" s="17" t="n"/>
      <c r="I6" s="17" t="n"/>
      <c r="J6" s="16" t="n"/>
      <c r="K6" s="17" t="n"/>
      <c r="L6" s="17" t="n"/>
      <c r="M6" s="10" t="n"/>
      <c r="N6" s="23" t="n"/>
      <c r="O6" s="17" t="n"/>
      <c r="P6" s="24" t="n"/>
      <c r="Q6" s="17" t="n"/>
      <c r="R6" s="20">
        <f>IF(OR(N6="",P6=""),"",N6*P6*(1-IF(Q6="",0,Q6)/100))</f>
        <v/>
      </c>
      <c r="S6" s="17" t="n"/>
      <c r="T6" s="17" t="n"/>
      <c r="U6" s="17" t="n"/>
      <c r="V6" s="17" t="n"/>
      <c r="W6" s="10" t="n"/>
    </row>
    <row r="7">
      <c r="A7" s="17" t="n"/>
      <c r="B7" s="17" t="n"/>
      <c r="C7" s="17" t="n"/>
      <c r="D7" s="27" t="n"/>
      <c r="E7" s="27" t="n"/>
      <c r="F7" s="17" t="n"/>
      <c r="G7" s="17" t="n"/>
      <c r="H7" s="17" t="n"/>
      <c r="I7" s="17" t="n"/>
      <c r="J7" s="16" t="n"/>
      <c r="K7" s="17" t="n"/>
      <c r="L7" s="17" t="n"/>
      <c r="M7" s="10" t="n"/>
      <c r="N7" s="23" t="n"/>
      <c r="O7" s="17" t="n"/>
      <c r="P7" s="24" t="n"/>
      <c r="Q7" s="17" t="n"/>
      <c r="R7" s="20">
        <f>IF(OR(N7="",P7=""),"",N7*P7*(1-IF(Q7="",0,Q7)/100))</f>
        <v/>
      </c>
      <c r="S7" s="17" t="n"/>
      <c r="T7" s="17" t="n"/>
      <c r="U7" s="17" t="n"/>
      <c r="V7" s="17" t="n"/>
      <c r="W7" s="10" t="n"/>
    </row>
    <row r="8">
      <c r="A8" s="17" t="n"/>
      <c r="B8" s="17" t="n"/>
      <c r="C8" s="17" t="n"/>
      <c r="D8" s="27" t="n"/>
      <c r="E8" s="27" t="n"/>
      <c r="F8" s="17" t="n"/>
      <c r="G8" s="17" t="n"/>
      <c r="H8" s="17" t="n"/>
      <c r="I8" s="17" t="n"/>
      <c r="J8" s="16" t="n"/>
      <c r="K8" s="17" t="n"/>
      <c r="L8" s="17" t="n"/>
      <c r="M8" s="10" t="n"/>
      <c r="N8" s="23" t="n"/>
      <c r="O8" s="17" t="n"/>
      <c r="P8" s="24" t="n"/>
      <c r="Q8" s="17" t="n"/>
      <c r="R8" s="20">
        <f>IF(OR(N8="",P8=""),"",N8*P8*(1-IF(Q8="",0,Q8)/100))</f>
        <v/>
      </c>
      <c r="S8" s="17" t="n"/>
      <c r="T8" s="17" t="n"/>
      <c r="U8" s="17" t="n"/>
      <c r="V8" s="17" t="n"/>
      <c r="W8" s="10" t="n"/>
    </row>
    <row r="9">
      <c r="A9" s="17" t="n"/>
      <c r="B9" s="17" t="n"/>
      <c r="C9" s="17" t="n"/>
      <c r="D9" s="27" t="n"/>
      <c r="E9" s="27" t="n"/>
      <c r="F9" s="17" t="n"/>
      <c r="G9" s="17" t="n"/>
      <c r="H9" s="17" t="n"/>
      <c r="I9" s="17" t="n"/>
      <c r="J9" s="16" t="n"/>
      <c r="K9" s="17" t="n"/>
      <c r="L9" s="17" t="n"/>
      <c r="M9" s="10" t="n"/>
      <c r="N9" s="23" t="n"/>
      <c r="O9" s="17" t="n"/>
      <c r="P9" s="24" t="n"/>
      <c r="Q9" s="17" t="n"/>
      <c r="R9" s="20">
        <f>IF(OR(N9="",P9=""),"",N9*P9*(1-IF(Q9="",0,Q9)/100))</f>
        <v/>
      </c>
      <c r="S9" s="17" t="n"/>
      <c r="T9" s="17" t="n"/>
      <c r="U9" s="17" t="n"/>
      <c r="V9" s="17" t="n"/>
      <c r="W9" s="10" t="n"/>
    </row>
    <row r="10">
      <c r="A10" s="17" t="n"/>
      <c r="B10" s="17" t="n"/>
      <c r="C10" s="17" t="n"/>
      <c r="D10" s="27" t="n"/>
      <c r="E10" s="27" t="n"/>
      <c r="F10" s="17" t="n"/>
      <c r="G10" s="17" t="n"/>
      <c r="H10" s="17" t="n"/>
      <c r="I10" s="17" t="n"/>
      <c r="J10" s="16" t="n"/>
      <c r="K10" s="17" t="n"/>
      <c r="L10" s="17" t="n"/>
      <c r="M10" s="10" t="n"/>
      <c r="N10" s="23" t="n"/>
      <c r="O10" s="17" t="n"/>
      <c r="P10" s="24" t="n"/>
      <c r="Q10" s="17" t="n"/>
      <c r="R10" s="20">
        <f>IF(OR(N10="",P10=""),"",N10*P10*(1-IF(Q10="",0,Q10)/100))</f>
        <v/>
      </c>
      <c r="S10" s="17" t="n"/>
      <c r="T10" s="17" t="n"/>
      <c r="U10" s="17" t="n"/>
      <c r="V10" s="17" t="n"/>
      <c r="W10" s="10" t="n"/>
    </row>
    <row r="11">
      <c r="A11" s="17" t="n"/>
      <c r="B11" s="17" t="n"/>
      <c r="C11" s="17" t="n"/>
      <c r="D11" s="27" t="n"/>
      <c r="E11" s="27" t="n"/>
      <c r="F11" s="17" t="n"/>
      <c r="G11" s="17" t="n"/>
      <c r="H11" s="17" t="n"/>
      <c r="I11" s="17" t="n"/>
      <c r="J11" s="16" t="n"/>
      <c r="K11" s="17" t="n"/>
      <c r="L11" s="17" t="n"/>
      <c r="M11" s="10" t="n"/>
      <c r="N11" s="23" t="n"/>
      <c r="O11" s="17" t="n"/>
      <c r="P11" s="24" t="n"/>
      <c r="Q11" s="17" t="n"/>
      <c r="R11" s="20">
        <f>IF(OR(N11="",P11=""),"",N11*P11*(1-IF(Q11="",0,Q11)/100))</f>
        <v/>
      </c>
      <c r="S11" s="17" t="n"/>
      <c r="T11" s="17" t="n"/>
      <c r="U11" s="17" t="n"/>
      <c r="V11" s="17" t="n"/>
      <c r="W11" s="10" t="n"/>
    </row>
    <row r="12">
      <c r="A12" s="17" t="n"/>
      <c r="B12" s="17" t="n"/>
      <c r="C12" s="17" t="n"/>
      <c r="D12" s="27" t="n"/>
      <c r="E12" s="27" t="n"/>
      <c r="F12" s="17" t="n"/>
      <c r="G12" s="17" t="n"/>
      <c r="H12" s="17" t="n"/>
      <c r="I12" s="17" t="n"/>
      <c r="J12" s="16" t="n"/>
      <c r="K12" s="17" t="n"/>
      <c r="L12" s="17" t="n"/>
      <c r="M12" s="10" t="n"/>
      <c r="N12" s="23" t="n"/>
      <c r="O12" s="17" t="n"/>
      <c r="P12" s="24" t="n"/>
      <c r="Q12" s="17" t="n"/>
      <c r="R12" s="20">
        <f>IF(OR(N12="",P12=""),"",N12*P12*(1-IF(Q12="",0,Q12)/100))</f>
        <v/>
      </c>
      <c r="S12" s="17" t="n"/>
      <c r="T12" s="17" t="n"/>
      <c r="U12" s="17" t="n"/>
      <c r="V12" s="17" t="n"/>
      <c r="W12" s="10" t="n"/>
    </row>
    <row r="13">
      <c r="A13" s="17" t="n"/>
      <c r="B13" s="17" t="n"/>
      <c r="C13" s="17" t="n"/>
      <c r="D13" s="27" t="n"/>
      <c r="E13" s="27" t="n"/>
      <c r="F13" s="17" t="n"/>
      <c r="G13" s="17" t="n"/>
      <c r="H13" s="17" t="n"/>
      <c r="I13" s="17" t="n"/>
      <c r="J13" s="16" t="n"/>
      <c r="K13" s="17" t="n"/>
      <c r="L13" s="17" t="n"/>
      <c r="M13" s="10" t="n"/>
      <c r="N13" s="23" t="n"/>
      <c r="O13" s="17" t="n"/>
      <c r="P13" s="24" t="n"/>
      <c r="Q13" s="17" t="n"/>
      <c r="R13" s="20">
        <f>IF(OR(N13="",P13=""),"",N13*P13*(1-IF(Q13="",0,Q13)/100))</f>
        <v/>
      </c>
      <c r="S13" s="17" t="n"/>
      <c r="T13" s="17" t="n"/>
      <c r="U13" s="17" t="n"/>
      <c r="V13" s="17" t="n"/>
      <c r="W13" s="10" t="n"/>
    </row>
    <row r="14">
      <c r="A14" s="17" t="n"/>
      <c r="B14" s="17" t="n"/>
      <c r="C14" s="17" t="n"/>
      <c r="D14" s="27" t="n"/>
      <c r="E14" s="27" t="n"/>
      <c r="F14" s="17" t="n"/>
      <c r="G14" s="17" t="n"/>
      <c r="H14" s="17" t="n"/>
      <c r="I14" s="17" t="n"/>
      <c r="J14" s="16" t="n"/>
      <c r="K14" s="17" t="n"/>
      <c r="L14" s="17" t="n"/>
      <c r="M14" s="10" t="n"/>
      <c r="N14" s="23" t="n"/>
      <c r="O14" s="17" t="n"/>
      <c r="P14" s="24" t="n"/>
      <c r="Q14" s="17" t="n"/>
      <c r="R14" s="20">
        <f>IF(OR(N14="",P14=""),"",N14*P14*(1-IF(Q14="",0,Q14)/100))</f>
        <v/>
      </c>
      <c r="S14" s="17" t="n"/>
      <c r="T14" s="17" t="n"/>
      <c r="U14" s="17" t="n"/>
      <c r="V14" s="17" t="n"/>
      <c r="W14" s="10" t="n"/>
    </row>
    <row r="15">
      <c r="A15" s="17" t="n"/>
      <c r="B15" s="17" t="n"/>
      <c r="C15" s="17" t="n"/>
      <c r="D15" s="27" t="n"/>
      <c r="E15" s="27" t="n"/>
      <c r="F15" s="17" t="n"/>
      <c r="G15" s="17" t="n"/>
      <c r="H15" s="17" t="n"/>
      <c r="I15" s="17" t="n"/>
      <c r="J15" s="16" t="n"/>
      <c r="K15" s="17" t="n"/>
      <c r="L15" s="17" t="n"/>
      <c r="M15" s="10" t="n"/>
      <c r="N15" s="23" t="n"/>
      <c r="O15" s="17" t="n"/>
      <c r="P15" s="24" t="n"/>
      <c r="Q15" s="17" t="n"/>
      <c r="R15" s="20">
        <f>IF(OR(N15="",P15=""),"",N15*P15*(1-IF(Q15="",0,Q15)/100))</f>
        <v/>
      </c>
      <c r="S15" s="17" t="n"/>
      <c r="T15" s="17" t="n"/>
      <c r="U15" s="17" t="n"/>
      <c r="V15" s="17" t="n"/>
      <c r="W15" s="10" t="n"/>
    </row>
    <row r="16">
      <c r="A16" s="17" t="n"/>
      <c r="B16" s="17" t="n"/>
      <c r="C16" s="17" t="n"/>
      <c r="D16" s="27" t="n"/>
      <c r="E16" s="27" t="n"/>
      <c r="F16" s="17" t="n"/>
      <c r="G16" s="17" t="n"/>
      <c r="H16" s="17" t="n"/>
      <c r="I16" s="17" t="n"/>
      <c r="J16" s="16" t="n"/>
      <c r="K16" s="17" t="n"/>
      <c r="L16" s="17" t="n"/>
      <c r="M16" s="10" t="n"/>
      <c r="N16" s="23" t="n"/>
      <c r="O16" s="17" t="n"/>
      <c r="P16" s="24" t="n"/>
      <c r="Q16" s="17" t="n"/>
      <c r="R16" s="20">
        <f>IF(OR(N16="",P16=""),"",N16*P16*(1-IF(Q16="",0,Q16)/100))</f>
        <v/>
      </c>
      <c r="S16" s="17" t="n"/>
      <c r="T16" s="17" t="n"/>
      <c r="U16" s="17" t="n"/>
      <c r="V16" s="17" t="n"/>
      <c r="W16" s="10" t="n"/>
    </row>
    <row r="17">
      <c r="A17" s="17" t="n"/>
      <c r="B17" s="17" t="n"/>
      <c r="C17" s="17" t="n"/>
      <c r="D17" s="27" t="n"/>
      <c r="E17" s="27" t="n"/>
      <c r="F17" s="17" t="n"/>
      <c r="G17" s="17" t="n"/>
      <c r="H17" s="17" t="n"/>
      <c r="I17" s="17" t="n"/>
      <c r="J17" s="16" t="n"/>
      <c r="K17" s="17" t="n"/>
      <c r="L17" s="17" t="n"/>
      <c r="M17" s="10" t="n"/>
      <c r="N17" s="23" t="n"/>
      <c r="O17" s="17" t="n"/>
      <c r="P17" s="24" t="n"/>
      <c r="Q17" s="17" t="n"/>
      <c r="R17" s="20">
        <f>IF(OR(N17="",P17=""),"",N17*P17*(1-IF(Q17="",0,Q17)/100))</f>
        <v/>
      </c>
      <c r="S17" s="17" t="n"/>
      <c r="T17" s="17" t="n"/>
      <c r="U17" s="17" t="n"/>
      <c r="V17" s="17" t="n"/>
      <c r="W17" s="10" t="n"/>
    </row>
    <row r="18">
      <c r="A18" s="17" t="n"/>
      <c r="B18" s="17" t="n"/>
      <c r="C18" s="17" t="n"/>
      <c r="D18" s="27" t="n"/>
      <c r="E18" s="27" t="n"/>
      <c r="F18" s="17" t="n"/>
      <c r="G18" s="17" t="n"/>
      <c r="H18" s="17" t="n"/>
      <c r="I18" s="17" t="n"/>
      <c r="J18" s="16" t="n"/>
      <c r="K18" s="17" t="n"/>
      <c r="L18" s="17" t="n"/>
      <c r="M18" s="10" t="n"/>
      <c r="N18" s="23" t="n"/>
      <c r="O18" s="17" t="n"/>
      <c r="P18" s="24" t="n"/>
      <c r="Q18" s="17" t="n"/>
      <c r="R18" s="20">
        <f>IF(OR(N18="",P18=""),"",N18*P18*(1-IF(Q18="",0,Q18)/100))</f>
        <v/>
      </c>
      <c r="S18" s="17" t="n"/>
      <c r="T18" s="17" t="n"/>
      <c r="U18" s="17" t="n"/>
      <c r="V18" s="17" t="n"/>
      <c r="W18" s="10" t="n"/>
    </row>
    <row r="19">
      <c r="A19" s="17" t="n"/>
      <c r="B19" s="17" t="n"/>
      <c r="C19" s="17" t="n"/>
      <c r="D19" s="27" t="n"/>
      <c r="E19" s="27" t="n"/>
      <c r="F19" s="17" t="n"/>
      <c r="G19" s="17" t="n"/>
      <c r="H19" s="17" t="n"/>
      <c r="I19" s="17" t="n"/>
      <c r="J19" s="16" t="n"/>
      <c r="K19" s="17" t="n"/>
      <c r="L19" s="17" t="n"/>
      <c r="M19" s="10" t="n"/>
      <c r="N19" s="23" t="n"/>
      <c r="O19" s="17" t="n"/>
      <c r="P19" s="24" t="n"/>
      <c r="Q19" s="17" t="n"/>
      <c r="R19" s="20">
        <f>IF(OR(N19="",P19=""),"",N19*P19*(1-IF(Q19="",0,Q19)/100))</f>
        <v/>
      </c>
      <c r="S19" s="17" t="n"/>
      <c r="T19" s="17" t="n"/>
      <c r="U19" s="17" t="n"/>
      <c r="V19" s="17" t="n"/>
      <c r="W19" s="10" t="n"/>
    </row>
    <row r="20">
      <c r="A20" s="17" t="n"/>
      <c r="B20" s="17" t="n"/>
      <c r="C20" s="17" t="n"/>
      <c r="D20" s="27" t="n"/>
      <c r="E20" s="27" t="n"/>
      <c r="F20" s="17" t="n"/>
      <c r="G20" s="17" t="n"/>
      <c r="H20" s="17" t="n"/>
      <c r="I20" s="17" t="n"/>
      <c r="J20" s="16" t="n"/>
      <c r="K20" s="17" t="n"/>
      <c r="L20" s="17" t="n"/>
      <c r="M20" s="10" t="n"/>
      <c r="N20" s="23" t="n"/>
      <c r="O20" s="17" t="n"/>
      <c r="P20" s="24" t="n"/>
      <c r="Q20" s="17" t="n"/>
      <c r="R20" s="20">
        <f>IF(OR(N20="",P20=""),"",N20*P20*(1-IF(Q20="",0,Q20)/100))</f>
        <v/>
      </c>
      <c r="S20" s="17" t="n"/>
      <c r="T20" s="17" t="n"/>
      <c r="U20" s="17" t="n"/>
      <c r="V20" s="17" t="n"/>
      <c r="W20" s="10" t="n"/>
    </row>
    <row r="21">
      <c r="A21" s="17" t="n"/>
      <c r="B21" s="17" t="n"/>
      <c r="C21" s="17" t="n"/>
      <c r="D21" s="27" t="n"/>
      <c r="E21" s="27" t="n"/>
      <c r="F21" s="17" t="n"/>
      <c r="G21" s="17" t="n"/>
      <c r="H21" s="17" t="n"/>
      <c r="I21" s="17" t="n"/>
      <c r="J21" s="16" t="n"/>
      <c r="K21" s="17" t="n"/>
      <c r="L21" s="17" t="n"/>
      <c r="M21" s="10" t="n"/>
      <c r="N21" s="23" t="n"/>
      <c r="O21" s="17" t="n"/>
      <c r="P21" s="24" t="n"/>
      <c r="Q21" s="17" t="n"/>
      <c r="R21" s="20">
        <f>IF(OR(N21="",P21=""),"",N21*P21*(1-IF(Q21="",0,Q21)/100))</f>
        <v/>
      </c>
      <c r="S21" s="17" t="n"/>
      <c r="T21" s="17" t="n"/>
      <c r="U21" s="17" t="n"/>
      <c r="V21" s="17" t="n"/>
      <c r="W21" s="10" t="n"/>
    </row>
    <row r="22">
      <c r="A22" s="17" t="n"/>
      <c r="B22" s="17" t="n"/>
      <c r="C22" s="17" t="n"/>
      <c r="D22" s="27" t="n"/>
      <c r="E22" s="27" t="n"/>
      <c r="F22" s="17" t="n"/>
      <c r="G22" s="17" t="n"/>
      <c r="H22" s="17" t="n"/>
      <c r="I22" s="17" t="n"/>
      <c r="J22" s="16" t="n"/>
      <c r="K22" s="17" t="n"/>
      <c r="L22" s="17" t="n"/>
      <c r="M22" s="10" t="n"/>
      <c r="N22" s="23" t="n"/>
      <c r="O22" s="17" t="n"/>
      <c r="P22" s="24" t="n"/>
      <c r="Q22" s="17" t="n"/>
      <c r="R22" s="20">
        <f>IF(OR(N22="",P22=""),"",N22*P22*(1-IF(Q22="",0,Q22)/100))</f>
        <v/>
      </c>
      <c r="S22" s="17" t="n"/>
      <c r="T22" s="17" t="n"/>
      <c r="U22" s="17" t="n"/>
      <c r="V22" s="17" t="n"/>
      <c r="W22" s="10" t="n"/>
    </row>
    <row r="23">
      <c r="A23" s="17" t="n"/>
      <c r="B23" s="17" t="n"/>
      <c r="C23" s="17" t="n"/>
      <c r="D23" s="27" t="n"/>
      <c r="E23" s="27" t="n"/>
      <c r="F23" s="17" t="n"/>
      <c r="G23" s="17" t="n"/>
      <c r="H23" s="17" t="n"/>
      <c r="I23" s="17" t="n"/>
      <c r="J23" s="16" t="n"/>
      <c r="K23" s="17" t="n"/>
      <c r="L23" s="17" t="n"/>
      <c r="M23" s="10" t="n"/>
      <c r="N23" s="23" t="n"/>
      <c r="O23" s="17" t="n"/>
      <c r="P23" s="24" t="n"/>
      <c r="Q23" s="17" t="n"/>
      <c r="R23" s="20">
        <f>IF(OR(N23="",P23=""),"",N23*P23*(1-IF(Q23="",0,Q23)/100))</f>
        <v/>
      </c>
      <c r="S23" s="17" t="n"/>
      <c r="T23" s="17" t="n"/>
      <c r="U23" s="17" t="n"/>
      <c r="V23" s="17" t="n"/>
      <c r="W23" s="10" t="n"/>
    </row>
    <row r="24">
      <c r="A24" s="17" t="n"/>
      <c r="B24" s="17" t="n"/>
      <c r="C24" s="17" t="n"/>
      <c r="D24" s="27" t="n"/>
      <c r="E24" s="27" t="n"/>
      <c r="F24" s="17" t="n"/>
      <c r="G24" s="17" t="n"/>
      <c r="H24" s="17" t="n"/>
      <c r="I24" s="17" t="n"/>
      <c r="J24" s="16" t="n"/>
      <c r="K24" s="17" t="n"/>
      <c r="L24" s="17" t="n"/>
      <c r="M24" s="10" t="n"/>
      <c r="N24" s="23" t="n"/>
      <c r="O24" s="17" t="n"/>
      <c r="P24" s="24" t="n"/>
      <c r="Q24" s="17" t="n"/>
      <c r="R24" s="20">
        <f>IF(OR(N24="",P24=""),"",N24*P24*(1-IF(Q24="",0,Q24)/100))</f>
        <v/>
      </c>
      <c r="S24" s="17" t="n"/>
      <c r="T24" s="17" t="n"/>
      <c r="U24" s="17" t="n"/>
      <c r="V24" s="17" t="n"/>
      <c r="W24" s="10" t="n"/>
    </row>
    <row r="25">
      <c r="A25" s="17" t="n"/>
      <c r="B25" s="17" t="n"/>
      <c r="C25" s="17" t="n"/>
      <c r="D25" s="27" t="n"/>
      <c r="E25" s="27" t="n"/>
      <c r="F25" s="17" t="n"/>
      <c r="G25" s="17" t="n"/>
      <c r="H25" s="17" t="n"/>
      <c r="I25" s="17" t="n"/>
      <c r="J25" s="16" t="n"/>
      <c r="K25" s="17" t="n"/>
      <c r="L25" s="17" t="n"/>
      <c r="M25" s="10" t="n"/>
      <c r="N25" s="23" t="n"/>
      <c r="O25" s="17" t="n"/>
      <c r="P25" s="24" t="n"/>
      <c r="Q25" s="17" t="n"/>
      <c r="R25" s="20">
        <f>IF(OR(N25="",P25=""),"",N25*P25*(1-IF(Q25="",0,Q25)/100))</f>
        <v/>
      </c>
      <c r="S25" s="17" t="n"/>
      <c r="T25" s="17" t="n"/>
      <c r="U25" s="17" t="n"/>
      <c r="V25" s="17" t="n"/>
      <c r="W25" s="10" t="n"/>
    </row>
    <row r="26">
      <c r="A26" s="17" t="n"/>
      <c r="B26" s="17" t="n"/>
      <c r="C26" s="17" t="n"/>
      <c r="D26" s="27" t="n"/>
      <c r="E26" s="27" t="n"/>
      <c r="F26" s="17" t="n"/>
      <c r="G26" s="17" t="n"/>
      <c r="H26" s="17" t="n"/>
      <c r="I26" s="17" t="n"/>
      <c r="J26" s="16" t="n"/>
      <c r="K26" s="17" t="n"/>
      <c r="L26" s="17" t="n"/>
      <c r="M26" s="10" t="n"/>
      <c r="N26" s="23" t="n"/>
      <c r="O26" s="17" t="n"/>
      <c r="P26" s="24" t="n"/>
      <c r="Q26" s="17" t="n"/>
      <c r="R26" s="20">
        <f>IF(OR(N26="",P26=""),"",N26*P26*(1-IF(Q26="",0,Q26)/100))</f>
        <v/>
      </c>
      <c r="S26" s="17" t="n"/>
      <c r="T26" s="17" t="n"/>
      <c r="U26" s="17" t="n"/>
      <c r="V26" s="17" t="n"/>
      <c r="W26" s="10" t="n"/>
    </row>
    <row r="27">
      <c r="A27" s="17" t="n"/>
      <c r="B27" s="17" t="n"/>
      <c r="C27" s="17" t="n"/>
      <c r="D27" s="27" t="n"/>
      <c r="E27" s="27" t="n"/>
      <c r="F27" s="17" t="n"/>
      <c r="G27" s="17" t="n"/>
      <c r="H27" s="17" t="n"/>
      <c r="I27" s="17" t="n"/>
      <c r="J27" s="16" t="n"/>
      <c r="K27" s="17" t="n"/>
      <c r="L27" s="17" t="n"/>
      <c r="M27" s="10" t="n"/>
      <c r="N27" s="23" t="n"/>
      <c r="O27" s="17" t="n"/>
      <c r="P27" s="24" t="n"/>
      <c r="Q27" s="17" t="n"/>
      <c r="R27" s="20">
        <f>IF(OR(N27="",P27=""),"",N27*P27*(1-IF(Q27="",0,Q27)/100))</f>
        <v/>
      </c>
      <c r="S27" s="17" t="n"/>
      <c r="T27" s="17" t="n"/>
      <c r="U27" s="17" t="n"/>
      <c r="V27" s="17" t="n"/>
      <c r="W27" s="10" t="n"/>
    </row>
    <row r="28">
      <c r="A28" s="17" t="n"/>
      <c r="B28" s="17" t="n"/>
      <c r="C28" s="17" t="n"/>
      <c r="D28" s="27" t="n"/>
      <c r="E28" s="27" t="n"/>
      <c r="F28" s="17" t="n"/>
      <c r="G28" s="17" t="n"/>
      <c r="H28" s="17" t="n"/>
      <c r="I28" s="17" t="n"/>
      <c r="J28" s="16" t="n"/>
      <c r="K28" s="17" t="n"/>
      <c r="L28" s="17" t="n"/>
      <c r="M28" s="10" t="n"/>
      <c r="N28" s="23" t="n"/>
      <c r="O28" s="17" t="n"/>
      <c r="P28" s="24" t="n"/>
      <c r="Q28" s="17" t="n"/>
      <c r="R28" s="20">
        <f>IF(OR(N28="",P28=""),"",N28*P28*(1-IF(Q28="",0,Q28)/100))</f>
        <v/>
      </c>
      <c r="S28" s="17" t="n"/>
      <c r="T28" s="17" t="n"/>
      <c r="U28" s="17" t="n"/>
      <c r="V28" s="17" t="n"/>
      <c r="W28" s="10" t="n"/>
    </row>
    <row r="29">
      <c r="A29" s="17" t="n"/>
      <c r="B29" s="17" t="n"/>
      <c r="C29" s="17" t="n"/>
      <c r="D29" s="27" t="n"/>
      <c r="E29" s="27" t="n"/>
      <c r="F29" s="17" t="n"/>
      <c r="G29" s="17" t="n"/>
      <c r="H29" s="17" t="n"/>
      <c r="I29" s="17" t="n"/>
      <c r="J29" s="16" t="n"/>
      <c r="K29" s="17" t="n"/>
      <c r="L29" s="17" t="n"/>
      <c r="M29" s="10" t="n"/>
      <c r="N29" s="23" t="n"/>
      <c r="O29" s="17" t="n"/>
      <c r="P29" s="24" t="n"/>
      <c r="Q29" s="17" t="n"/>
      <c r="R29" s="20">
        <f>IF(OR(N29="",P29=""),"",N29*P29*(1-IF(Q29="",0,Q29)/100))</f>
        <v/>
      </c>
      <c r="S29" s="17" t="n"/>
      <c r="T29" s="17" t="n"/>
      <c r="U29" s="17" t="n"/>
      <c r="V29" s="17" t="n"/>
      <c r="W29" s="10" t="n"/>
    </row>
    <row r="30">
      <c r="A30" s="17" t="n"/>
      <c r="B30" s="17" t="n"/>
      <c r="C30" s="17" t="n"/>
      <c r="D30" s="27" t="n"/>
      <c r="E30" s="27" t="n"/>
      <c r="F30" s="17" t="n"/>
      <c r="G30" s="17" t="n"/>
      <c r="H30" s="17" t="n"/>
      <c r="I30" s="17" t="n"/>
      <c r="J30" s="16" t="n"/>
      <c r="K30" s="17" t="n"/>
      <c r="L30" s="17" t="n"/>
      <c r="M30" s="10" t="n"/>
      <c r="N30" s="23" t="n"/>
      <c r="O30" s="17" t="n"/>
      <c r="P30" s="24" t="n"/>
      <c r="Q30" s="17" t="n"/>
      <c r="R30" s="20">
        <f>IF(OR(N30="",P30=""),"",N30*P30*(1-IF(Q30="",0,Q30)/100))</f>
        <v/>
      </c>
      <c r="S30" s="17" t="n"/>
      <c r="T30" s="17" t="n"/>
      <c r="U30" s="17" t="n"/>
      <c r="V30" s="17" t="n"/>
      <c r="W30" s="10" t="n"/>
    </row>
    <row r="31">
      <c r="A31" s="17" t="n"/>
      <c r="B31" s="17" t="n"/>
      <c r="C31" s="17" t="n"/>
      <c r="D31" s="27" t="n"/>
      <c r="E31" s="27" t="n"/>
      <c r="F31" s="17" t="n"/>
      <c r="G31" s="17" t="n"/>
      <c r="H31" s="17" t="n"/>
      <c r="I31" s="17" t="n"/>
      <c r="J31" s="16" t="n"/>
      <c r="K31" s="17" t="n"/>
      <c r="L31" s="17" t="n"/>
      <c r="M31" s="10" t="n"/>
      <c r="N31" s="23" t="n"/>
      <c r="O31" s="17" t="n"/>
      <c r="P31" s="24" t="n"/>
      <c r="Q31" s="17" t="n"/>
      <c r="R31" s="20">
        <f>IF(OR(N31="",P31=""),"",N31*P31*(1-IF(Q31="",0,Q31)/100))</f>
        <v/>
      </c>
      <c r="S31" s="17" t="n"/>
      <c r="T31" s="17" t="n"/>
      <c r="U31" s="17" t="n"/>
      <c r="V31" s="17" t="n"/>
      <c r="W31" s="10" t="n"/>
    </row>
    <row r="32">
      <c r="A32" s="17" t="n"/>
      <c r="B32" s="17" t="n"/>
      <c r="C32" s="17" t="n"/>
      <c r="D32" s="27" t="n"/>
      <c r="E32" s="27" t="n"/>
      <c r="F32" s="17" t="n"/>
      <c r="G32" s="17" t="n"/>
      <c r="H32" s="17" t="n"/>
      <c r="I32" s="17" t="n"/>
      <c r="J32" s="16" t="n"/>
      <c r="K32" s="17" t="n"/>
      <c r="L32" s="17" t="n"/>
      <c r="M32" s="10" t="n"/>
      <c r="N32" s="23" t="n"/>
      <c r="O32" s="17" t="n"/>
      <c r="P32" s="24" t="n"/>
      <c r="Q32" s="17" t="n"/>
      <c r="R32" s="20">
        <f>IF(OR(N32="",P32=""),"",N32*P32*(1-IF(Q32="",0,Q32)/100))</f>
        <v/>
      </c>
      <c r="S32" s="17" t="n"/>
      <c r="T32" s="17" t="n"/>
      <c r="U32" s="17" t="n"/>
      <c r="V32" s="17" t="n"/>
      <c r="W32" s="10" t="n"/>
    </row>
    <row r="33">
      <c r="A33" s="17" t="n"/>
      <c r="B33" s="17" t="n"/>
      <c r="C33" s="17" t="n"/>
      <c r="D33" s="27" t="n"/>
      <c r="E33" s="27" t="n"/>
      <c r="F33" s="17" t="n"/>
      <c r="G33" s="17" t="n"/>
      <c r="H33" s="17" t="n"/>
      <c r="I33" s="17" t="n"/>
      <c r="J33" s="16" t="n"/>
      <c r="K33" s="17" t="n"/>
      <c r="L33" s="17" t="n"/>
      <c r="M33" s="10" t="n"/>
      <c r="N33" s="23" t="n"/>
      <c r="O33" s="17" t="n"/>
      <c r="P33" s="24" t="n"/>
      <c r="Q33" s="17" t="n"/>
      <c r="R33" s="20">
        <f>IF(OR(N33="",P33=""),"",N33*P33*(1-IF(Q33="",0,Q33)/100))</f>
        <v/>
      </c>
      <c r="S33" s="17" t="n"/>
      <c r="T33" s="17" t="n"/>
      <c r="U33" s="17" t="n"/>
      <c r="V33" s="17" t="n"/>
      <c r="W33" s="10" t="n"/>
    </row>
    <row r="34">
      <c r="A34" s="17" t="n"/>
      <c r="B34" s="17" t="n"/>
      <c r="C34" s="17" t="n"/>
      <c r="D34" s="27" t="n"/>
      <c r="E34" s="27" t="n"/>
      <c r="F34" s="17" t="n"/>
      <c r="G34" s="17" t="n"/>
      <c r="H34" s="17" t="n"/>
      <c r="I34" s="17" t="n"/>
      <c r="J34" s="16" t="n"/>
      <c r="K34" s="17" t="n"/>
      <c r="L34" s="17" t="n"/>
      <c r="M34" s="10" t="n"/>
      <c r="N34" s="23" t="n"/>
      <c r="O34" s="17" t="n"/>
      <c r="P34" s="24" t="n"/>
      <c r="Q34" s="17" t="n"/>
      <c r="R34" s="20">
        <f>IF(OR(N34="",P34=""),"",N34*P34*(1-IF(Q34="",0,Q34)/100))</f>
        <v/>
      </c>
      <c r="S34" s="17" t="n"/>
      <c r="T34" s="17" t="n"/>
      <c r="U34" s="17" t="n"/>
      <c r="V34" s="17" t="n"/>
      <c r="W34" s="10" t="n"/>
    </row>
    <row r="35">
      <c r="A35" s="17" t="n"/>
      <c r="B35" s="17" t="n"/>
      <c r="C35" s="17" t="n"/>
      <c r="D35" s="27" t="n"/>
      <c r="E35" s="27" t="n"/>
      <c r="F35" s="17" t="n"/>
      <c r="G35" s="17" t="n"/>
      <c r="H35" s="17" t="n"/>
      <c r="I35" s="17" t="n"/>
      <c r="J35" s="16" t="n"/>
      <c r="K35" s="17" t="n"/>
      <c r="L35" s="17" t="n"/>
      <c r="M35" s="10" t="n"/>
      <c r="N35" s="23" t="n"/>
      <c r="O35" s="17" t="n"/>
      <c r="P35" s="24" t="n"/>
      <c r="Q35" s="17" t="n"/>
      <c r="R35" s="20">
        <f>IF(OR(N35="",P35=""),"",N35*P35*(1-IF(Q35="",0,Q35)/100))</f>
        <v/>
      </c>
      <c r="S35" s="17" t="n"/>
      <c r="T35" s="17" t="n"/>
      <c r="U35" s="17" t="n"/>
      <c r="V35" s="17" t="n"/>
      <c r="W35" s="10" t="n"/>
    </row>
    <row r="36">
      <c r="A36" s="17" t="n"/>
      <c r="B36" s="17" t="n"/>
      <c r="C36" s="17" t="n"/>
      <c r="D36" s="27" t="n"/>
      <c r="E36" s="27" t="n"/>
      <c r="F36" s="17" t="n"/>
      <c r="G36" s="17" t="n"/>
      <c r="H36" s="17" t="n"/>
      <c r="I36" s="17" t="n"/>
      <c r="J36" s="16" t="n"/>
      <c r="K36" s="17" t="n"/>
      <c r="L36" s="17" t="n"/>
      <c r="M36" s="10" t="n"/>
      <c r="N36" s="23" t="n"/>
      <c r="O36" s="17" t="n"/>
      <c r="P36" s="24" t="n"/>
      <c r="Q36" s="17" t="n"/>
      <c r="R36" s="20">
        <f>IF(OR(N36="",P36=""),"",N36*P36*(1-IF(Q36="",0,Q36)/100))</f>
        <v/>
      </c>
      <c r="S36" s="17" t="n"/>
      <c r="T36" s="17" t="n"/>
      <c r="U36" s="17" t="n"/>
      <c r="V36" s="17" t="n"/>
      <c r="W36" s="10" t="n"/>
    </row>
    <row r="37">
      <c r="A37" s="17" t="n"/>
      <c r="B37" s="17" t="n"/>
      <c r="C37" s="17" t="n"/>
      <c r="D37" s="27" t="n"/>
      <c r="E37" s="27" t="n"/>
      <c r="F37" s="17" t="n"/>
      <c r="G37" s="17" t="n"/>
      <c r="H37" s="17" t="n"/>
      <c r="I37" s="17" t="n"/>
      <c r="J37" s="16" t="n"/>
      <c r="K37" s="17" t="n"/>
      <c r="L37" s="17" t="n"/>
      <c r="M37" s="10" t="n"/>
      <c r="N37" s="23" t="n"/>
      <c r="O37" s="17" t="n"/>
      <c r="P37" s="24" t="n"/>
      <c r="Q37" s="17" t="n"/>
      <c r="R37" s="20">
        <f>IF(OR(N37="",P37=""),"",N37*P37*(1-IF(Q37="",0,Q37)/100))</f>
        <v/>
      </c>
      <c r="S37" s="17" t="n"/>
      <c r="T37" s="17" t="n"/>
      <c r="U37" s="17" t="n"/>
      <c r="V37" s="17" t="n"/>
      <c r="W37" s="10" t="n"/>
    </row>
    <row r="38">
      <c r="A38" s="17" t="n"/>
      <c r="B38" s="17" t="n"/>
      <c r="C38" s="17" t="n"/>
      <c r="D38" s="27" t="n"/>
      <c r="E38" s="27" t="n"/>
      <c r="F38" s="17" t="n"/>
      <c r="G38" s="17" t="n"/>
      <c r="H38" s="17" t="n"/>
      <c r="I38" s="17" t="n"/>
      <c r="J38" s="16" t="n"/>
      <c r="K38" s="17" t="n"/>
      <c r="L38" s="17" t="n"/>
      <c r="M38" s="10" t="n"/>
      <c r="N38" s="23" t="n"/>
      <c r="O38" s="17" t="n"/>
      <c r="P38" s="24" t="n"/>
      <c r="Q38" s="17" t="n"/>
      <c r="R38" s="20">
        <f>IF(OR(N38="",P38=""),"",N38*P38*(1-IF(Q38="",0,Q38)/100))</f>
        <v/>
      </c>
      <c r="S38" s="17" t="n"/>
      <c r="T38" s="17" t="n"/>
      <c r="U38" s="17" t="n"/>
      <c r="V38" s="17" t="n"/>
      <c r="W38" s="10" t="n"/>
    </row>
    <row r="39">
      <c r="A39" s="17" t="n"/>
      <c r="B39" s="17" t="n"/>
      <c r="C39" s="17" t="n"/>
      <c r="D39" s="27" t="n"/>
      <c r="E39" s="27" t="n"/>
      <c r="F39" s="17" t="n"/>
      <c r="G39" s="17" t="n"/>
      <c r="H39" s="17" t="n"/>
      <c r="I39" s="17" t="n"/>
      <c r="J39" s="16" t="n"/>
      <c r="K39" s="17" t="n"/>
      <c r="L39" s="17" t="n"/>
      <c r="M39" s="10" t="n"/>
      <c r="N39" s="23" t="n"/>
      <c r="O39" s="17" t="n"/>
      <c r="P39" s="24" t="n"/>
      <c r="Q39" s="17" t="n"/>
      <c r="R39" s="20">
        <f>IF(OR(N39="",P39=""),"",N39*P39*(1-IF(Q39="",0,Q39)/100))</f>
        <v/>
      </c>
      <c r="S39" s="17" t="n"/>
      <c r="T39" s="17" t="n"/>
      <c r="U39" s="17" t="n"/>
      <c r="V39" s="17" t="n"/>
      <c r="W39" s="10" t="n"/>
    </row>
    <row r="40">
      <c r="A40" s="17" t="n"/>
      <c r="B40" s="17" t="n"/>
      <c r="C40" s="17" t="n"/>
      <c r="D40" s="27" t="n"/>
      <c r="E40" s="27" t="n"/>
      <c r="F40" s="17" t="n"/>
      <c r="G40" s="17" t="n"/>
      <c r="H40" s="17" t="n"/>
      <c r="I40" s="17" t="n"/>
      <c r="J40" s="16" t="n"/>
      <c r="K40" s="17" t="n"/>
      <c r="L40" s="17" t="n"/>
      <c r="M40" s="10" t="n"/>
      <c r="N40" s="23" t="n"/>
      <c r="O40" s="17" t="n"/>
      <c r="P40" s="24" t="n"/>
      <c r="Q40" s="17" t="n"/>
      <c r="R40" s="20">
        <f>IF(OR(N40="",P40=""),"",N40*P40*(1-IF(Q40="",0,Q40)/100))</f>
        <v/>
      </c>
      <c r="S40" s="17" t="n"/>
      <c r="T40" s="17" t="n"/>
      <c r="U40" s="17" t="n"/>
      <c r="V40" s="17" t="n"/>
      <c r="W40" s="10" t="n"/>
    </row>
    <row r="41">
      <c r="A41" s="17" t="n"/>
      <c r="B41" s="17" t="n"/>
      <c r="C41" s="17" t="n"/>
      <c r="D41" s="27" t="n"/>
      <c r="E41" s="27" t="n"/>
      <c r="F41" s="17" t="n"/>
      <c r="G41" s="17" t="n"/>
      <c r="H41" s="17" t="n"/>
      <c r="I41" s="17" t="n"/>
      <c r="J41" s="16" t="n"/>
      <c r="K41" s="17" t="n"/>
      <c r="L41" s="17" t="n"/>
      <c r="M41" s="10" t="n"/>
      <c r="N41" s="23" t="n"/>
      <c r="O41" s="17" t="n"/>
      <c r="P41" s="24" t="n"/>
      <c r="Q41" s="17" t="n"/>
      <c r="R41" s="20">
        <f>IF(OR(N41="",P41=""),"",N41*P41*(1-IF(Q41="",0,Q41)/100))</f>
        <v/>
      </c>
      <c r="S41" s="17" t="n"/>
      <c r="T41" s="17" t="n"/>
      <c r="U41" s="17" t="n"/>
      <c r="V41" s="17" t="n"/>
      <c r="W41" s="10" t="n"/>
    </row>
    <row r="42">
      <c r="A42" s="17" t="n"/>
      <c r="B42" s="17" t="n"/>
      <c r="C42" s="17" t="n"/>
      <c r="D42" s="27" t="n"/>
      <c r="E42" s="27" t="n"/>
      <c r="F42" s="17" t="n"/>
      <c r="G42" s="17" t="n"/>
      <c r="H42" s="17" t="n"/>
      <c r="I42" s="17" t="n"/>
      <c r="J42" s="16" t="n"/>
      <c r="K42" s="17" t="n"/>
      <c r="L42" s="17" t="n"/>
      <c r="M42" s="10" t="n"/>
      <c r="N42" s="23" t="n"/>
      <c r="O42" s="17" t="n"/>
      <c r="P42" s="24" t="n"/>
      <c r="Q42" s="17" t="n"/>
      <c r="R42" s="20">
        <f>IF(OR(N42="",P42=""),"",N42*P42*(1-IF(Q42="",0,Q42)/100))</f>
        <v/>
      </c>
      <c r="S42" s="17" t="n"/>
      <c r="T42" s="17" t="n"/>
      <c r="U42" s="17" t="n"/>
      <c r="V42" s="17" t="n"/>
      <c r="W42" s="10" t="n"/>
    </row>
    <row r="43">
      <c r="A43" s="17" t="n"/>
      <c r="B43" s="17" t="n"/>
      <c r="C43" s="17" t="n"/>
      <c r="D43" s="27" t="n"/>
      <c r="E43" s="27" t="n"/>
      <c r="F43" s="17" t="n"/>
      <c r="G43" s="17" t="n"/>
      <c r="H43" s="17" t="n"/>
      <c r="I43" s="17" t="n"/>
      <c r="J43" s="16" t="n"/>
      <c r="K43" s="17" t="n"/>
      <c r="L43" s="17" t="n"/>
      <c r="M43" s="10" t="n"/>
      <c r="N43" s="23" t="n"/>
      <c r="O43" s="17" t="n"/>
      <c r="P43" s="24" t="n"/>
      <c r="Q43" s="17" t="n"/>
      <c r="R43" s="20">
        <f>IF(OR(N43="",P43=""),"",N43*P43*(1-IF(Q43="",0,Q43)/100))</f>
        <v/>
      </c>
      <c r="S43" s="17" t="n"/>
      <c r="T43" s="17" t="n"/>
      <c r="U43" s="17" t="n"/>
      <c r="V43" s="17" t="n"/>
      <c r="W43" s="10" t="n"/>
    </row>
    <row r="44">
      <c r="A44" s="17" t="n"/>
      <c r="B44" s="17" t="n"/>
      <c r="C44" s="17" t="n"/>
      <c r="D44" s="27" t="n"/>
      <c r="E44" s="27" t="n"/>
      <c r="F44" s="17" t="n"/>
      <c r="G44" s="17" t="n"/>
      <c r="H44" s="17" t="n"/>
      <c r="I44" s="17" t="n"/>
      <c r="J44" s="16" t="n"/>
      <c r="K44" s="17" t="n"/>
      <c r="L44" s="17" t="n"/>
      <c r="M44" s="10" t="n"/>
      <c r="N44" s="23" t="n"/>
      <c r="O44" s="17" t="n"/>
      <c r="P44" s="24" t="n"/>
      <c r="Q44" s="17" t="n"/>
      <c r="R44" s="20">
        <f>IF(OR(N44="",P44=""),"",N44*P44*(1-IF(Q44="",0,Q44)/100))</f>
        <v/>
      </c>
      <c r="S44" s="17" t="n"/>
      <c r="T44" s="17" t="n"/>
      <c r="U44" s="17" t="n"/>
      <c r="V44" s="17" t="n"/>
      <c r="W44" s="10" t="n"/>
    </row>
    <row r="45">
      <c r="A45" s="17" t="n"/>
      <c r="B45" s="17" t="n"/>
      <c r="C45" s="17" t="n"/>
      <c r="D45" s="27" t="n"/>
      <c r="E45" s="27" t="n"/>
      <c r="F45" s="17" t="n"/>
      <c r="G45" s="17" t="n"/>
      <c r="H45" s="17" t="n"/>
      <c r="I45" s="17" t="n"/>
      <c r="J45" s="16" t="n"/>
      <c r="K45" s="17" t="n"/>
      <c r="L45" s="17" t="n"/>
      <c r="M45" s="10" t="n"/>
      <c r="N45" s="23" t="n"/>
      <c r="O45" s="17" t="n"/>
      <c r="P45" s="24" t="n"/>
      <c r="Q45" s="17" t="n"/>
      <c r="R45" s="20">
        <f>IF(OR(N45="",P45=""),"",N45*P45*(1-IF(Q45="",0,Q45)/100))</f>
        <v/>
      </c>
      <c r="S45" s="17" t="n"/>
      <c r="T45" s="17" t="n"/>
      <c r="U45" s="17" t="n"/>
      <c r="V45" s="17" t="n"/>
      <c r="W45" s="10" t="n"/>
    </row>
    <row r="46">
      <c r="A46" s="17" t="n"/>
      <c r="B46" s="17" t="n"/>
      <c r="C46" s="17" t="n"/>
      <c r="D46" s="27" t="n"/>
      <c r="E46" s="27" t="n"/>
      <c r="F46" s="17" t="n"/>
      <c r="G46" s="17" t="n"/>
      <c r="H46" s="17" t="n"/>
      <c r="I46" s="17" t="n"/>
      <c r="J46" s="16" t="n"/>
      <c r="K46" s="17" t="n"/>
      <c r="L46" s="17" t="n"/>
      <c r="M46" s="10" t="n"/>
      <c r="N46" s="23" t="n"/>
      <c r="O46" s="17" t="n"/>
      <c r="P46" s="24" t="n"/>
      <c r="Q46" s="17" t="n"/>
      <c r="R46" s="20">
        <f>IF(OR(N46="",P46=""),"",N46*P46*(1-IF(Q46="",0,Q46)/100))</f>
        <v/>
      </c>
      <c r="S46" s="17" t="n"/>
      <c r="T46" s="17" t="n"/>
      <c r="U46" s="17" t="n"/>
      <c r="V46" s="17" t="n"/>
      <c r="W46" s="10" t="n"/>
    </row>
    <row r="47">
      <c r="A47" s="17" t="n"/>
      <c r="B47" s="17" t="n"/>
      <c r="C47" s="17" t="n"/>
      <c r="D47" s="27" t="n"/>
      <c r="E47" s="27" t="n"/>
      <c r="F47" s="17" t="n"/>
      <c r="G47" s="17" t="n"/>
      <c r="H47" s="17" t="n"/>
      <c r="I47" s="17" t="n"/>
      <c r="J47" s="16" t="n"/>
      <c r="K47" s="17" t="n"/>
      <c r="L47" s="17" t="n"/>
      <c r="M47" s="10" t="n"/>
      <c r="N47" s="23" t="n"/>
      <c r="O47" s="17" t="n"/>
      <c r="P47" s="24" t="n"/>
      <c r="Q47" s="17" t="n"/>
      <c r="R47" s="20">
        <f>IF(OR(N47="",P47=""),"",N47*P47*(1-IF(Q47="",0,Q47)/100))</f>
        <v/>
      </c>
      <c r="S47" s="17" t="n"/>
      <c r="T47" s="17" t="n"/>
      <c r="U47" s="17" t="n"/>
      <c r="V47" s="17" t="n"/>
      <c r="W47" s="10" t="n"/>
    </row>
    <row r="48">
      <c r="A48" s="17" t="n"/>
      <c r="B48" s="17" t="n"/>
      <c r="C48" s="17" t="n"/>
      <c r="D48" s="27" t="n"/>
      <c r="E48" s="27" t="n"/>
      <c r="F48" s="17" t="n"/>
      <c r="G48" s="17" t="n"/>
      <c r="H48" s="17" t="n"/>
      <c r="I48" s="17" t="n"/>
      <c r="J48" s="16" t="n"/>
      <c r="K48" s="17" t="n"/>
      <c r="L48" s="17" t="n"/>
      <c r="M48" s="10" t="n"/>
      <c r="N48" s="23" t="n"/>
      <c r="O48" s="17" t="n"/>
      <c r="P48" s="24" t="n"/>
      <c r="Q48" s="17" t="n"/>
      <c r="R48" s="20">
        <f>IF(OR(N48="",P48=""),"",N48*P48*(1-IF(Q48="",0,Q48)/100))</f>
        <v/>
      </c>
      <c r="S48" s="17" t="n"/>
      <c r="T48" s="17" t="n"/>
      <c r="U48" s="17" t="n"/>
      <c r="V48" s="17" t="n"/>
      <c r="W48" s="10" t="n"/>
    </row>
    <row r="49">
      <c r="A49" s="17" t="n"/>
      <c r="B49" s="17" t="n"/>
      <c r="C49" s="17" t="n"/>
      <c r="D49" s="27" t="n"/>
      <c r="E49" s="27" t="n"/>
      <c r="F49" s="17" t="n"/>
      <c r="G49" s="17" t="n"/>
      <c r="H49" s="17" t="n"/>
      <c r="I49" s="17" t="n"/>
      <c r="J49" s="16" t="n"/>
      <c r="K49" s="17" t="n"/>
      <c r="L49" s="17" t="n"/>
      <c r="M49" s="10" t="n"/>
      <c r="N49" s="23" t="n"/>
      <c r="O49" s="17" t="n"/>
      <c r="P49" s="24" t="n"/>
      <c r="Q49" s="17" t="n"/>
      <c r="R49" s="20">
        <f>IF(OR(N49="",P49=""),"",N49*P49*(1-IF(Q49="",0,Q49)/100))</f>
        <v/>
      </c>
      <c r="S49" s="17" t="n"/>
      <c r="T49" s="17" t="n"/>
      <c r="U49" s="17" t="n"/>
      <c r="V49" s="17" t="n"/>
      <c r="W49" s="10" t="n"/>
    </row>
    <row r="50">
      <c r="A50" s="17" t="n"/>
      <c r="B50" s="17" t="n"/>
      <c r="C50" s="17" t="n"/>
      <c r="D50" s="27" t="n"/>
      <c r="E50" s="27" t="n"/>
      <c r="F50" s="17" t="n"/>
      <c r="G50" s="17" t="n"/>
      <c r="H50" s="17" t="n"/>
      <c r="I50" s="17" t="n"/>
      <c r="J50" s="16" t="n"/>
      <c r="K50" s="17" t="n"/>
      <c r="L50" s="17" t="n"/>
      <c r="M50" s="10" t="n"/>
      <c r="N50" s="23" t="n"/>
      <c r="O50" s="17" t="n"/>
      <c r="P50" s="24" t="n"/>
      <c r="Q50" s="17" t="n"/>
      <c r="R50" s="20">
        <f>IF(OR(N50="",P50=""),"",N50*P50*(1-IF(Q50="",0,Q50)/100))</f>
        <v/>
      </c>
      <c r="S50" s="17" t="n"/>
      <c r="T50" s="17" t="n"/>
      <c r="U50" s="17" t="n"/>
      <c r="V50" s="17" t="n"/>
      <c r="W50" s="10" t="n"/>
    </row>
    <row r="51">
      <c r="A51" s="17" t="n"/>
      <c r="B51" s="17" t="n"/>
      <c r="C51" s="17" t="n"/>
      <c r="D51" s="27" t="n"/>
      <c r="E51" s="27" t="n"/>
      <c r="F51" s="17" t="n"/>
      <c r="G51" s="17" t="n"/>
      <c r="H51" s="17" t="n"/>
      <c r="I51" s="17" t="n"/>
      <c r="J51" s="16" t="n"/>
      <c r="K51" s="17" t="n"/>
      <c r="L51" s="17" t="n"/>
      <c r="M51" s="10" t="n"/>
      <c r="N51" s="23" t="n"/>
      <c r="O51" s="17" t="n"/>
      <c r="P51" s="24" t="n"/>
      <c r="Q51" s="17" t="n"/>
      <c r="R51" s="20">
        <f>IF(OR(N51="",P51=""),"",N51*P51*(1-IF(Q51="",0,Q51)/100))</f>
        <v/>
      </c>
      <c r="S51" s="17" t="n"/>
      <c r="T51" s="17" t="n"/>
      <c r="U51" s="17" t="n"/>
      <c r="V51" s="17" t="n"/>
      <c r="W51" s="10" t="n"/>
    </row>
    <row r="52">
      <c r="A52" s="17" t="n"/>
      <c r="B52" s="17" t="n"/>
      <c r="C52" s="17" t="n"/>
      <c r="D52" s="27" t="n"/>
      <c r="E52" s="27" t="n"/>
      <c r="F52" s="17" t="n"/>
      <c r="G52" s="17" t="n"/>
      <c r="H52" s="17" t="n"/>
      <c r="I52" s="17" t="n"/>
      <c r="J52" s="16" t="n"/>
      <c r="K52" s="17" t="n"/>
      <c r="L52" s="17" t="n"/>
      <c r="M52" s="10" t="n"/>
      <c r="N52" s="23" t="n"/>
      <c r="O52" s="17" t="n"/>
      <c r="P52" s="24" t="n"/>
      <c r="Q52" s="17" t="n"/>
      <c r="R52" s="20">
        <f>IF(OR(N52="",P52=""),"",N52*P52*(1-IF(Q52="",0,Q52)/100))</f>
        <v/>
      </c>
      <c r="S52" s="17" t="n"/>
      <c r="T52" s="17" t="n"/>
      <c r="U52" s="17" t="n"/>
      <c r="V52" s="17" t="n"/>
      <c r="W52" s="10" t="n"/>
    </row>
    <row r="53">
      <c r="A53" s="17" t="n"/>
      <c r="B53" s="17" t="n"/>
      <c r="C53" s="17" t="n"/>
      <c r="D53" s="27" t="n"/>
      <c r="E53" s="27" t="n"/>
      <c r="F53" s="17" t="n"/>
      <c r="G53" s="17" t="n"/>
      <c r="H53" s="17" t="n"/>
      <c r="I53" s="17" t="n"/>
      <c r="J53" s="16" t="n"/>
      <c r="K53" s="17" t="n"/>
      <c r="L53" s="17" t="n"/>
      <c r="M53" s="10" t="n"/>
      <c r="N53" s="23" t="n"/>
      <c r="O53" s="17" t="n"/>
      <c r="P53" s="24" t="n"/>
      <c r="Q53" s="17" t="n"/>
      <c r="R53" s="20">
        <f>IF(OR(N53="",P53=""),"",N53*P53*(1-IF(Q53="",0,Q53)/100))</f>
        <v/>
      </c>
      <c r="S53" s="17" t="n"/>
      <c r="T53" s="17" t="n"/>
      <c r="U53" s="17" t="n"/>
      <c r="V53" s="17" t="n"/>
      <c r="W53" s="10" t="n"/>
    </row>
    <row r="54">
      <c r="A54" s="17" t="n"/>
      <c r="B54" s="17" t="n"/>
      <c r="C54" s="17" t="n"/>
      <c r="D54" s="27" t="n"/>
      <c r="E54" s="27" t="n"/>
      <c r="F54" s="17" t="n"/>
      <c r="G54" s="17" t="n"/>
      <c r="H54" s="17" t="n"/>
      <c r="I54" s="17" t="n"/>
      <c r="J54" s="16" t="n"/>
      <c r="K54" s="17" t="n"/>
      <c r="L54" s="17" t="n"/>
      <c r="M54" s="10" t="n"/>
      <c r="N54" s="23" t="n"/>
      <c r="O54" s="17" t="n"/>
      <c r="P54" s="24" t="n"/>
      <c r="Q54" s="17" t="n"/>
      <c r="R54" s="20">
        <f>IF(OR(N54="",P54=""),"",N54*P54*(1-IF(Q54="",0,Q54)/100))</f>
        <v/>
      </c>
      <c r="S54" s="17" t="n"/>
      <c r="T54" s="17" t="n"/>
      <c r="U54" s="17" t="n"/>
      <c r="V54" s="17" t="n"/>
      <c r="W54" s="10" t="n"/>
    </row>
    <row r="55">
      <c r="A55" s="17" t="n"/>
      <c r="B55" s="17" t="n"/>
      <c r="C55" s="17" t="n"/>
      <c r="D55" s="27" t="n"/>
      <c r="E55" s="27" t="n"/>
      <c r="F55" s="17" t="n"/>
      <c r="G55" s="17" t="n"/>
      <c r="H55" s="17" t="n"/>
      <c r="I55" s="17" t="n"/>
      <c r="J55" s="16" t="n"/>
      <c r="K55" s="17" t="n"/>
      <c r="L55" s="17" t="n"/>
      <c r="M55" s="10" t="n"/>
      <c r="N55" s="23" t="n"/>
      <c r="O55" s="17" t="n"/>
      <c r="P55" s="24" t="n"/>
      <c r="Q55" s="17" t="n"/>
      <c r="R55" s="20">
        <f>IF(OR(N55="",P55=""),"",N55*P55*(1-IF(Q55="",0,Q55)/100))</f>
        <v/>
      </c>
      <c r="S55" s="17" t="n"/>
      <c r="T55" s="17" t="n"/>
      <c r="U55" s="17" t="n"/>
      <c r="V55" s="17" t="n"/>
      <c r="W55" s="10" t="n"/>
    </row>
    <row r="56">
      <c r="A56" s="17" t="n"/>
      <c r="B56" s="17" t="n"/>
      <c r="C56" s="17" t="n"/>
      <c r="D56" s="27" t="n"/>
      <c r="E56" s="27" t="n"/>
      <c r="F56" s="17" t="n"/>
      <c r="G56" s="17" t="n"/>
      <c r="H56" s="17" t="n"/>
      <c r="I56" s="17" t="n"/>
      <c r="J56" s="16" t="n"/>
      <c r="K56" s="17" t="n"/>
      <c r="L56" s="17" t="n"/>
      <c r="M56" s="10" t="n"/>
      <c r="N56" s="23" t="n"/>
      <c r="O56" s="17" t="n"/>
      <c r="P56" s="24" t="n"/>
      <c r="Q56" s="17" t="n"/>
      <c r="R56" s="20">
        <f>IF(OR(N56="",P56=""),"",N56*P56*(1-IF(Q56="",0,Q56)/100))</f>
        <v/>
      </c>
      <c r="S56" s="17" t="n"/>
      <c r="T56" s="17" t="n"/>
      <c r="U56" s="17" t="n"/>
      <c r="V56" s="17" t="n"/>
      <c r="W56" s="10" t="n"/>
    </row>
    <row r="57">
      <c r="A57" s="17" t="n"/>
      <c r="B57" s="17" t="n"/>
      <c r="C57" s="17" t="n"/>
      <c r="D57" s="27" t="n"/>
      <c r="E57" s="27" t="n"/>
      <c r="F57" s="17" t="n"/>
      <c r="G57" s="17" t="n"/>
      <c r="H57" s="17" t="n"/>
      <c r="I57" s="17" t="n"/>
      <c r="J57" s="16" t="n"/>
      <c r="K57" s="17" t="n"/>
      <c r="L57" s="17" t="n"/>
      <c r="M57" s="10" t="n"/>
      <c r="N57" s="23" t="n"/>
      <c r="O57" s="17" t="n"/>
      <c r="P57" s="24" t="n"/>
      <c r="Q57" s="17" t="n"/>
      <c r="R57" s="20">
        <f>IF(OR(N57="",P57=""),"",N57*P57*(1-IF(Q57="",0,Q57)/100))</f>
        <v/>
      </c>
      <c r="S57" s="17" t="n"/>
      <c r="T57" s="17" t="n"/>
      <c r="U57" s="17" t="n"/>
      <c r="V57" s="17" t="n"/>
      <c r="W57" s="10" t="n"/>
    </row>
    <row r="58">
      <c r="A58" s="17" t="n"/>
      <c r="B58" s="17" t="n"/>
      <c r="C58" s="17" t="n"/>
      <c r="D58" s="27" t="n"/>
      <c r="E58" s="27" t="n"/>
      <c r="F58" s="17" t="n"/>
      <c r="G58" s="17" t="n"/>
      <c r="H58" s="17" t="n"/>
      <c r="I58" s="17" t="n"/>
      <c r="J58" s="16" t="n"/>
      <c r="K58" s="17" t="n"/>
      <c r="L58" s="17" t="n"/>
      <c r="M58" s="10" t="n"/>
      <c r="N58" s="23" t="n"/>
      <c r="O58" s="17" t="n"/>
      <c r="P58" s="24" t="n"/>
      <c r="Q58" s="17" t="n"/>
      <c r="R58" s="20">
        <f>IF(OR(N58="",P58=""),"",N58*P58*(1-IF(Q58="",0,Q58)/100))</f>
        <v/>
      </c>
      <c r="S58" s="17" t="n"/>
      <c r="T58" s="17" t="n"/>
      <c r="U58" s="17" t="n"/>
      <c r="V58" s="17" t="n"/>
      <c r="W58" s="10" t="n"/>
    </row>
    <row r="59">
      <c r="A59" s="17" t="n"/>
      <c r="B59" s="17" t="n"/>
      <c r="C59" s="17" t="n"/>
      <c r="D59" s="27" t="n"/>
      <c r="E59" s="27" t="n"/>
      <c r="F59" s="17" t="n"/>
      <c r="G59" s="17" t="n"/>
      <c r="H59" s="17" t="n"/>
      <c r="I59" s="17" t="n"/>
      <c r="J59" s="16" t="n"/>
      <c r="K59" s="17" t="n"/>
      <c r="L59" s="17" t="n"/>
      <c r="M59" s="10" t="n"/>
      <c r="N59" s="23" t="n"/>
      <c r="O59" s="17" t="n"/>
      <c r="P59" s="24" t="n"/>
      <c r="Q59" s="17" t="n"/>
      <c r="R59" s="20">
        <f>IF(OR(N59="",P59=""),"",N59*P59*(1-IF(Q59="",0,Q59)/100))</f>
        <v/>
      </c>
      <c r="S59" s="17" t="n"/>
      <c r="T59" s="17" t="n"/>
      <c r="U59" s="17" t="n"/>
      <c r="V59" s="17" t="n"/>
      <c r="W59" s="10" t="n"/>
    </row>
    <row r="60">
      <c r="A60" s="17" t="n"/>
      <c r="B60" s="17" t="n"/>
      <c r="C60" s="17" t="n"/>
      <c r="D60" s="27" t="n"/>
      <c r="E60" s="27" t="n"/>
      <c r="F60" s="17" t="n"/>
      <c r="G60" s="17" t="n"/>
      <c r="H60" s="17" t="n"/>
      <c r="I60" s="17" t="n"/>
      <c r="J60" s="16" t="n"/>
      <c r="K60" s="17" t="n"/>
      <c r="L60" s="17" t="n"/>
      <c r="M60" s="10" t="n"/>
      <c r="N60" s="23" t="n"/>
      <c r="O60" s="17" t="n"/>
      <c r="P60" s="24" t="n"/>
      <c r="Q60" s="17" t="n"/>
      <c r="R60" s="20">
        <f>IF(OR(N60="",P60=""),"",N60*P60*(1-IF(Q60="",0,Q60)/100))</f>
        <v/>
      </c>
      <c r="S60" s="17" t="n"/>
      <c r="T60" s="17" t="n"/>
      <c r="U60" s="17" t="n"/>
      <c r="V60" s="17" t="n"/>
      <c r="W60" s="10" t="n"/>
    </row>
    <row r="61">
      <c r="A61" s="17" t="n"/>
      <c r="B61" s="17" t="n"/>
      <c r="C61" s="17" t="n"/>
      <c r="D61" s="27" t="n"/>
      <c r="E61" s="27" t="n"/>
      <c r="F61" s="17" t="n"/>
      <c r="G61" s="17" t="n"/>
      <c r="H61" s="17" t="n"/>
      <c r="I61" s="17" t="n"/>
      <c r="J61" s="16" t="n"/>
      <c r="K61" s="17" t="n"/>
      <c r="L61" s="17" t="n"/>
      <c r="M61" s="10" t="n"/>
      <c r="N61" s="23" t="n"/>
      <c r="O61" s="17" t="n"/>
      <c r="P61" s="24" t="n"/>
      <c r="Q61" s="17" t="n"/>
      <c r="R61" s="20">
        <f>IF(OR(N61="",P61=""),"",N61*P61*(1-IF(Q61="",0,Q61)/100))</f>
        <v/>
      </c>
      <c r="S61" s="17" t="n"/>
      <c r="T61" s="17" t="n"/>
      <c r="U61" s="17" t="n"/>
      <c r="V61" s="17" t="n"/>
      <c r="W61" s="10" t="n"/>
    </row>
    <row r="62">
      <c r="A62" s="17" t="n"/>
      <c r="B62" s="17" t="n"/>
      <c r="C62" s="17" t="n"/>
      <c r="D62" s="27" t="n"/>
      <c r="E62" s="27" t="n"/>
      <c r="F62" s="17" t="n"/>
      <c r="G62" s="17" t="n"/>
      <c r="H62" s="17" t="n"/>
      <c r="I62" s="17" t="n"/>
      <c r="J62" s="16" t="n"/>
      <c r="K62" s="17" t="n"/>
      <c r="L62" s="17" t="n"/>
      <c r="M62" s="10" t="n"/>
      <c r="N62" s="23" t="n"/>
      <c r="O62" s="17" t="n"/>
      <c r="P62" s="24" t="n"/>
      <c r="Q62" s="17" t="n"/>
      <c r="R62" s="20">
        <f>IF(OR(N62="",P62=""),"",N62*P62*(1-IF(Q62="",0,Q62)/100))</f>
        <v/>
      </c>
      <c r="S62" s="17" t="n"/>
      <c r="T62" s="17" t="n"/>
      <c r="U62" s="17" t="n"/>
      <c r="V62" s="17" t="n"/>
      <c r="W62" s="10" t="n"/>
    </row>
    <row r="63">
      <c r="A63" s="17" t="n"/>
      <c r="B63" s="17" t="n"/>
      <c r="C63" s="17" t="n"/>
      <c r="D63" s="27" t="n"/>
      <c r="E63" s="27" t="n"/>
      <c r="F63" s="17" t="n"/>
      <c r="G63" s="17" t="n"/>
      <c r="H63" s="17" t="n"/>
      <c r="I63" s="17" t="n"/>
      <c r="J63" s="16" t="n"/>
      <c r="K63" s="17" t="n"/>
      <c r="L63" s="17" t="n"/>
      <c r="M63" s="10" t="n"/>
      <c r="N63" s="23" t="n"/>
      <c r="O63" s="17" t="n"/>
      <c r="P63" s="24" t="n"/>
      <c r="Q63" s="17" t="n"/>
      <c r="R63" s="20">
        <f>IF(OR(N63="",P63=""),"",N63*P63*(1-IF(Q63="",0,Q63)/100))</f>
        <v/>
      </c>
      <c r="S63" s="17" t="n"/>
      <c r="T63" s="17" t="n"/>
      <c r="U63" s="17" t="n"/>
      <c r="V63" s="17" t="n"/>
      <c r="W63" s="10" t="n"/>
    </row>
    <row r="64">
      <c r="A64" s="17" t="n"/>
      <c r="B64" s="17" t="n"/>
      <c r="C64" s="17" t="n"/>
      <c r="D64" s="27" t="n"/>
      <c r="E64" s="27" t="n"/>
      <c r="F64" s="17" t="n"/>
      <c r="G64" s="17" t="n"/>
      <c r="H64" s="17" t="n"/>
      <c r="I64" s="17" t="n"/>
      <c r="J64" s="16" t="n"/>
      <c r="K64" s="17" t="n"/>
      <c r="L64" s="17" t="n"/>
      <c r="M64" s="10" t="n"/>
      <c r="N64" s="23" t="n"/>
      <c r="O64" s="17" t="n"/>
      <c r="P64" s="24" t="n"/>
      <c r="Q64" s="17" t="n"/>
      <c r="R64" s="20">
        <f>IF(OR(N64="",P64=""),"",N64*P64*(1-IF(Q64="",0,Q64)/100))</f>
        <v/>
      </c>
      <c r="S64" s="17" t="n"/>
      <c r="T64" s="17" t="n"/>
      <c r="U64" s="17" t="n"/>
      <c r="V64" s="17" t="n"/>
      <c r="W64" s="10" t="n"/>
    </row>
    <row r="65">
      <c r="A65" s="17" t="n"/>
      <c r="B65" s="17" t="n"/>
      <c r="C65" s="17" t="n"/>
      <c r="D65" s="27" t="n"/>
      <c r="E65" s="27" t="n"/>
      <c r="F65" s="17" t="n"/>
      <c r="G65" s="17" t="n"/>
      <c r="H65" s="17" t="n"/>
      <c r="I65" s="17" t="n"/>
      <c r="J65" s="16" t="n"/>
      <c r="K65" s="17" t="n"/>
      <c r="L65" s="17" t="n"/>
      <c r="M65" s="10" t="n"/>
      <c r="N65" s="23" t="n"/>
      <c r="O65" s="17" t="n"/>
      <c r="P65" s="24" t="n"/>
      <c r="Q65" s="17" t="n"/>
      <c r="R65" s="20">
        <f>IF(OR(N65="",P65=""),"",N65*P65*(1-IF(Q65="",0,Q65)/100))</f>
        <v/>
      </c>
      <c r="S65" s="17" t="n"/>
      <c r="T65" s="17" t="n"/>
      <c r="U65" s="17" t="n"/>
      <c r="V65" s="17" t="n"/>
      <c r="W65" s="10" t="n"/>
    </row>
    <row r="66">
      <c r="A66" s="17" t="n"/>
      <c r="B66" s="17" t="n"/>
      <c r="C66" s="17" t="n"/>
      <c r="D66" s="27" t="n"/>
      <c r="E66" s="27" t="n"/>
      <c r="F66" s="17" t="n"/>
      <c r="G66" s="17" t="n"/>
      <c r="H66" s="17" t="n"/>
      <c r="I66" s="17" t="n"/>
      <c r="J66" s="16" t="n"/>
      <c r="K66" s="17" t="n"/>
      <c r="L66" s="17" t="n"/>
      <c r="M66" s="10" t="n"/>
      <c r="N66" s="23" t="n"/>
      <c r="O66" s="17" t="n"/>
      <c r="P66" s="24" t="n"/>
      <c r="Q66" s="17" t="n"/>
      <c r="R66" s="20">
        <f>IF(OR(N66="",P66=""),"",N66*P66*(1-IF(Q66="",0,Q66)/100))</f>
        <v/>
      </c>
      <c r="S66" s="17" t="n"/>
      <c r="T66" s="17" t="n"/>
      <c r="U66" s="17" t="n"/>
      <c r="V66" s="17" t="n"/>
      <c r="W66" s="10" t="n"/>
    </row>
    <row r="67">
      <c r="A67" s="17" t="n"/>
      <c r="B67" s="17" t="n"/>
      <c r="C67" s="17" t="n"/>
      <c r="D67" s="27" t="n"/>
      <c r="E67" s="27" t="n"/>
      <c r="F67" s="17" t="n"/>
      <c r="G67" s="17" t="n"/>
      <c r="H67" s="17" t="n"/>
      <c r="I67" s="17" t="n"/>
      <c r="J67" s="16" t="n"/>
      <c r="K67" s="17" t="n"/>
      <c r="L67" s="17" t="n"/>
      <c r="M67" s="10" t="n"/>
      <c r="N67" s="23" t="n"/>
      <c r="O67" s="17" t="n"/>
      <c r="P67" s="24" t="n"/>
      <c r="Q67" s="17" t="n"/>
      <c r="R67" s="20">
        <f>IF(OR(N67="",P67=""),"",N67*P67*(1-IF(Q67="",0,Q67)/100))</f>
        <v/>
      </c>
      <c r="S67" s="17" t="n"/>
      <c r="T67" s="17" t="n"/>
      <c r="U67" s="17" t="n"/>
      <c r="V67" s="17" t="n"/>
      <c r="W67" s="10" t="n"/>
    </row>
    <row r="68">
      <c r="A68" s="17" t="n"/>
      <c r="B68" s="17" t="n"/>
      <c r="C68" s="17" t="n"/>
      <c r="D68" s="27" t="n"/>
      <c r="E68" s="27" t="n"/>
      <c r="F68" s="17" t="n"/>
      <c r="G68" s="17" t="n"/>
      <c r="H68" s="17" t="n"/>
      <c r="I68" s="17" t="n"/>
      <c r="J68" s="16" t="n"/>
      <c r="K68" s="17" t="n"/>
      <c r="L68" s="17" t="n"/>
      <c r="M68" s="10" t="n"/>
      <c r="N68" s="23" t="n"/>
      <c r="O68" s="17" t="n"/>
      <c r="P68" s="24" t="n"/>
      <c r="Q68" s="17" t="n"/>
      <c r="R68" s="20">
        <f>IF(OR(N68="",P68=""),"",N68*P68*(1-IF(Q68="",0,Q68)/100))</f>
        <v/>
      </c>
      <c r="S68" s="17" t="n"/>
      <c r="T68" s="17" t="n"/>
      <c r="U68" s="17" t="n"/>
      <c r="V68" s="17" t="n"/>
      <c r="W68" s="10" t="n"/>
    </row>
    <row r="69">
      <c r="A69" s="17" t="n"/>
      <c r="B69" s="17" t="n"/>
      <c r="C69" s="17" t="n"/>
      <c r="D69" s="27" t="n"/>
      <c r="E69" s="27" t="n"/>
      <c r="F69" s="17" t="n"/>
      <c r="G69" s="17" t="n"/>
      <c r="H69" s="17" t="n"/>
      <c r="I69" s="17" t="n"/>
      <c r="J69" s="16" t="n"/>
      <c r="K69" s="17" t="n"/>
      <c r="L69" s="17" t="n"/>
      <c r="M69" s="10" t="n"/>
      <c r="N69" s="23" t="n"/>
      <c r="O69" s="17" t="n"/>
      <c r="P69" s="24" t="n"/>
      <c r="Q69" s="17" t="n"/>
      <c r="R69" s="20">
        <f>IF(OR(N69="",P69=""),"",N69*P69*(1-IF(Q69="",0,Q69)/100))</f>
        <v/>
      </c>
      <c r="S69" s="17" t="n"/>
      <c r="T69" s="17" t="n"/>
      <c r="U69" s="17" t="n"/>
      <c r="V69" s="17" t="n"/>
      <c r="W69" s="10" t="n"/>
    </row>
    <row r="70">
      <c r="A70" s="17" t="n"/>
      <c r="B70" s="17" t="n"/>
      <c r="C70" s="17" t="n"/>
      <c r="D70" s="27" t="n"/>
      <c r="E70" s="27" t="n"/>
      <c r="F70" s="17" t="n"/>
      <c r="G70" s="17" t="n"/>
      <c r="H70" s="17" t="n"/>
      <c r="I70" s="17" t="n"/>
      <c r="J70" s="16" t="n"/>
      <c r="K70" s="17" t="n"/>
      <c r="L70" s="17" t="n"/>
      <c r="M70" s="10" t="n"/>
      <c r="N70" s="23" t="n"/>
      <c r="O70" s="17" t="n"/>
      <c r="P70" s="24" t="n"/>
      <c r="Q70" s="17" t="n"/>
      <c r="R70" s="20">
        <f>IF(OR(N70="",P70=""),"",N70*P70*(1-IF(Q70="",0,Q70)/100))</f>
        <v/>
      </c>
      <c r="S70" s="17" t="n"/>
      <c r="T70" s="17" t="n"/>
      <c r="U70" s="17" t="n"/>
      <c r="V70" s="17" t="n"/>
      <c r="W70" s="10" t="n"/>
    </row>
    <row r="71">
      <c r="A71" s="17" t="n"/>
      <c r="B71" s="17" t="n"/>
      <c r="C71" s="17" t="n"/>
      <c r="D71" s="27" t="n"/>
      <c r="E71" s="27" t="n"/>
      <c r="F71" s="17" t="n"/>
      <c r="G71" s="17" t="n"/>
      <c r="H71" s="17" t="n"/>
      <c r="I71" s="17" t="n"/>
      <c r="J71" s="16" t="n"/>
      <c r="K71" s="17" t="n"/>
      <c r="L71" s="17" t="n"/>
      <c r="M71" s="10" t="n"/>
      <c r="N71" s="23" t="n"/>
      <c r="O71" s="17" t="n"/>
      <c r="P71" s="24" t="n"/>
      <c r="Q71" s="17" t="n"/>
      <c r="R71" s="20">
        <f>IF(OR(N71="",P71=""),"",N71*P71*(1-IF(Q71="",0,Q71)/100))</f>
        <v/>
      </c>
      <c r="S71" s="17" t="n"/>
      <c r="T71" s="17" t="n"/>
      <c r="U71" s="17" t="n"/>
      <c r="V71" s="17" t="n"/>
      <c r="W71" s="10" t="n"/>
    </row>
    <row r="72">
      <c r="A72" s="17" t="n"/>
      <c r="B72" s="17" t="n"/>
      <c r="C72" s="17" t="n"/>
      <c r="D72" s="27" t="n"/>
      <c r="E72" s="27" t="n"/>
      <c r="F72" s="17" t="n"/>
      <c r="G72" s="17" t="n"/>
      <c r="H72" s="17" t="n"/>
      <c r="I72" s="17" t="n"/>
      <c r="J72" s="16" t="n"/>
      <c r="K72" s="17" t="n"/>
      <c r="L72" s="17" t="n"/>
      <c r="M72" s="10" t="n"/>
      <c r="N72" s="23" t="n"/>
      <c r="O72" s="17" t="n"/>
      <c r="P72" s="24" t="n"/>
      <c r="Q72" s="17" t="n"/>
      <c r="R72" s="20">
        <f>IF(OR(N72="",P72=""),"",N72*P72*(1-IF(Q72="",0,Q72)/100))</f>
        <v/>
      </c>
      <c r="S72" s="17" t="n"/>
      <c r="T72" s="17" t="n"/>
      <c r="U72" s="17" t="n"/>
      <c r="V72" s="17" t="n"/>
      <c r="W72" s="10" t="n"/>
    </row>
    <row r="73">
      <c r="A73" s="17" t="n"/>
      <c r="B73" s="17" t="n"/>
      <c r="C73" s="17" t="n"/>
      <c r="D73" s="27" t="n"/>
      <c r="E73" s="27" t="n"/>
      <c r="F73" s="17" t="n"/>
      <c r="G73" s="17" t="n"/>
      <c r="H73" s="17" t="n"/>
      <c r="I73" s="17" t="n"/>
      <c r="J73" s="16" t="n"/>
      <c r="K73" s="17" t="n"/>
      <c r="L73" s="17" t="n"/>
      <c r="M73" s="10" t="n"/>
      <c r="N73" s="23" t="n"/>
      <c r="O73" s="17" t="n"/>
      <c r="P73" s="24" t="n"/>
      <c r="Q73" s="17" t="n"/>
      <c r="R73" s="20">
        <f>IF(OR(N73="",P73=""),"",N73*P73*(1-IF(Q73="",0,Q73)/100))</f>
        <v/>
      </c>
      <c r="S73" s="17" t="n"/>
      <c r="T73" s="17" t="n"/>
      <c r="U73" s="17" t="n"/>
      <c r="V73" s="17" t="n"/>
      <c r="W73" s="10" t="n"/>
    </row>
    <row r="74">
      <c r="A74" s="17" t="n"/>
      <c r="B74" s="17" t="n"/>
      <c r="C74" s="17" t="n"/>
      <c r="D74" s="27" t="n"/>
      <c r="E74" s="27" t="n"/>
      <c r="F74" s="17" t="n"/>
      <c r="G74" s="17" t="n"/>
      <c r="H74" s="17" t="n"/>
      <c r="I74" s="17" t="n"/>
      <c r="J74" s="16" t="n"/>
      <c r="K74" s="17" t="n"/>
      <c r="L74" s="17" t="n"/>
      <c r="M74" s="10" t="n"/>
      <c r="N74" s="23" t="n"/>
      <c r="O74" s="17" t="n"/>
      <c r="P74" s="24" t="n"/>
      <c r="Q74" s="17" t="n"/>
      <c r="R74" s="20">
        <f>IF(OR(N74="",P74=""),"",N74*P74*(1-IF(Q74="",0,Q74)/100))</f>
        <v/>
      </c>
      <c r="S74" s="17" t="n"/>
      <c r="T74" s="17" t="n"/>
      <c r="U74" s="17" t="n"/>
      <c r="V74" s="17" t="n"/>
      <c r="W74" s="10" t="n"/>
    </row>
    <row r="75">
      <c r="A75" s="17" t="n"/>
      <c r="B75" s="17" t="n"/>
      <c r="C75" s="17" t="n"/>
      <c r="D75" s="27" t="n"/>
      <c r="E75" s="27" t="n"/>
      <c r="F75" s="17" t="n"/>
      <c r="G75" s="17" t="n"/>
      <c r="H75" s="17" t="n"/>
      <c r="I75" s="17" t="n"/>
      <c r="J75" s="16" t="n"/>
      <c r="K75" s="17" t="n"/>
      <c r="L75" s="17" t="n"/>
      <c r="M75" s="10" t="n"/>
      <c r="N75" s="23" t="n"/>
      <c r="O75" s="17" t="n"/>
      <c r="P75" s="24" t="n"/>
      <c r="Q75" s="17" t="n"/>
      <c r="R75" s="20">
        <f>IF(OR(N75="",P75=""),"",N75*P75*(1-IF(Q75="",0,Q75)/100))</f>
        <v/>
      </c>
      <c r="S75" s="17" t="n"/>
      <c r="T75" s="17" t="n"/>
      <c r="U75" s="17" t="n"/>
      <c r="V75" s="17" t="n"/>
      <c r="W75" s="10" t="n"/>
    </row>
    <row r="76">
      <c r="A76" s="17" t="n"/>
      <c r="B76" s="17" t="n"/>
      <c r="C76" s="17" t="n"/>
      <c r="D76" s="27" t="n"/>
      <c r="E76" s="27" t="n"/>
      <c r="F76" s="17" t="n"/>
      <c r="G76" s="17" t="n"/>
      <c r="H76" s="17" t="n"/>
      <c r="I76" s="17" t="n"/>
      <c r="J76" s="16" t="n"/>
      <c r="K76" s="17" t="n"/>
      <c r="L76" s="17" t="n"/>
      <c r="M76" s="10" t="n"/>
      <c r="N76" s="23" t="n"/>
      <c r="O76" s="17" t="n"/>
      <c r="P76" s="24" t="n"/>
      <c r="Q76" s="17" t="n"/>
      <c r="R76" s="20">
        <f>IF(OR(N76="",P76=""),"",N76*P76*(1-IF(Q76="",0,Q76)/100))</f>
        <v/>
      </c>
      <c r="S76" s="17" t="n"/>
      <c r="T76" s="17" t="n"/>
      <c r="U76" s="17" t="n"/>
      <c r="V76" s="17" t="n"/>
      <c r="W76" s="10" t="n"/>
    </row>
    <row r="77">
      <c r="A77" s="17" t="n"/>
      <c r="B77" s="17" t="n"/>
      <c r="C77" s="17" t="n"/>
      <c r="D77" s="27" t="n"/>
      <c r="E77" s="27" t="n"/>
      <c r="F77" s="17" t="n"/>
      <c r="G77" s="17" t="n"/>
      <c r="H77" s="17" t="n"/>
      <c r="I77" s="17" t="n"/>
      <c r="J77" s="16" t="n"/>
      <c r="K77" s="17" t="n"/>
      <c r="L77" s="17" t="n"/>
      <c r="M77" s="10" t="n"/>
      <c r="N77" s="23" t="n"/>
      <c r="O77" s="17" t="n"/>
      <c r="P77" s="24" t="n"/>
      <c r="Q77" s="17" t="n"/>
      <c r="R77" s="20">
        <f>IF(OR(N77="",P77=""),"",N77*P77*(1-IF(Q77="",0,Q77)/100))</f>
        <v/>
      </c>
      <c r="S77" s="17" t="n"/>
      <c r="T77" s="17" t="n"/>
      <c r="U77" s="17" t="n"/>
      <c r="V77" s="17" t="n"/>
      <c r="W77" s="10" t="n"/>
    </row>
    <row r="78">
      <c r="A78" s="17" t="n"/>
      <c r="B78" s="17" t="n"/>
      <c r="C78" s="17" t="n"/>
      <c r="D78" s="27" t="n"/>
      <c r="E78" s="27" t="n"/>
      <c r="F78" s="17" t="n"/>
      <c r="G78" s="17" t="n"/>
      <c r="H78" s="17" t="n"/>
      <c r="I78" s="17" t="n"/>
      <c r="J78" s="16" t="n"/>
      <c r="K78" s="17" t="n"/>
      <c r="L78" s="17" t="n"/>
      <c r="M78" s="10" t="n"/>
      <c r="N78" s="23" t="n"/>
      <c r="O78" s="17" t="n"/>
      <c r="P78" s="24" t="n"/>
      <c r="Q78" s="17" t="n"/>
      <c r="R78" s="20">
        <f>IF(OR(N78="",P78=""),"",N78*P78*(1-IF(Q78="",0,Q78)/100))</f>
        <v/>
      </c>
      <c r="S78" s="17" t="n"/>
      <c r="T78" s="17" t="n"/>
      <c r="U78" s="17" t="n"/>
      <c r="V78" s="17" t="n"/>
      <c r="W78" s="10" t="n"/>
    </row>
    <row r="79">
      <c r="A79" s="17" t="n"/>
      <c r="B79" s="17" t="n"/>
      <c r="C79" s="17" t="n"/>
      <c r="D79" s="27" t="n"/>
      <c r="E79" s="27" t="n"/>
      <c r="F79" s="17" t="n"/>
      <c r="G79" s="17" t="n"/>
      <c r="H79" s="17" t="n"/>
      <c r="I79" s="17" t="n"/>
      <c r="J79" s="16" t="n"/>
      <c r="K79" s="17" t="n"/>
      <c r="L79" s="17" t="n"/>
      <c r="M79" s="10" t="n"/>
      <c r="N79" s="23" t="n"/>
      <c r="O79" s="17" t="n"/>
      <c r="P79" s="24" t="n"/>
      <c r="Q79" s="17" t="n"/>
      <c r="R79" s="20">
        <f>IF(OR(N79="",P79=""),"",N79*P79*(1-IF(Q79="",0,Q79)/100))</f>
        <v/>
      </c>
      <c r="S79" s="17" t="n"/>
      <c r="T79" s="17" t="n"/>
      <c r="U79" s="17" t="n"/>
      <c r="V79" s="17" t="n"/>
      <c r="W79" s="10" t="n"/>
    </row>
    <row r="80">
      <c r="A80" s="17" t="n"/>
      <c r="B80" s="17" t="n"/>
      <c r="C80" s="17" t="n"/>
      <c r="D80" s="27" t="n"/>
      <c r="E80" s="27" t="n"/>
      <c r="F80" s="17" t="n"/>
      <c r="G80" s="17" t="n"/>
      <c r="H80" s="17" t="n"/>
      <c r="I80" s="17" t="n"/>
      <c r="J80" s="16" t="n"/>
      <c r="K80" s="17" t="n"/>
      <c r="L80" s="17" t="n"/>
      <c r="M80" s="10" t="n"/>
      <c r="N80" s="23" t="n"/>
      <c r="O80" s="17" t="n"/>
      <c r="P80" s="24" t="n"/>
      <c r="Q80" s="17" t="n"/>
      <c r="R80" s="20">
        <f>IF(OR(N80="",P80=""),"",N80*P80*(1-IF(Q80="",0,Q80)/100))</f>
        <v/>
      </c>
      <c r="S80" s="17" t="n"/>
      <c r="T80" s="17" t="n"/>
      <c r="U80" s="17" t="n"/>
      <c r="V80" s="17" t="n"/>
      <c r="W80" s="10" t="n"/>
    </row>
    <row r="81">
      <c r="A81" s="17" t="n"/>
      <c r="B81" s="17" t="n"/>
      <c r="C81" s="17" t="n"/>
      <c r="D81" s="27" t="n"/>
      <c r="E81" s="27" t="n"/>
      <c r="F81" s="17" t="n"/>
      <c r="G81" s="17" t="n"/>
      <c r="H81" s="17" t="n"/>
      <c r="I81" s="17" t="n"/>
      <c r="J81" s="16" t="n"/>
      <c r="K81" s="17" t="n"/>
      <c r="L81" s="17" t="n"/>
      <c r="M81" s="10" t="n"/>
      <c r="N81" s="23" t="n"/>
      <c r="O81" s="17" t="n"/>
      <c r="P81" s="24" t="n"/>
      <c r="Q81" s="17" t="n"/>
      <c r="R81" s="20">
        <f>IF(OR(N81="",P81=""),"",N81*P81*(1-IF(Q81="",0,Q81)/100))</f>
        <v/>
      </c>
      <c r="S81" s="17" t="n"/>
      <c r="T81" s="17" t="n"/>
      <c r="U81" s="17" t="n"/>
      <c r="V81" s="17" t="n"/>
      <c r="W81" s="10" t="n"/>
    </row>
    <row r="82">
      <c r="A82" s="17" t="n"/>
      <c r="B82" s="17" t="n"/>
      <c r="C82" s="17" t="n"/>
      <c r="D82" s="27" t="n"/>
      <c r="E82" s="27" t="n"/>
      <c r="F82" s="17" t="n"/>
      <c r="G82" s="17" t="n"/>
      <c r="H82" s="17" t="n"/>
      <c r="I82" s="17" t="n"/>
      <c r="J82" s="16" t="n"/>
      <c r="K82" s="17" t="n"/>
      <c r="L82" s="17" t="n"/>
      <c r="M82" s="10" t="n"/>
      <c r="N82" s="23" t="n"/>
      <c r="O82" s="17" t="n"/>
      <c r="P82" s="24" t="n"/>
      <c r="Q82" s="17" t="n"/>
      <c r="R82" s="20">
        <f>IF(OR(N82="",P82=""),"",N82*P82*(1-IF(Q82="",0,Q82)/100))</f>
        <v/>
      </c>
      <c r="S82" s="17" t="n"/>
      <c r="T82" s="17" t="n"/>
      <c r="U82" s="17" t="n"/>
      <c r="V82" s="17" t="n"/>
      <c r="W82" s="10" t="n"/>
    </row>
    <row r="83">
      <c r="A83" s="17" t="n"/>
      <c r="B83" s="17" t="n"/>
      <c r="C83" s="17" t="n"/>
      <c r="D83" s="27" t="n"/>
      <c r="E83" s="27" t="n"/>
      <c r="F83" s="17" t="n"/>
      <c r="G83" s="17" t="n"/>
      <c r="H83" s="17" t="n"/>
      <c r="I83" s="17" t="n"/>
      <c r="J83" s="16" t="n"/>
      <c r="K83" s="17" t="n"/>
      <c r="L83" s="17" t="n"/>
      <c r="M83" s="10" t="n"/>
      <c r="N83" s="23" t="n"/>
      <c r="O83" s="17" t="n"/>
      <c r="P83" s="24" t="n"/>
      <c r="Q83" s="17" t="n"/>
      <c r="R83" s="20">
        <f>IF(OR(N83="",P83=""),"",N83*P83*(1-IF(Q83="",0,Q83)/100))</f>
        <v/>
      </c>
      <c r="S83" s="17" t="n"/>
      <c r="T83" s="17" t="n"/>
      <c r="U83" s="17" t="n"/>
      <c r="V83" s="17" t="n"/>
      <c r="W83" s="10" t="n"/>
    </row>
    <row r="84">
      <c r="A84" s="17" t="n"/>
      <c r="B84" s="17" t="n"/>
      <c r="C84" s="17" t="n"/>
      <c r="D84" s="27" t="n"/>
      <c r="E84" s="27" t="n"/>
      <c r="F84" s="17" t="n"/>
      <c r="G84" s="17" t="n"/>
      <c r="H84" s="17" t="n"/>
      <c r="I84" s="17" t="n"/>
      <c r="J84" s="16" t="n"/>
      <c r="K84" s="17" t="n"/>
      <c r="L84" s="17" t="n"/>
      <c r="M84" s="10" t="n"/>
      <c r="N84" s="23" t="n"/>
      <c r="O84" s="17" t="n"/>
      <c r="P84" s="24" t="n"/>
      <c r="Q84" s="17" t="n"/>
      <c r="R84" s="20">
        <f>IF(OR(N84="",P84=""),"",N84*P84*(1-IF(Q84="",0,Q84)/100))</f>
        <v/>
      </c>
      <c r="S84" s="17" t="n"/>
      <c r="T84" s="17" t="n"/>
      <c r="U84" s="17" t="n"/>
      <c r="V84" s="17" t="n"/>
      <c r="W84" s="10" t="n"/>
    </row>
    <row r="85">
      <c r="A85" s="17" t="n"/>
      <c r="B85" s="17" t="n"/>
      <c r="C85" s="17" t="n"/>
      <c r="D85" s="27" t="n"/>
      <c r="E85" s="27" t="n"/>
      <c r="F85" s="17" t="n"/>
      <c r="G85" s="17" t="n"/>
      <c r="H85" s="17" t="n"/>
      <c r="I85" s="17" t="n"/>
      <c r="J85" s="16" t="n"/>
      <c r="K85" s="17" t="n"/>
      <c r="L85" s="17" t="n"/>
      <c r="M85" s="10" t="n"/>
      <c r="N85" s="23" t="n"/>
      <c r="O85" s="17" t="n"/>
      <c r="P85" s="24" t="n"/>
      <c r="Q85" s="17" t="n"/>
      <c r="R85" s="20">
        <f>IF(OR(N85="",P85=""),"",N85*P85*(1-IF(Q85="",0,Q85)/100))</f>
        <v/>
      </c>
      <c r="S85" s="17" t="n"/>
      <c r="T85" s="17" t="n"/>
      <c r="U85" s="17" t="n"/>
      <c r="V85" s="17" t="n"/>
      <c r="W85" s="10" t="n"/>
    </row>
    <row r="86">
      <c r="A86" s="17" t="n"/>
      <c r="B86" s="17" t="n"/>
      <c r="C86" s="17" t="n"/>
      <c r="D86" s="27" t="n"/>
      <c r="E86" s="27" t="n"/>
      <c r="F86" s="17" t="n"/>
      <c r="G86" s="17" t="n"/>
      <c r="H86" s="17" t="n"/>
      <c r="I86" s="17" t="n"/>
      <c r="J86" s="16" t="n"/>
      <c r="K86" s="17" t="n"/>
      <c r="L86" s="17" t="n"/>
      <c r="M86" s="10" t="n"/>
      <c r="N86" s="23" t="n"/>
      <c r="O86" s="17" t="n"/>
      <c r="P86" s="24" t="n"/>
      <c r="Q86" s="17" t="n"/>
      <c r="R86" s="20">
        <f>IF(OR(N86="",P86=""),"",N86*P86*(1-IF(Q86="",0,Q86)/100))</f>
        <v/>
      </c>
      <c r="S86" s="17" t="n"/>
      <c r="T86" s="17" t="n"/>
      <c r="U86" s="17" t="n"/>
      <c r="V86" s="17" t="n"/>
      <c r="W86" s="10" t="n"/>
    </row>
    <row r="87">
      <c r="A87" s="17" t="n"/>
      <c r="B87" s="17" t="n"/>
      <c r="C87" s="17" t="n"/>
      <c r="D87" s="27" t="n"/>
      <c r="E87" s="27" t="n"/>
      <c r="F87" s="17" t="n"/>
      <c r="G87" s="17" t="n"/>
      <c r="H87" s="17" t="n"/>
      <c r="I87" s="17" t="n"/>
      <c r="J87" s="16" t="n"/>
      <c r="K87" s="17" t="n"/>
      <c r="L87" s="17" t="n"/>
      <c r="M87" s="10" t="n"/>
      <c r="N87" s="23" t="n"/>
      <c r="O87" s="17" t="n"/>
      <c r="P87" s="24" t="n"/>
      <c r="Q87" s="17" t="n"/>
      <c r="R87" s="20">
        <f>IF(OR(N87="",P87=""),"",N87*P87*(1-IF(Q87="",0,Q87)/100))</f>
        <v/>
      </c>
      <c r="S87" s="17" t="n"/>
      <c r="T87" s="17" t="n"/>
      <c r="U87" s="17" t="n"/>
      <c r="V87" s="17" t="n"/>
      <c r="W87" s="10" t="n"/>
    </row>
    <row r="88">
      <c r="A88" s="17" t="n"/>
      <c r="B88" s="17" t="n"/>
      <c r="C88" s="17" t="n"/>
      <c r="D88" s="27" t="n"/>
      <c r="E88" s="27" t="n"/>
      <c r="F88" s="17" t="n"/>
      <c r="G88" s="17" t="n"/>
      <c r="H88" s="17" t="n"/>
      <c r="I88" s="17" t="n"/>
      <c r="J88" s="16" t="n"/>
      <c r="K88" s="17" t="n"/>
      <c r="L88" s="17" t="n"/>
      <c r="M88" s="10" t="n"/>
      <c r="N88" s="23" t="n"/>
      <c r="O88" s="17" t="n"/>
      <c r="P88" s="24" t="n"/>
      <c r="Q88" s="17" t="n"/>
      <c r="R88" s="20">
        <f>IF(OR(N88="",P88=""),"",N88*P88*(1-IF(Q88="",0,Q88)/100))</f>
        <v/>
      </c>
      <c r="S88" s="17" t="n"/>
      <c r="T88" s="17" t="n"/>
      <c r="U88" s="17" t="n"/>
      <c r="V88" s="17" t="n"/>
      <c r="W88" s="10" t="n"/>
    </row>
    <row r="89">
      <c r="A89" s="17" t="n"/>
      <c r="B89" s="17" t="n"/>
      <c r="C89" s="17" t="n"/>
      <c r="D89" s="27" t="n"/>
      <c r="E89" s="27" t="n"/>
      <c r="F89" s="17" t="n"/>
      <c r="G89" s="17" t="n"/>
      <c r="H89" s="17" t="n"/>
      <c r="I89" s="17" t="n"/>
      <c r="J89" s="16" t="n"/>
      <c r="K89" s="17" t="n"/>
      <c r="L89" s="17" t="n"/>
      <c r="M89" s="10" t="n"/>
      <c r="N89" s="23" t="n"/>
      <c r="O89" s="17" t="n"/>
      <c r="P89" s="24" t="n"/>
      <c r="Q89" s="17" t="n"/>
      <c r="R89" s="20">
        <f>IF(OR(N89="",P89=""),"",N89*P89*(1-IF(Q89="",0,Q89)/100))</f>
        <v/>
      </c>
      <c r="S89" s="17" t="n"/>
      <c r="T89" s="17" t="n"/>
      <c r="U89" s="17" t="n"/>
      <c r="V89" s="17" t="n"/>
      <c r="W89" s="10" t="n"/>
    </row>
    <row r="90">
      <c r="A90" s="17" t="n"/>
      <c r="B90" s="17" t="n"/>
      <c r="C90" s="17" t="n"/>
      <c r="D90" s="27" t="n"/>
      <c r="E90" s="27" t="n"/>
      <c r="F90" s="17" t="n"/>
      <c r="G90" s="17" t="n"/>
      <c r="H90" s="17" t="n"/>
      <c r="I90" s="17" t="n"/>
      <c r="J90" s="16" t="n"/>
      <c r="K90" s="17" t="n"/>
      <c r="L90" s="17" t="n"/>
      <c r="M90" s="10" t="n"/>
      <c r="N90" s="23" t="n"/>
      <c r="O90" s="17" t="n"/>
      <c r="P90" s="24" t="n"/>
      <c r="Q90" s="17" t="n"/>
      <c r="R90" s="20">
        <f>IF(OR(N90="",P90=""),"",N90*P90*(1-IF(Q90="",0,Q90)/100))</f>
        <v/>
      </c>
      <c r="S90" s="17" t="n"/>
      <c r="T90" s="17" t="n"/>
      <c r="U90" s="17" t="n"/>
      <c r="V90" s="17" t="n"/>
      <c r="W90" s="10" t="n"/>
    </row>
    <row r="91">
      <c r="A91" s="17" t="n"/>
      <c r="B91" s="17" t="n"/>
      <c r="C91" s="17" t="n"/>
      <c r="D91" s="27" t="n"/>
      <c r="E91" s="27" t="n"/>
      <c r="F91" s="17" t="n"/>
      <c r="G91" s="17" t="n"/>
      <c r="H91" s="17" t="n"/>
      <c r="I91" s="17" t="n"/>
      <c r="J91" s="16" t="n"/>
      <c r="K91" s="17" t="n"/>
      <c r="L91" s="17" t="n"/>
      <c r="M91" s="10" t="n"/>
      <c r="N91" s="23" t="n"/>
      <c r="O91" s="17" t="n"/>
      <c r="P91" s="24" t="n"/>
      <c r="Q91" s="17" t="n"/>
      <c r="R91" s="20">
        <f>IF(OR(N91="",P91=""),"",N91*P91*(1-IF(Q91="",0,Q91)/100))</f>
        <v/>
      </c>
      <c r="S91" s="17" t="n"/>
      <c r="T91" s="17" t="n"/>
      <c r="U91" s="17" t="n"/>
      <c r="V91" s="17" t="n"/>
      <c r="W91" s="10" t="n"/>
    </row>
    <row r="92">
      <c r="A92" s="17" t="n"/>
      <c r="B92" s="17" t="n"/>
      <c r="C92" s="17" t="n"/>
      <c r="D92" s="27" t="n"/>
      <c r="E92" s="27" t="n"/>
      <c r="F92" s="17" t="n"/>
      <c r="G92" s="17" t="n"/>
      <c r="H92" s="17" t="n"/>
      <c r="I92" s="17" t="n"/>
      <c r="J92" s="16" t="n"/>
      <c r="K92" s="17" t="n"/>
      <c r="L92" s="17" t="n"/>
      <c r="M92" s="10" t="n"/>
      <c r="N92" s="23" t="n"/>
      <c r="O92" s="17" t="n"/>
      <c r="P92" s="24" t="n"/>
      <c r="Q92" s="17" t="n"/>
      <c r="R92" s="20">
        <f>IF(OR(N92="",P92=""),"",N92*P92*(1-IF(Q92="",0,Q92)/100))</f>
        <v/>
      </c>
      <c r="S92" s="17" t="n"/>
      <c r="T92" s="17" t="n"/>
      <c r="U92" s="17" t="n"/>
      <c r="V92" s="17" t="n"/>
      <c r="W92" s="10" t="n"/>
    </row>
    <row r="93">
      <c r="A93" s="17" t="n"/>
      <c r="B93" s="17" t="n"/>
      <c r="C93" s="17" t="n"/>
      <c r="D93" s="27" t="n"/>
      <c r="E93" s="27" t="n"/>
      <c r="F93" s="17" t="n"/>
      <c r="G93" s="17" t="n"/>
      <c r="H93" s="17" t="n"/>
      <c r="I93" s="17" t="n"/>
      <c r="J93" s="16" t="n"/>
      <c r="K93" s="17" t="n"/>
      <c r="L93" s="17" t="n"/>
      <c r="M93" s="10" t="n"/>
      <c r="N93" s="23" t="n"/>
      <c r="O93" s="17" t="n"/>
      <c r="P93" s="24" t="n"/>
      <c r="Q93" s="17" t="n"/>
      <c r="R93" s="20">
        <f>IF(OR(N93="",P93=""),"",N93*P93*(1-IF(Q93="",0,Q93)/100))</f>
        <v/>
      </c>
      <c r="S93" s="17" t="n"/>
      <c r="T93" s="17" t="n"/>
      <c r="U93" s="17" t="n"/>
      <c r="V93" s="17" t="n"/>
      <c r="W93" s="10" t="n"/>
    </row>
    <row r="94">
      <c r="A94" s="17" t="n"/>
      <c r="B94" s="17" t="n"/>
      <c r="C94" s="17" t="n"/>
      <c r="D94" s="27" t="n"/>
      <c r="E94" s="27" t="n"/>
      <c r="F94" s="17" t="n"/>
      <c r="G94" s="17" t="n"/>
      <c r="H94" s="17" t="n"/>
      <c r="I94" s="17" t="n"/>
      <c r="J94" s="16" t="n"/>
      <c r="K94" s="17" t="n"/>
      <c r="L94" s="17" t="n"/>
      <c r="M94" s="10" t="n"/>
      <c r="N94" s="23" t="n"/>
      <c r="O94" s="17" t="n"/>
      <c r="P94" s="24" t="n"/>
      <c r="Q94" s="17" t="n"/>
      <c r="R94" s="20">
        <f>IF(OR(N94="",P94=""),"",N94*P94*(1-IF(Q94="",0,Q94)/100))</f>
        <v/>
      </c>
      <c r="S94" s="17" t="n"/>
      <c r="T94" s="17" t="n"/>
      <c r="U94" s="17" t="n"/>
      <c r="V94" s="17" t="n"/>
      <c r="W94" s="10" t="n"/>
    </row>
    <row r="95">
      <c r="A95" s="17" t="n"/>
      <c r="B95" s="17" t="n"/>
      <c r="C95" s="17" t="n"/>
      <c r="D95" s="27" t="n"/>
      <c r="E95" s="27" t="n"/>
      <c r="F95" s="17" t="n"/>
      <c r="G95" s="17" t="n"/>
      <c r="H95" s="17" t="n"/>
      <c r="I95" s="17" t="n"/>
      <c r="J95" s="16" t="n"/>
      <c r="K95" s="17" t="n"/>
      <c r="L95" s="17" t="n"/>
      <c r="M95" s="10" t="n"/>
      <c r="N95" s="23" t="n"/>
      <c r="O95" s="17" t="n"/>
      <c r="P95" s="24" t="n"/>
      <c r="Q95" s="17" t="n"/>
      <c r="R95" s="20">
        <f>IF(OR(N95="",P95=""),"",N95*P95*(1-IF(Q95="",0,Q95)/100))</f>
        <v/>
      </c>
      <c r="S95" s="17" t="n"/>
      <c r="T95" s="17" t="n"/>
      <c r="U95" s="17" t="n"/>
      <c r="V95" s="17" t="n"/>
      <c r="W95" s="10" t="n"/>
    </row>
    <row r="96">
      <c r="A96" s="17" t="n"/>
      <c r="B96" s="17" t="n"/>
      <c r="C96" s="17" t="n"/>
      <c r="D96" s="27" t="n"/>
      <c r="E96" s="27" t="n"/>
      <c r="F96" s="17" t="n"/>
      <c r="G96" s="17" t="n"/>
      <c r="H96" s="17" t="n"/>
      <c r="I96" s="17" t="n"/>
      <c r="J96" s="16" t="n"/>
      <c r="K96" s="17" t="n"/>
      <c r="L96" s="17" t="n"/>
      <c r="M96" s="10" t="n"/>
      <c r="N96" s="23" t="n"/>
      <c r="O96" s="17" t="n"/>
      <c r="P96" s="24" t="n"/>
      <c r="Q96" s="17" t="n"/>
      <c r="R96" s="20">
        <f>IF(OR(N96="",P96=""),"",N96*P96*(1-IF(Q96="",0,Q96)/100))</f>
        <v/>
      </c>
      <c r="S96" s="17" t="n"/>
      <c r="T96" s="17" t="n"/>
      <c r="U96" s="17" t="n"/>
      <c r="V96" s="17" t="n"/>
      <c r="W96" s="10" t="n"/>
    </row>
    <row r="97">
      <c r="A97" s="17" t="n"/>
      <c r="B97" s="17" t="n"/>
      <c r="C97" s="17" t="n"/>
      <c r="D97" s="27" t="n"/>
      <c r="E97" s="27" t="n"/>
      <c r="F97" s="17" t="n"/>
      <c r="G97" s="17" t="n"/>
      <c r="H97" s="17" t="n"/>
      <c r="I97" s="17" t="n"/>
      <c r="J97" s="16" t="n"/>
      <c r="K97" s="17" t="n"/>
      <c r="L97" s="17" t="n"/>
      <c r="M97" s="10" t="n"/>
      <c r="N97" s="23" t="n"/>
      <c r="O97" s="17" t="n"/>
      <c r="P97" s="24" t="n"/>
      <c r="Q97" s="17" t="n"/>
      <c r="R97" s="20">
        <f>IF(OR(N97="",P97=""),"",N97*P97*(1-IF(Q97="",0,Q97)/100))</f>
        <v/>
      </c>
      <c r="S97" s="17" t="n"/>
      <c r="T97" s="17" t="n"/>
      <c r="U97" s="17" t="n"/>
      <c r="V97" s="17" t="n"/>
      <c r="W97" s="10" t="n"/>
    </row>
    <row r="98">
      <c r="A98" s="17" t="n"/>
      <c r="B98" s="17" t="n"/>
      <c r="C98" s="17" t="n"/>
      <c r="D98" s="27" t="n"/>
      <c r="E98" s="27" t="n"/>
      <c r="F98" s="17" t="n"/>
      <c r="G98" s="17" t="n"/>
      <c r="H98" s="17" t="n"/>
      <c r="I98" s="17" t="n"/>
      <c r="J98" s="16" t="n"/>
      <c r="K98" s="17" t="n"/>
      <c r="L98" s="17" t="n"/>
      <c r="M98" s="10" t="n"/>
      <c r="N98" s="23" t="n"/>
      <c r="O98" s="17" t="n"/>
      <c r="P98" s="24" t="n"/>
      <c r="Q98" s="17" t="n"/>
      <c r="R98" s="20">
        <f>IF(OR(N98="",P98=""),"",N98*P98*(1-IF(Q98="",0,Q98)/100))</f>
        <v/>
      </c>
      <c r="S98" s="17" t="n"/>
      <c r="T98" s="17" t="n"/>
      <c r="U98" s="17" t="n"/>
      <c r="V98" s="17" t="n"/>
      <c r="W98" s="10" t="n"/>
    </row>
    <row r="99">
      <c r="A99" s="17" t="n"/>
      <c r="B99" s="17" t="n"/>
      <c r="C99" s="17" t="n"/>
      <c r="D99" s="27" t="n"/>
      <c r="E99" s="27" t="n"/>
      <c r="F99" s="17" t="n"/>
      <c r="G99" s="17" t="n"/>
      <c r="H99" s="17" t="n"/>
      <c r="I99" s="17" t="n"/>
      <c r="J99" s="16" t="n"/>
      <c r="K99" s="17" t="n"/>
      <c r="L99" s="17" t="n"/>
      <c r="M99" s="10" t="n"/>
      <c r="N99" s="23" t="n"/>
      <c r="O99" s="17" t="n"/>
      <c r="P99" s="24" t="n"/>
      <c r="Q99" s="17" t="n"/>
      <c r="R99" s="20">
        <f>IF(OR(N99="",P99=""),"",N99*P99*(1-IF(Q99="",0,Q99)/100))</f>
        <v/>
      </c>
      <c r="S99" s="17" t="n"/>
      <c r="T99" s="17" t="n"/>
      <c r="U99" s="17" t="n"/>
      <c r="V99" s="17" t="n"/>
      <c r="W99" s="10" t="n"/>
    </row>
    <row r="100">
      <c r="A100" s="17" t="n"/>
      <c r="B100" s="17" t="n"/>
      <c r="C100" s="17" t="n"/>
      <c r="D100" s="27" t="n"/>
      <c r="E100" s="27" t="n"/>
      <c r="F100" s="17" t="n"/>
      <c r="G100" s="17" t="n"/>
      <c r="H100" s="17" t="n"/>
      <c r="I100" s="17" t="n"/>
      <c r="J100" s="16" t="n"/>
      <c r="K100" s="17" t="n"/>
      <c r="L100" s="17" t="n"/>
      <c r="M100" s="10" t="n"/>
      <c r="N100" s="23" t="n"/>
      <c r="O100" s="17" t="n"/>
      <c r="P100" s="24" t="n"/>
      <c r="Q100" s="17" t="n"/>
      <c r="R100" s="20">
        <f>IF(OR(N100="",P100=""),"",N100*P100*(1-IF(Q100="",0,Q100)/100))</f>
        <v/>
      </c>
      <c r="S100" s="17" t="n"/>
      <c r="T100" s="17" t="n"/>
      <c r="U100" s="17" t="n"/>
      <c r="V100" s="17" t="n"/>
      <c r="W100" s="10" t="n"/>
    </row>
    <row r="101">
      <c r="A101" s="17" t="n"/>
      <c r="B101" s="17" t="n"/>
      <c r="C101" s="17" t="n"/>
      <c r="D101" s="27" t="n"/>
      <c r="E101" s="27" t="n"/>
      <c r="F101" s="17" t="n"/>
      <c r="G101" s="17" t="n"/>
      <c r="H101" s="17" t="n"/>
      <c r="I101" s="17" t="n"/>
      <c r="J101" s="16" t="n"/>
      <c r="K101" s="17" t="n"/>
      <c r="L101" s="17" t="n"/>
      <c r="M101" s="10" t="n"/>
      <c r="N101" s="23" t="n"/>
      <c r="O101" s="17" t="n"/>
      <c r="P101" s="24" t="n"/>
      <c r="Q101" s="17" t="n"/>
      <c r="R101" s="20">
        <f>IF(OR(N101="",P101=""),"",N101*P101*(1-IF(Q101="",0,Q101)/100))</f>
        <v/>
      </c>
      <c r="S101" s="17" t="n"/>
      <c r="T101" s="17" t="n"/>
      <c r="U101" s="17" t="n"/>
      <c r="V101" s="17" t="n"/>
      <c r="W101" s="10" t="n"/>
    </row>
    <row r="102">
      <c r="A102" s="17" t="n"/>
      <c r="B102" s="17" t="n"/>
      <c r="C102" s="17" t="n"/>
      <c r="D102" s="27" t="n"/>
      <c r="E102" s="27" t="n"/>
      <c r="F102" s="17" t="n"/>
      <c r="G102" s="17" t="n"/>
      <c r="H102" s="17" t="n"/>
      <c r="I102" s="17" t="n"/>
      <c r="J102" s="16" t="n"/>
      <c r="K102" s="17" t="n"/>
      <c r="L102" s="17" t="n"/>
      <c r="M102" s="10" t="n"/>
      <c r="N102" s="23" t="n"/>
      <c r="O102" s="17" t="n"/>
      <c r="P102" s="24" t="n"/>
      <c r="Q102" s="17" t="n"/>
      <c r="R102" s="20">
        <f>IF(OR(N102="",P102=""),"",N102*P102*(1-IF(Q102="",0,Q102)/100))</f>
        <v/>
      </c>
      <c r="S102" s="17" t="n"/>
      <c r="T102" s="17" t="n"/>
      <c r="U102" s="17" t="n"/>
      <c r="V102" s="17" t="n"/>
      <c r="W102" s="10" t="n"/>
    </row>
    <row r="103">
      <c r="A103" s="17" t="n"/>
      <c r="B103" s="17" t="n"/>
      <c r="C103" s="17" t="n"/>
      <c r="D103" s="27" t="n"/>
      <c r="E103" s="27" t="n"/>
      <c r="F103" s="17" t="n"/>
      <c r="G103" s="17" t="n"/>
      <c r="H103" s="17" t="n"/>
      <c r="I103" s="17" t="n"/>
      <c r="J103" s="16" t="n"/>
      <c r="K103" s="17" t="n"/>
      <c r="L103" s="17" t="n"/>
      <c r="M103" s="10" t="n"/>
      <c r="N103" s="23" t="n"/>
      <c r="O103" s="17" t="n"/>
      <c r="P103" s="24" t="n"/>
      <c r="Q103" s="17" t="n"/>
      <c r="R103" s="20">
        <f>IF(OR(N103="",P103=""),"",N103*P103*(1-IF(Q103="",0,Q103)/100))</f>
        <v/>
      </c>
      <c r="S103" s="17" t="n"/>
      <c r="T103" s="17" t="n"/>
      <c r="U103" s="17" t="n"/>
      <c r="V103" s="17" t="n"/>
      <c r="W103" s="10" t="n"/>
    </row>
    <row r="104">
      <c r="A104" s="17" t="n"/>
      <c r="B104" s="17" t="n"/>
      <c r="C104" s="17" t="n"/>
      <c r="D104" s="27" t="n"/>
      <c r="E104" s="27" t="n"/>
      <c r="F104" s="17" t="n"/>
      <c r="G104" s="17" t="n"/>
      <c r="H104" s="17" t="n"/>
      <c r="I104" s="17" t="n"/>
      <c r="J104" s="16" t="n"/>
      <c r="K104" s="17" t="n"/>
      <c r="L104" s="17" t="n"/>
      <c r="M104" s="10" t="n"/>
      <c r="N104" s="23" t="n"/>
      <c r="O104" s="17" t="n"/>
      <c r="P104" s="24" t="n"/>
      <c r="Q104" s="17" t="n"/>
      <c r="R104" s="20">
        <f>IF(OR(N104="",P104=""),"",N104*P104*(1-IF(Q104="",0,Q104)/100))</f>
        <v/>
      </c>
      <c r="S104" s="17" t="n"/>
      <c r="T104" s="17" t="n"/>
      <c r="U104" s="17" t="n"/>
      <c r="V104" s="17" t="n"/>
      <c r="W104" s="10" t="n"/>
    </row>
    <row r="105">
      <c r="A105" s="17" t="n"/>
      <c r="B105" s="17" t="n"/>
      <c r="C105" s="17" t="n"/>
      <c r="D105" s="27" t="n"/>
      <c r="E105" s="27" t="n"/>
      <c r="F105" s="17" t="n"/>
      <c r="G105" s="17" t="n"/>
      <c r="H105" s="17" t="n"/>
      <c r="I105" s="17" t="n"/>
      <c r="J105" s="16" t="n"/>
      <c r="K105" s="17" t="n"/>
      <c r="L105" s="17" t="n"/>
      <c r="M105" s="10" t="n"/>
      <c r="N105" s="23" t="n"/>
      <c r="O105" s="17" t="n"/>
      <c r="P105" s="24" t="n"/>
      <c r="Q105" s="17" t="n"/>
      <c r="R105" s="20">
        <f>IF(OR(N105="",P105=""),"",N105*P105*(1-IF(Q105="",0,Q105)/100))</f>
        <v/>
      </c>
      <c r="S105" s="17" t="n"/>
      <c r="T105" s="17" t="n"/>
      <c r="U105" s="17" t="n"/>
      <c r="V105" s="17" t="n"/>
      <c r="W105" s="10" t="n"/>
    </row>
    <row r="106">
      <c r="A106" s="17" t="n"/>
      <c r="B106" s="17" t="n"/>
      <c r="C106" s="17" t="n"/>
      <c r="D106" s="27" t="n"/>
      <c r="E106" s="27" t="n"/>
      <c r="F106" s="17" t="n"/>
      <c r="G106" s="17" t="n"/>
      <c r="H106" s="17" t="n"/>
      <c r="I106" s="17" t="n"/>
      <c r="J106" s="16" t="n"/>
      <c r="K106" s="17" t="n"/>
      <c r="L106" s="17" t="n"/>
      <c r="M106" s="10" t="n"/>
      <c r="N106" s="23" t="n"/>
      <c r="O106" s="17" t="n"/>
      <c r="P106" s="24" t="n"/>
      <c r="Q106" s="17" t="n"/>
      <c r="R106" s="20">
        <f>IF(OR(N106="",P106=""),"",N106*P106*(1-IF(Q106="",0,Q106)/100))</f>
        <v/>
      </c>
      <c r="S106" s="17" t="n"/>
      <c r="T106" s="17" t="n"/>
      <c r="U106" s="17" t="n"/>
      <c r="V106" s="17" t="n"/>
      <c r="W106" s="10" t="n"/>
    </row>
    <row r="107">
      <c r="A107" s="17" t="n"/>
      <c r="B107" s="17" t="n"/>
      <c r="C107" s="17" t="n"/>
      <c r="D107" s="27" t="n"/>
      <c r="E107" s="27" t="n"/>
      <c r="F107" s="17" t="n"/>
      <c r="G107" s="17" t="n"/>
      <c r="H107" s="17" t="n"/>
      <c r="I107" s="17" t="n"/>
      <c r="J107" s="16" t="n"/>
      <c r="K107" s="17" t="n"/>
      <c r="L107" s="17" t="n"/>
      <c r="M107" s="10" t="n"/>
      <c r="N107" s="23" t="n"/>
      <c r="O107" s="17" t="n"/>
      <c r="P107" s="24" t="n"/>
      <c r="Q107" s="17" t="n"/>
      <c r="R107" s="20">
        <f>IF(OR(N107="",P107=""),"",N107*P107*(1-IF(Q107="",0,Q107)/100))</f>
        <v/>
      </c>
      <c r="S107" s="17" t="n"/>
      <c r="T107" s="17" t="n"/>
      <c r="U107" s="17" t="n"/>
      <c r="V107" s="17" t="n"/>
      <c r="W107" s="10" t="n"/>
    </row>
    <row r="108">
      <c r="A108" s="17" t="n"/>
      <c r="B108" s="17" t="n"/>
      <c r="C108" s="17" t="n"/>
      <c r="D108" s="27" t="n"/>
      <c r="E108" s="27" t="n"/>
      <c r="F108" s="17" t="n"/>
      <c r="G108" s="17" t="n"/>
      <c r="H108" s="17" t="n"/>
      <c r="I108" s="17" t="n"/>
      <c r="J108" s="16" t="n"/>
      <c r="K108" s="17" t="n"/>
      <c r="L108" s="17" t="n"/>
      <c r="M108" s="10" t="n"/>
      <c r="N108" s="23" t="n"/>
      <c r="O108" s="17" t="n"/>
      <c r="P108" s="24" t="n"/>
      <c r="Q108" s="17" t="n"/>
      <c r="R108" s="20">
        <f>IF(OR(N108="",P108=""),"",N108*P108*(1-IF(Q108="",0,Q108)/100))</f>
        <v/>
      </c>
      <c r="S108" s="17" t="n"/>
      <c r="T108" s="17" t="n"/>
      <c r="U108" s="17" t="n"/>
      <c r="V108" s="17" t="n"/>
      <c r="W108" s="10" t="n"/>
    </row>
    <row r="109">
      <c r="A109" s="17" t="n"/>
      <c r="B109" s="17" t="n"/>
      <c r="C109" s="17" t="n"/>
      <c r="D109" s="27" t="n"/>
      <c r="E109" s="27" t="n"/>
      <c r="F109" s="17" t="n"/>
      <c r="G109" s="17" t="n"/>
      <c r="H109" s="17" t="n"/>
      <c r="I109" s="17" t="n"/>
      <c r="J109" s="16" t="n"/>
      <c r="K109" s="17" t="n"/>
      <c r="L109" s="17" t="n"/>
      <c r="M109" s="10" t="n"/>
      <c r="N109" s="23" t="n"/>
      <c r="O109" s="17" t="n"/>
      <c r="P109" s="24" t="n"/>
      <c r="Q109" s="17" t="n"/>
      <c r="R109" s="20">
        <f>IF(OR(N109="",P109=""),"",N109*P109*(1-IF(Q109="",0,Q109)/100))</f>
        <v/>
      </c>
      <c r="S109" s="17" t="n"/>
      <c r="T109" s="17" t="n"/>
      <c r="U109" s="17" t="n"/>
      <c r="V109" s="17" t="n"/>
      <c r="W109" s="10" t="n"/>
    </row>
    <row r="110">
      <c r="A110" s="17" t="n"/>
      <c r="B110" s="17" t="n"/>
      <c r="C110" s="17" t="n"/>
      <c r="D110" s="27" t="n"/>
      <c r="E110" s="27" t="n"/>
      <c r="F110" s="17" t="n"/>
      <c r="G110" s="17" t="n"/>
      <c r="H110" s="17" t="n"/>
      <c r="I110" s="17" t="n"/>
      <c r="J110" s="16" t="n"/>
      <c r="K110" s="17" t="n"/>
      <c r="L110" s="17" t="n"/>
      <c r="M110" s="10" t="n"/>
      <c r="N110" s="23" t="n"/>
      <c r="O110" s="17" t="n"/>
      <c r="P110" s="24" t="n"/>
      <c r="Q110" s="17" t="n"/>
      <c r="R110" s="20">
        <f>IF(OR(N110="",P110=""),"",N110*P110*(1-IF(Q110="",0,Q110)/100))</f>
        <v/>
      </c>
      <c r="S110" s="17" t="n"/>
      <c r="T110" s="17" t="n"/>
      <c r="U110" s="17" t="n"/>
      <c r="V110" s="17" t="n"/>
      <c r="W110" s="10" t="n"/>
    </row>
    <row r="111">
      <c r="A111" s="17" t="n"/>
      <c r="B111" s="17" t="n"/>
      <c r="C111" s="17" t="n"/>
      <c r="D111" s="27" t="n"/>
      <c r="E111" s="27" t="n"/>
      <c r="F111" s="17" t="n"/>
      <c r="G111" s="17" t="n"/>
      <c r="H111" s="17" t="n"/>
      <c r="I111" s="17" t="n"/>
      <c r="J111" s="16" t="n"/>
      <c r="K111" s="17" t="n"/>
      <c r="L111" s="17" t="n"/>
      <c r="M111" s="10" t="n"/>
      <c r="N111" s="23" t="n"/>
      <c r="O111" s="17" t="n"/>
      <c r="P111" s="24" t="n"/>
      <c r="Q111" s="17" t="n"/>
      <c r="R111" s="20">
        <f>IF(OR(N111="",P111=""),"",N111*P111*(1-IF(Q111="",0,Q111)/100))</f>
        <v/>
      </c>
      <c r="S111" s="17" t="n"/>
      <c r="T111" s="17" t="n"/>
      <c r="U111" s="17" t="n"/>
      <c r="V111" s="17" t="n"/>
      <c r="W111" s="10" t="n"/>
    </row>
    <row r="112">
      <c r="A112" s="17" t="n"/>
      <c r="B112" s="17" t="n"/>
      <c r="C112" s="17" t="n"/>
      <c r="D112" s="27" t="n"/>
      <c r="E112" s="27" t="n"/>
      <c r="F112" s="17" t="n"/>
      <c r="G112" s="17" t="n"/>
      <c r="H112" s="17" t="n"/>
      <c r="I112" s="17" t="n"/>
      <c r="J112" s="16" t="n"/>
      <c r="K112" s="17" t="n"/>
      <c r="L112" s="17" t="n"/>
      <c r="M112" s="10" t="n"/>
      <c r="N112" s="23" t="n"/>
      <c r="O112" s="17" t="n"/>
      <c r="P112" s="24" t="n"/>
      <c r="Q112" s="17" t="n"/>
      <c r="R112" s="20">
        <f>IF(OR(N112="",P112=""),"",N112*P112*(1-IF(Q112="",0,Q112)/100))</f>
        <v/>
      </c>
      <c r="S112" s="17" t="n"/>
      <c r="T112" s="17" t="n"/>
      <c r="U112" s="17" t="n"/>
      <c r="V112" s="17" t="n"/>
      <c r="W112" s="10" t="n"/>
    </row>
    <row r="113">
      <c r="A113" s="17" t="n"/>
      <c r="B113" s="17" t="n"/>
      <c r="C113" s="17" t="n"/>
      <c r="D113" s="27" t="n"/>
      <c r="E113" s="27" t="n"/>
      <c r="F113" s="17" t="n"/>
      <c r="G113" s="17" t="n"/>
      <c r="H113" s="17" t="n"/>
      <c r="I113" s="17" t="n"/>
      <c r="J113" s="16" t="n"/>
      <c r="K113" s="17" t="n"/>
      <c r="L113" s="17" t="n"/>
      <c r="M113" s="10" t="n"/>
      <c r="N113" s="23" t="n"/>
      <c r="O113" s="17" t="n"/>
      <c r="P113" s="24" t="n"/>
      <c r="Q113" s="17" t="n"/>
      <c r="R113" s="20">
        <f>IF(OR(N113="",P113=""),"",N113*P113*(1-IF(Q113="",0,Q113)/100))</f>
        <v/>
      </c>
      <c r="S113" s="17" t="n"/>
      <c r="T113" s="17" t="n"/>
      <c r="U113" s="17" t="n"/>
      <c r="V113" s="17" t="n"/>
      <c r="W113" s="10" t="n"/>
    </row>
    <row r="114">
      <c r="A114" s="17" t="n"/>
      <c r="B114" s="17" t="n"/>
      <c r="C114" s="17" t="n"/>
      <c r="D114" s="27" t="n"/>
      <c r="E114" s="27" t="n"/>
      <c r="F114" s="17" t="n"/>
      <c r="G114" s="17" t="n"/>
      <c r="H114" s="17" t="n"/>
      <c r="I114" s="17" t="n"/>
      <c r="J114" s="16" t="n"/>
      <c r="K114" s="17" t="n"/>
      <c r="L114" s="17" t="n"/>
      <c r="M114" s="10" t="n"/>
      <c r="N114" s="23" t="n"/>
      <c r="O114" s="17" t="n"/>
      <c r="P114" s="24" t="n"/>
      <c r="Q114" s="17" t="n"/>
      <c r="R114" s="20">
        <f>IF(OR(N114="",P114=""),"",N114*P114*(1-IF(Q114="",0,Q114)/100))</f>
        <v/>
      </c>
      <c r="S114" s="17" t="n"/>
      <c r="T114" s="17" t="n"/>
      <c r="U114" s="17" t="n"/>
      <c r="V114" s="17" t="n"/>
      <c r="W114" s="10" t="n"/>
    </row>
    <row r="115">
      <c r="A115" s="17" t="n"/>
      <c r="B115" s="17" t="n"/>
      <c r="C115" s="17" t="n"/>
      <c r="D115" s="27" t="n"/>
      <c r="E115" s="27" t="n"/>
      <c r="F115" s="17" t="n"/>
      <c r="G115" s="17" t="n"/>
      <c r="H115" s="17" t="n"/>
      <c r="I115" s="17" t="n"/>
      <c r="J115" s="16" t="n"/>
      <c r="K115" s="17" t="n"/>
      <c r="L115" s="17" t="n"/>
      <c r="M115" s="10" t="n"/>
      <c r="N115" s="23" t="n"/>
      <c r="O115" s="17" t="n"/>
      <c r="P115" s="24" t="n"/>
      <c r="Q115" s="17" t="n"/>
      <c r="R115" s="20">
        <f>IF(OR(N115="",P115=""),"",N115*P115*(1-IF(Q115="",0,Q115)/100))</f>
        <v/>
      </c>
      <c r="S115" s="17" t="n"/>
      <c r="T115" s="17" t="n"/>
      <c r="U115" s="17" t="n"/>
      <c r="V115" s="17" t="n"/>
      <c r="W115" s="10" t="n"/>
    </row>
    <row r="116">
      <c r="A116" s="17" t="n"/>
      <c r="B116" s="17" t="n"/>
      <c r="C116" s="17" t="n"/>
      <c r="D116" s="27" t="n"/>
      <c r="E116" s="27" t="n"/>
      <c r="F116" s="17" t="n"/>
      <c r="G116" s="17" t="n"/>
      <c r="H116" s="17" t="n"/>
      <c r="I116" s="17" t="n"/>
      <c r="J116" s="16" t="n"/>
      <c r="K116" s="17" t="n"/>
      <c r="L116" s="17" t="n"/>
      <c r="M116" s="10" t="n"/>
      <c r="N116" s="23" t="n"/>
      <c r="O116" s="17" t="n"/>
      <c r="P116" s="24" t="n"/>
      <c r="Q116" s="17" t="n"/>
      <c r="R116" s="20">
        <f>IF(OR(N116="",P116=""),"",N116*P116*(1-IF(Q116="",0,Q116)/100))</f>
        <v/>
      </c>
      <c r="S116" s="17" t="n"/>
      <c r="T116" s="17" t="n"/>
      <c r="U116" s="17" t="n"/>
      <c r="V116" s="17" t="n"/>
      <c r="W116" s="10" t="n"/>
    </row>
    <row r="117">
      <c r="A117" s="17" t="n"/>
      <c r="B117" s="17" t="n"/>
      <c r="C117" s="17" t="n"/>
      <c r="D117" s="27" t="n"/>
      <c r="E117" s="27" t="n"/>
      <c r="F117" s="17" t="n"/>
      <c r="G117" s="17" t="n"/>
      <c r="H117" s="17" t="n"/>
      <c r="I117" s="17" t="n"/>
      <c r="J117" s="16" t="n"/>
      <c r="K117" s="17" t="n"/>
      <c r="L117" s="17" t="n"/>
      <c r="M117" s="10" t="n"/>
      <c r="N117" s="23" t="n"/>
      <c r="O117" s="17" t="n"/>
      <c r="P117" s="24" t="n"/>
      <c r="Q117" s="17" t="n"/>
      <c r="R117" s="20">
        <f>IF(OR(N117="",P117=""),"",N117*P117*(1-IF(Q117="",0,Q117)/100))</f>
        <v/>
      </c>
      <c r="S117" s="17" t="n"/>
      <c r="T117" s="17" t="n"/>
      <c r="U117" s="17" t="n"/>
      <c r="V117" s="17" t="n"/>
      <c r="W117" s="10" t="n"/>
    </row>
    <row r="118">
      <c r="A118" s="17" t="n"/>
      <c r="B118" s="17" t="n"/>
      <c r="C118" s="17" t="n"/>
      <c r="D118" s="27" t="n"/>
      <c r="E118" s="27" t="n"/>
      <c r="F118" s="17" t="n"/>
      <c r="G118" s="17" t="n"/>
      <c r="H118" s="17" t="n"/>
      <c r="I118" s="17" t="n"/>
      <c r="J118" s="16" t="n"/>
      <c r="K118" s="17" t="n"/>
      <c r="L118" s="17" t="n"/>
      <c r="M118" s="10" t="n"/>
      <c r="N118" s="23" t="n"/>
      <c r="O118" s="17" t="n"/>
      <c r="P118" s="24" t="n"/>
      <c r="Q118" s="17" t="n"/>
      <c r="R118" s="20">
        <f>IF(OR(N118="",P118=""),"",N118*P118*(1-IF(Q118="",0,Q118)/100))</f>
        <v/>
      </c>
      <c r="S118" s="17" t="n"/>
      <c r="T118" s="17" t="n"/>
      <c r="U118" s="17" t="n"/>
      <c r="V118" s="17" t="n"/>
      <c r="W118" s="10" t="n"/>
    </row>
    <row r="119">
      <c r="A119" s="17" t="n"/>
      <c r="B119" s="17" t="n"/>
      <c r="C119" s="17" t="n"/>
      <c r="D119" s="27" t="n"/>
      <c r="E119" s="27" t="n"/>
      <c r="F119" s="17" t="n"/>
      <c r="G119" s="17" t="n"/>
      <c r="H119" s="17" t="n"/>
      <c r="I119" s="17" t="n"/>
      <c r="J119" s="16" t="n"/>
      <c r="K119" s="17" t="n"/>
      <c r="L119" s="17" t="n"/>
      <c r="M119" s="10" t="n"/>
      <c r="N119" s="23" t="n"/>
      <c r="O119" s="17" t="n"/>
      <c r="P119" s="24" t="n"/>
      <c r="Q119" s="17" t="n"/>
      <c r="R119" s="20">
        <f>IF(OR(N119="",P119=""),"",N119*P119*(1-IF(Q119="",0,Q119)/100))</f>
        <v/>
      </c>
      <c r="S119" s="17" t="n"/>
      <c r="T119" s="17" t="n"/>
      <c r="U119" s="17" t="n"/>
      <c r="V119" s="17" t="n"/>
      <c r="W119" s="10" t="n"/>
    </row>
    <row r="120">
      <c r="A120" s="17" t="n"/>
      <c r="B120" s="17" t="n"/>
      <c r="C120" s="17" t="n"/>
      <c r="D120" s="27" t="n"/>
      <c r="E120" s="27" t="n"/>
      <c r="F120" s="17" t="n"/>
      <c r="G120" s="17" t="n"/>
      <c r="H120" s="17" t="n"/>
      <c r="I120" s="17" t="n"/>
      <c r="J120" s="16" t="n"/>
      <c r="K120" s="17" t="n"/>
      <c r="L120" s="17" t="n"/>
      <c r="M120" s="10" t="n"/>
      <c r="N120" s="23" t="n"/>
      <c r="O120" s="17" t="n"/>
      <c r="P120" s="24" t="n"/>
      <c r="Q120" s="17" t="n"/>
      <c r="R120" s="20">
        <f>IF(OR(N120="",P120=""),"",N120*P120*(1-IF(Q120="",0,Q120)/100))</f>
        <v/>
      </c>
      <c r="S120" s="17" t="n"/>
      <c r="T120" s="17" t="n"/>
      <c r="U120" s="17" t="n"/>
      <c r="V120" s="17" t="n"/>
      <c r="W120" s="10" t="n"/>
    </row>
    <row r="121">
      <c r="A121" s="17" t="n"/>
      <c r="B121" s="17" t="n"/>
      <c r="C121" s="17" t="n"/>
      <c r="D121" s="27" t="n"/>
      <c r="E121" s="27" t="n"/>
      <c r="F121" s="17" t="n"/>
      <c r="G121" s="17" t="n"/>
      <c r="H121" s="17" t="n"/>
      <c r="I121" s="17" t="n"/>
      <c r="J121" s="16" t="n"/>
      <c r="K121" s="17" t="n"/>
      <c r="L121" s="17" t="n"/>
      <c r="M121" s="10" t="n"/>
      <c r="N121" s="23" t="n"/>
      <c r="O121" s="17" t="n"/>
      <c r="P121" s="24" t="n"/>
      <c r="Q121" s="17" t="n"/>
      <c r="R121" s="20">
        <f>IF(OR(N121="",P121=""),"",N121*P121*(1-IF(Q121="",0,Q121)/100))</f>
        <v/>
      </c>
      <c r="S121" s="17" t="n"/>
      <c r="T121" s="17" t="n"/>
      <c r="U121" s="17" t="n"/>
      <c r="V121" s="17" t="n"/>
      <c r="W121" s="10" t="n"/>
    </row>
    <row r="122">
      <c r="A122" s="17" t="n"/>
      <c r="B122" s="17" t="n"/>
      <c r="C122" s="17" t="n"/>
      <c r="D122" s="27" t="n"/>
      <c r="E122" s="27" t="n"/>
      <c r="F122" s="17" t="n"/>
      <c r="G122" s="17" t="n"/>
      <c r="H122" s="17" t="n"/>
      <c r="I122" s="17" t="n"/>
      <c r="J122" s="16" t="n"/>
      <c r="K122" s="17" t="n"/>
      <c r="L122" s="17" t="n"/>
      <c r="M122" s="10" t="n"/>
      <c r="N122" s="23" t="n"/>
      <c r="O122" s="17" t="n"/>
      <c r="P122" s="24" t="n"/>
      <c r="Q122" s="17" t="n"/>
      <c r="R122" s="20">
        <f>IF(OR(N122="",P122=""),"",N122*P122*(1-IF(Q122="",0,Q122)/100))</f>
        <v/>
      </c>
      <c r="S122" s="17" t="n"/>
      <c r="T122" s="17" t="n"/>
      <c r="U122" s="17" t="n"/>
      <c r="V122" s="17" t="n"/>
      <c r="W122" s="10" t="n"/>
    </row>
    <row r="123">
      <c r="A123" s="17" t="n"/>
      <c r="B123" s="17" t="n"/>
      <c r="C123" s="17" t="n"/>
      <c r="D123" s="27" t="n"/>
      <c r="E123" s="27" t="n"/>
      <c r="F123" s="17" t="n"/>
      <c r="G123" s="17" t="n"/>
      <c r="H123" s="17" t="n"/>
      <c r="I123" s="17" t="n"/>
      <c r="J123" s="16" t="n"/>
      <c r="K123" s="17" t="n"/>
      <c r="L123" s="17" t="n"/>
      <c r="M123" s="10" t="n"/>
      <c r="N123" s="23" t="n"/>
      <c r="O123" s="17" t="n"/>
      <c r="P123" s="24" t="n"/>
      <c r="Q123" s="17" t="n"/>
      <c r="R123" s="20">
        <f>IF(OR(N123="",P123=""),"",N123*P123*(1-IF(Q123="",0,Q123)/100))</f>
        <v/>
      </c>
      <c r="S123" s="17" t="n"/>
      <c r="T123" s="17" t="n"/>
      <c r="U123" s="17" t="n"/>
      <c r="V123" s="17" t="n"/>
      <c r="W123" s="10" t="n"/>
    </row>
    <row r="124">
      <c r="A124" s="17" t="n"/>
      <c r="B124" s="17" t="n"/>
      <c r="C124" s="17" t="n"/>
      <c r="D124" s="27" t="n"/>
      <c r="E124" s="27" t="n"/>
      <c r="F124" s="17" t="n"/>
      <c r="G124" s="17" t="n"/>
      <c r="H124" s="17" t="n"/>
      <c r="I124" s="17" t="n"/>
      <c r="J124" s="16" t="n"/>
      <c r="K124" s="17" t="n"/>
      <c r="L124" s="17" t="n"/>
      <c r="M124" s="10" t="n"/>
      <c r="N124" s="23" t="n"/>
      <c r="O124" s="17" t="n"/>
      <c r="P124" s="24" t="n"/>
      <c r="Q124" s="17" t="n"/>
      <c r="R124" s="20">
        <f>IF(OR(N124="",P124=""),"",N124*P124*(1-IF(Q124="",0,Q124)/100))</f>
        <v/>
      </c>
      <c r="S124" s="17" t="n"/>
      <c r="T124" s="17" t="n"/>
      <c r="U124" s="17" t="n"/>
      <c r="V124" s="17" t="n"/>
      <c r="W124" s="10" t="n"/>
    </row>
    <row r="125">
      <c r="A125" s="17" t="n"/>
      <c r="B125" s="17" t="n"/>
      <c r="C125" s="17" t="n"/>
      <c r="D125" s="27" t="n"/>
      <c r="E125" s="27" t="n"/>
      <c r="F125" s="17" t="n"/>
      <c r="G125" s="17" t="n"/>
      <c r="H125" s="17" t="n"/>
      <c r="I125" s="17" t="n"/>
      <c r="J125" s="16" t="n"/>
      <c r="K125" s="17" t="n"/>
      <c r="L125" s="17" t="n"/>
      <c r="M125" s="10" t="n"/>
      <c r="N125" s="23" t="n"/>
      <c r="O125" s="17" t="n"/>
      <c r="P125" s="24" t="n"/>
      <c r="Q125" s="17" t="n"/>
      <c r="R125" s="20">
        <f>IF(OR(N125="",P125=""),"",N125*P125*(1-IF(Q125="",0,Q125)/100))</f>
        <v/>
      </c>
      <c r="S125" s="17" t="n"/>
      <c r="T125" s="17" t="n"/>
      <c r="U125" s="17" t="n"/>
      <c r="V125" s="17" t="n"/>
      <c r="W125" s="10" t="n"/>
    </row>
    <row r="126">
      <c r="A126" s="17" t="n"/>
      <c r="B126" s="17" t="n"/>
      <c r="C126" s="17" t="n"/>
      <c r="D126" s="27" t="n"/>
      <c r="E126" s="27" t="n"/>
      <c r="F126" s="17" t="n"/>
      <c r="G126" s="17" t="n"/>
      <c r="H126" s="17" t="n"/>
      <c r="I126" s="17" t="n"/>
      <c r="J126" s="16" t="n"/>
      <c r="K126" s="17" t="n"/>
      <c r="L126" s="17" t="n"/>
      <c r="M126" s="10" t="n"/>
      <c r="N126" s="23" t="n"/>
      <c r="O126" s="17" t="n"/>
      <c r="P126" s="24" t="n"/>
      <c r="Q126" s="17" t="n"/>
      <c r="R126" s="20">
        <f>IF(OR(N126="",P126=""),"",N126*P126*(1-IF(Q126="",0,Q126)/100))</f>
        <v/>
      </c>
      <c r="S126" s="17" t="n"/>
      <c r="T126" s="17" t="n"/>
      <c r="U126" s="17" t="n"/>
      <c r="V126" s="17" t="n"/>
      <c r="W126" s="10" t="n"/>
    </row>
    <row r="127">
      <c r="A127" s="17" t="n"/>
      <c r="B127" s="17" t="n"/>
      <c r="C127" s="17" t="n"/>
      <c r="D127" s="27" t="n"/>
      <c r="E127" s="27" t="n"/>
      <c r="F127" s="17" t="n"/>
      <c r="G127" s="17" t="n"/>
      <c r="H127" s="17" t="n"/>
      <c r="I127" s="17" t="n"/>
      <c r="J127" s="16" t="n"/>
      <c r="K127" s="17" t="n"/>
      <c r="L127" s="17" t="n"/>
      <c r="M127" s="10" t="n"/>
      <c r="N127" s="23" t="n"/>
      <c r="O127" s="17" t="n"/>
      <c r="P127" s="24" t="n"/>
      <c r="Q127" s="17" t="n"/>
      <c r="R127" s="20">
        <f>IF(OR(N127="",P127=""),"",N127*P127*(1-IF(Q127="",0,Q127)/100))</f>
        <v/>
      </c>
      <c r="S127" s="17" t="n"/>
      <c r="T127" s="17" t="n"/>
      <c r="U127" s="17" t="n"/>
      <c r="V127" s="17" t="n"/>
      <c r="W127" s="10" t="n"/>
    </row>
    <row r="128">
      <c r="A128" s="17" t="n"/>
      <c r="B128" s="17" t="n"/>
      <c r="C128" s="17" t="n"/>
      <c r="D128" s="27" t="n"/>
      <c r="E128" s="27" t="n"/>
      <c r="F128" s="17" t="n"/>
      <c r="G128" s="17" t="n"/>
      <c r="H128" s="17" t="n"/>
      <c r="I128" s="17" t="n"/>
      <c r="J128" s="16" t="n"/>
      <c r="K128" s="17" t="n"/>
      <c r="L128" s="17" t="n"/>
      <c r="M128" s="10" t="n"/>
      <c r="N128" s="23" t="n"/>
      <c r="O128" s="17" t="n"/>
      <c r="P128" s="24" t="n"/>
      <c r="Q128" s="17" t="n"/>
      <c r="R128" s="20">
        <f>IF(OR(N128="",P128=""),"",N128*P128*(1-IF(Q128="",0,Q128)/100))</f>
        <v/>
      </c>
      <c r="S128" s="17" t="n"/>
      <c r="T128" s="17" t="n"/>
      <c r="U128" s="17" t="n"/>
      <c r="V128" s="17" t="n"/>
      <c r="W128" s="10" t="n"/>
    </row>
    <row r="129">
      <c r="A129" s="17" t="n"/>
      <c r="B129" s="17" t="n"/>
      <c r="C129" s="17" t="n"/>
      <c r="D129" s="27" t="n"/>
      <c r="E129" s="27" t="n"/>
      <c r="F129" s="17" t="n"/>
      <c r="G129" s="17" t="n"/>
      <c r="H129" s="17" t="n"/>
      <c r="I129" s="17" t="n"/>
      <c r="J129" s="16" t="n"/>
      <c r="K129" s="17" t="n"/>
      <c r="L129" s="17" t="n"/>
      <c r="M129" s="10" t="n"/>
      <c r="N129" s="23" t="n"/>
      <c r="O129" s="17" t="n"/>
      <c r="P129" s="24" t="n"/>
      <c r="Q129" s="17" t="n"/>
      <c r="R129" s="20">
        <f>IF(OR(N129="",P129=""),"",N129*P129*(1-IF(Q129="",0,Q129)/100))</f>
        <v/>
      </c>
      <c r="S129" s="17" t="n"/>
      <c r="T129" s="17" t="n"/>
      <c r="U129" s="17" t="n"/>
      <c r="V129" s="17" t="n"/>
      <c r="W129" s="10" t="n"/>
    </row>
    <row r="130">
      <c r="A130" s="17" t="n"/>
      <c r="B130" s="17" t="n"/>
      <c r="C130" s="17" t="n"/>
      <c r="D130" s="27" t="n"/>
      <c r="E130" s="27" t="n"/>
      <c r="F130" s="17" t="n"/>
      <c r="G130" s="17" t="n"/>
      <c r="H130" s="17" t="n"/>
      <c r="I130" s="17" t="n"/>
      <c r="J130" s="16" t="n"/>
      <c r="K130" s="17" t="n"/>
      <c r="L130" s="17" t="n"/>
      <c r="M130" s="10" t="n"/>
      <c r="N130" s="23" t="n"/>
      <c r="O130" s="17" t="n"/>
      <c r="P130" s="24" t="n"/>
      <c r="Q130" s="17" t="n"/>
      <c r="R130" s="20">
        <f>IF(OR(N130="",P130=""),"",N130*P130*(1-IF(Q130="",0,Q130)/100))</f>
        <v/>
      </c>
      <c r="S130" s="17" t="n"/>
      <c r="T130" s="17" t="n"/>
      <c r="U130" s="17" t="n"/>
      <c r="V130" s="17" t="n"/>
      <c r="W130" s="10" t="n"/>
    </row>
    <row r="131">
      <c r="A131" s="17" t="n"/>
      <c r="B131" s="17" t="n"/>
      <c r="C131" s="17" t="n"/>
      <c r="D131" s="27" t="n"/>
      <c r="E131" s="27" t="n"/>
      <c r="F131" s="17" t="n"/>
      <c r="G131" s="17" t="n"/>
      <c r="H131" s="17" t="n"/>
      <c r="I131" s="17" t="n"/>
      <c r="J131" s="16" t="n"/>
      <c r="K131" s="17" t="n"/>
      <c r="L131" s="17" t="n"/>
      <c r="M131" s="10" t="n"/>
      <c r="N131" s="23" t="n"/>
      <c r="O131" s="17" t="n"/>
      <c r="P131" s="24" t="n"/>
      <c r="Q131" s="17" t="n"/>
      <c r="R131" s="20">
        <f>IF(OR(N131="",P131=""),"",N131*P131*(1-IF(Q131="",0,Q131)/100))</f>
        <v/>
      </c>
      <c r="S131" s="17" t="n"/>
      <c r="T131" s="17" t="n"/>
      <c r="U131" s="17" t="n"/>
      <c r="V131" s="17" t="n"/>
      <c r="W131" s="10" t="n"/>
    </row>
    <row r="132">
      <c r="A132" s="17" t="n"/>
      <c r="B132" s="17" t="n"/>
      <c r="C132" s="17" t="n"/>
      <c r="D132" s="27" t="n"/>
      <c r="E132" s="27" t="n"/>
      <c r="F132" s="17" t="n"/>
      <c r="G132" s="17" t="n"/>
      <c r="H132" s="17" t="n"/>
      <c r="I132" s="17" t="n"/>
      <c r="J132" s="16" t="n"/>
      <c r="K132" s="17" t="n"/>
      <c r="L132" s="17" t="n"/>
      <c r="M132" s="10" t="n"/>
      <c r="N132" s="23" t="n"/>
      <c r="O132" s="17" t="n"/>
      <c r="P132" s="24" t="n"/>
      <c r="Q132" s="17" t="n"/>
      <c r="R132" s="20">
        <f>IF(OR(N132="",P132=""),"",N132*P132*(1-IF(Q132="",0,Q132)/100))</f>
        <v/>
      </c>
      <c r="S132" s="17" t="n"/>
      <c r="T132" s="17" t="n"/>
      <c r="U132" s="17" t="n"/>
      <c r="V132" s="17" t="n"/>
      <c r="W132" s="10" t="n"/>
    </row>
    <row r="133">
      <c r="A133" s="17" t="n"/>
      <c r="B133" s="17" t="n"/>
      <c r="C133" s="17" t="n"/>
      <c r="D133" s="27" t="n"/>
      <c r="E133" s="27" t="n"/>
      <c r="F133" s="17" t="n"/>
      <c r="G133" s="17" t="n"/>
      <c r="H133" s="17" t="n"/>
      <c r="I133" s="17" t="n"/>
      <c r="J133" s="16" t="n"/>
      <c r="K133" s="17" t="n"/>
      <c r="L133" s="17" t="n"/>
      <c r="M133" s="10" t="n"/>
      <c r="N133" s="23" t="n"/>
      <c r="O133" s="17" t="n"/>
      <c r="P133" s="24" t="n"/>
      <c r="Q133" s="17" t="n"/>
      <c r="R133" s="20">
        <f>IF(OR(N133="",P133=""),"",N133*P133*(1-IF(Q133="",0,Q133)/100))</f>
        <v/>
      </c>
      <c r="S133" s="17" t="n"/>
      <c r="T133" s="17" t="n"/>
      <c r="U133" s="17" t="n"/>
      <c r="V133" s="17" t="n"/>
      <c r="W133" s="10" t="n"/>
    </row>
    <row r="134">
      <c r="A134" s="17" t="n"/>
      <c r="B134" s="17" t="n"/>
      <c r="C134" s="17" t="n"/>
      <c r="D134" s="27" t="n"/>
      <c r="E134" s="27" t="n"/>
      <c r="F134" s="17" t="n"/>
      <c r="G134" s="17" t="n"/>
      <c r="H134" s="17" t="n"/>
      <c r="I134" s="17" t="n"/>
      <c r="J134" s="16" t="n"/>
      <c r="K134" s="17" t="n"/>
      <c r="L134" s="17" t="n"/>
      <c r="M134" s="10" t="n"/>
      <c r="N134" s="23" t="n"/>
      <c r="O134" s="17" t="n"/>
      <c r="P134" s="24" t="n"/>
      <c r="Q134" s="17" t="n"/>
      <c r="R134" s="20">
        <f>IF(OR(N134="",P134=""),"",N134*P134*(1-IF(Q134="",0,Q134)/100))</f>
        <v/>
      </c>
      <c r="S134" s="17" t="n"/>
      <c r="T134" s="17" t="n"/>
      <c r="U134" s="17" t="n"/>
      <c r="V134" s="17" t="n"/>
      <c r="W134" s="10" t="n"/>
    </row>
    <row r="135">
      <c r="A135" s="17" t="n"/>
      <c r="B135" s="17" t="n"/>
      <c r="C135" s="17" t="n"/>
      <c r="D135" s="27" t="n"/>
      <c r="E135" s="27" t="n"/>
      <c r="F135" s="17" t="n"/>
      <c r="G135" s="17" t="n"/>
      <c r="H135" s="17" t="n"/>
      <c r="I135" s="17" t="n"/>
      <c r="J135" s="16" t="n"/>
      <c r="K135" s="17" t="n"/>
      <c r="L135" s="17" t="n"/>
      <c r="M135" s="10" t="n"/>
      <c r="N135" s="23" t="n"/>
      <c r="O135" s="17" t="n"/>
      <c r="P135" s="24" t="n"/>
      <c r="Q135" s="17" t="n"/>
      <c r="R135" s="20">
        <f>IF(OR(N135="",P135=""),"",N135*P135*(1-IF(Q135="",0,Q135)/100))</f>
        <v/>
      </c>
      <c r="S135" s="17" t="n"/>
      <c r="T135" s="17" t="n"/>
      <c r="U135" s="17" t="n"/>
      <c r="V135" s="17" t="n"/>
      <c r="W135" s="10" t="n"/>
    </row>
    <row r="136">
      <c r="A136" s="17" t="n"/>
      <c r="B136" s="17" t="n"/>
      <c r="C136" s="17" t="n"/>
      <c r="D136" s="27" t="n"/>
      <c r="E136" s="27" t="n"/>
      <c r="F136" s="17" t="n"/>
      <c r="G136" s="17" t="n"/>
      <c r="H136" s="17" t="n"/>
      <c r="I136" s="17" t="n"/>
      <c r="J136" s="16" t="n"/>
      <c r="K136" s="17" t="n"/>
      <c r="L136" s="17" t="n"/>
      <c r="M136" s="10" t="n"/>
      <c r="N136" s="23" t="n"/>
      <c r="O136" s="17" t="n"/>
      <c r="P136" s="24" t="n"/>
      <c r="Q136" s="17" t="n"/>
      <c r="R136" s="20">
        <f>IF(OR(N136="",P136=""),"",N136*P136*(1-IF(Q136="",0,Q136)/100))</f>
        <v/>
      </c>
      <c r="S136" s="17" t="n"/>
      <c r="T136" s="17" t="n"/>
      <c r="U136" s="17" t="n"/>
      <c r="V136" s="17" t="n"/>
      <c r="W136" s="10" t="n"/>
    </row>
    <row r="137">
      <c r="A137" s="17" t="n"/>
      <c r="B137" s="17" t="n"/>
      <c r="C137" s="17" t="n"/>
      <c r="D137" s="27" t="n"/>
      <c r="E137" s="27" t="n"/>
      <c r="F137" s="17" t="n"/>
      <c r="G137" s="17" t="n"/>
      <c r="H137" s="17" t="n"/>
      <c r="I137" s="17" t="n"/>
      <c r="J137" s="16" t="n"/>
      <c r="K137" s="17" t="n"/>
      <c r="L137" s="17" t="n"/>
      <c r="M137" s="10" t="n"/>
      <c r="N137" s="23" t="n"/>
      <c r="O137" s="17" t="n"/>
      <c r="P137" s="24" t="n"/>
      <c r="Q137" s="17" t="n"/>
      <c r="R137" s="20">
        <f>IF(OR(N137="",P137=""),"",N137*P137*(1-IF(Q137="",0,Q137)/100))</f>
        <v/>
      </c>
      <c r="S137" s="17" t="n"/>
      <c r="T137" s="17" t="n"/>
      <c r="U137" s="17" t="n"/>
      <c r="V137" s="17" t="n"/>
      <c r="W137" s="10" t="n"/>
    </row>
    <row r="138">
      <c r="A138" s="17" t="n"/>
      <c r="B138" s="17" t="n"/>
      <c r="C138" s="17" t="n"/>
      <c r="D138" s="27" t="n"/>
      <c r="E138" s="27" t="n"/>
      <c r="F138" s="17" t="n"/>
      <c r="G138" s="17" t="n"/>
      <c r="H138" s="17" t="n"/>
      <c r="I138" s="17" t="n"/>
      <c r="J138" s="16" t="n"/>
      <c r="K138" s="17" t="n"/>
      <c r="L138" s="17" t="n"/>
      <c r="M138" s="10" t="n"/>
      <c r="N138" s="23" t="n"/>
      <c r="O138" s="17" t="n"/>
      <c r="P138" s="24" t="n"/>
      <c r="Q138" s="17" t="n"/>
      <c r="R138" s="20">
        <f>IF(OR(N138="",P138=""),"",N138*P138*(1-IF(Q138="",0,Q138)/100))</f>
        <v/>
      </c>
      <c r="S138" s="17" t="n"/>
      <c r="T138" s="17" t="n"/>
      <c r="U138" s="17" t="n"/>
      <c r="V138" s="17" t="n"/>
      <c r="W138" s="10" t="n"/>
    </row>
    <row r="139">
      <c r="A139" s="17" t="n"/>
      <c r="B139" s="17" t="n"/>
      <c r="C139" s="17" t="n"/>
      <c r="D139" s="27" t="n"/>
      <c r="E139" s="27" t="n"/>
      <c r="F139" s="17" t="n"/>
      <c r="G139" s="17" t="n"/>
      <c r="H139" s="17" t="n"/>
      <c r="I139" s="17" t="n"/>
      <c r="J139" s="16" t="n"/>
      <c r="K139" s="17" t="n"/>
      <c r="L139" s="17" t="n"/>
      <c r="M139" s="10" t="n"/>
      <c r="N139" s="23" t="n"/>
      <c r="O139" s="17" t="n"/>
      <c r="P139" s="24" t="n"/>
      <c r="Q139" s="17" t="n"/>
      <c r="R139" s="20">
        <f>IF(OR(N139="",P139=""),"",N139*P139*(1-IF(Q139="",0,Q139)/100))</f>
        <v/>
      </c>
      <c r="S139" s="17" t="n"/>
      <c r="T139" s="17" t="n"/>
      <c r="U139" s="17" t="n"/>
      <c r="V139" s="17" t="n"/>
      <c r="W139" s="10" t="n"/>
    </row>
    <row r="140">
      <c r="A140" s="17" t="n"/>
      <c r="B140" s="17" t="n"/>
      <c r="C140" s="17" t="n"/>
      <c r="D140" s="27" t="n"/>
      <c r="E140" s="27" t="n"/>
      <c r="F140" s="17" t="n"/>
      <c r="G140" s="17" t="n"/>
      <c r="H140" s="17" t="n"/>
      <c r="I140" s="17" t="n"/>
      <c r="J140" s="16" t="n"/>
      <c r="K140" s="17" t="n"/>
      <c r="L140" s="17" t="n"/>
      <c r="M140" s="10" t="n"/>
      <c r="N140" s="23" t="n"/>
      <c r="O140" s="17" t="n"/>
      <c r="P140" s="24" t="n"/>
      <c r="Q140" s="17" t="n"/>
      <c r="R140" s="20">
        <f>IF(OR(N140="",P140=""),"",N140*P140*(1-IF(Q140="",0,Q140)/100))</f>
        <v/>
      </c>
      <c r="S140" s="17" t="n"/>
      <c r="T140" s="17" t="n"/>
      <c r="U140" s="17" t="n"/>
      <c r="V140" s="17" t="n"/>
      <c r="W140" s="10" t="n"/>
    </row>
    <row r="141">
      <c r="A141" s="17" t="n"/>
      <c r="B141" s="17" t="n"/>
      <c r="C141" s="17" t="n"/>
      <c r="D141" s="27" t="n"/>
      <c r="E141" s="27" t="n"/>
      <c r="F141" s="17" t="n"/>
      <c r="G141" s="17" t="n"/>
      <c r="H141" s="17" t="n"/>
      <c r="I141" s="17" t="n"/>
      <c r="J141" s="16" t="n"/>
      <c r="K141" s="17" t="n"/>
      <c r="L141" s="17" t="n"/>
      <c r="M141" s="10" t="n"/>
      <c r="N141" s="23" t="n"/>
      <c r="O141" s="17" t="n"/>
      <c r="P141" s="24" t="n"/>
      <c r="Q141" s="17" t="n"/>
      <c r="R141" s="20">
        <f>IF(OR(N141="",P141=""),"",N141*P141*(1-IF(Q141="",0,Q141)/100))</f>
        <v/>
      </c>
      <c r="S141" s="17" t="n"/>
      <c r="T141" s="17" t="n"/>
      <c r="U141" s="17" t="n"/>
      <c r="V141" s="17" t="n"/>
      <c r="W141" s="10" t="n"/>
    </row>
    <row r="142">
      <c r="A142" s="17" t="n"/>
      <c r="B142" s="17" t="n"/>
      <c r="C142" s="17" t="n"/>
      <c r="D142" s="27" t="n"/>
      <c r="E142" s="27" t="n"/>
      <c r="F142" s="17" t="n"/>
      <c r="G142" s="17" t="n"/>
      <c r="H142" s="17" t="n"/>
      <c r="I142" s="17" t="n"/>
      <c r="J142" s="16" t="n"/>
      <c r="K142" s="17" t="n"/>
      <c r="L142" s="17" t="n"/>
      <c r="M142" s="10" t="n"/>
      <c r="N142" s="23" t="n"/>
      <c r="O142" s="17" t="n"/>
      <c r="P142" s="24" t="n"/>
      <c r="Q142" s="17" t="n"/>
      <c r="R142" s="20">
        <f>IF(OR(N142="",P142=""),"",N142*P142*(1-IF(Q142="",0,Q142)/100))</f>
        <v/>
      </c>
      <c r="S142" s="17" t="n"/>
      <c r="T142" s="17" t="n"/>
      <c r="U142" s="17" t="n"/>
      <c r="V142" s="17" t="n"/>
      <c r="W142" s="10" t="n"/>
    </row>
    <row r="143">
      <c r="A143" s="17" t="n"/>
      <c r="B143" s="17" t="n"/>
      <c r="C143" s="17" t="n"/>
      <c r="D143" s="27" t="n"/>
      <c r="E143" s="27" t="n"/>
      <c r="F143" s="17" t="n"/>
      <c r="G143" s="17" t="n"/>
      <c r="H143" s="17" t="n"/>
      <c r="I143" s="17" t="n"/>
      <c r="J143" s="16" t="n"/>
      <c r="K143" s="17" t="n"/>
      <c r="L143" s="17" t="n"/>
      <c r="M143" s="10" t="n"/>
      <c r="N143" s="23" t="n"/>
      <c r="O143" s="17" t="n"/>
      <c r="P143" s="24" t="n"/>
      <c r="Q143" s="17" t="n"/>
      <c r="R143" s="20">
        <f>IF(OR(N143="",P143=""),"",N143*P143*(1-IF(Q143="",0,Q143)/100))</f>
        <v/>
      </c>
      <c r="S143" s="17" t="n"/>
      <c r="T143" s="17" t="n"/>
      <c r="U143" s="17" t="n"/>
      <c r="V143" s="17" t="n"/>
      <c r="W143" s="10" t="n"/>
    </row>
    <row r="144">
      <c r="A144" s="17" t="n"/>
      <c r="B144" s="17" t="n"/>
      <c r="C144" s="17" t="n"/>
      <c r="D144" s="27" t="n"/>
      <c r="E144" s="27" t="n"/>
      <c r="F144" s="17" t="n"/>
      <c r="G144" s="17" t="n"/>
      <c r="H144" s="17" t="n"/>
      <c r="I144" s="17" t="n"/>
      <c r="J144" s="16" t="n"/>
      <c r="K144" s="17" t="n"/>
      <c r="L144" s="17" t="n"/>
      <c r="M144" s="10" t="n"/>
      <c r="N144" s="23" t="n"/>
      <c r="O144" s="17" t="n"/>
      <c r="P144" s="24" t="n"/>
      <c r="Q144" s="17" t="n"/>
      <c r="R144" s="20">
        <f>IF(OR(N144="",P144=""),"",N144*P144*(1-IF(Q144="",0,Q144)/100))</f>
        <v/>
      </c>
      <c r="S144" s="17" t="n"/>
      <c r="T144" s="17" t="n"/>
      <c r="U144" s="17" t="n"/>
      <c r="V144" s="17" t="n"/>
      <c r="W144" s="10" t="n"/>
    </row>
    <row r="145">
      <c r="A145" s="17" t="n"/>
      <c r="B145" s="17" t="n"/>
      <c r="C145" s="17" t="n"/>
      <c r="D145" s="27" t="n"/>
      <c r="E145" s="27" t="n"/>
      <c r="F145" s="17" t="n"/>
      <c r="G145" s="17" t="n"/>
      <c r="H145" s="17" t="n"/>
      <c r="I145" s="17" t="n"/>
      <c r="J145" s="16" t="n"/>
      <c r="K145" s="17" t="n"/>
      <c r="L145" s="17" t="n"/>
      <c r="M145" s="10" t="n"/>
      <c r="N145" s="23" t="n"/>
      <c r="O145" s="17" t="n"/>
      <c r="P145" s="24" t="n"/>
      <c r="Q145" s="17" t="n"/>
      <c r="R145" s="20">
        <f>IF(OR(N145="",P145=""),"",N145*P145*(1-IF(Q145="",0,Q145)/100))</f>
        <v/>
      </c>
      <c r="S145" s="17" t="n"/>
      <c r="T145" s="17" t="n"/>
      <c r="U145" s="17" t="n"/>
      <c r="V145" s="17" t="n"/>
      <c r="W145" s="10" t="n"/>
    </row>
    <row r="146">
      <c r="A146" s="17" t="n"/>
      <c r="B146" s="17" t="n"/>
      <c r="C146" s="17" t="n"/>
      <c r="D146" s="27" t="n"/>
      <c r="E146" s="27" t="n"/>
      <c r="F146" s="17" t="n"/>
      <c r="G146" s="17" t="n"/>
      <c r="H146" s="17" t="n"/>
      <c r="I146" s="17" t="n"/>
      <c r="J146" s="16" t="n"/>
      <c r="K146" s="17" t="n"/>
      <c r="L146" s="17" t="n"/>
      <c r="M146" s="10" t="n"/>
      <c r="N146" s="23" t="n"/>
      <c r="O146" s="17" t="n"/>
      <c r="P146" s="24" t="n"/>
      <c r="Q146" s="17" t="n"/>
      <c r="R146" s="20">
        <f>IF(OR(N146="",P146=""),"",N146*P146*(1-IF(Q146="",0,Q146)/100))</f>
        <v/>
      </c>
      <c r="S146" s="17" t="n"/>
      <c r="T146" s="17" t="n"/>
      <c r="U146" s="17" t="n"/>
      <c r="V146" s="17" t="n"/>
      <c r="W146" s="10" t="n"/>
    </row>
    <row r="147">
      <c r="A147" s="17" t="n"/>
      <c r="B147" s="17" t="n"/>
      <c r="C147" s="17" t="n"/>
      <c r="D147" s="27" t="n"/>
      <c r="E147" s="27" t="n"/>
      <c r="F147" s="17" t="n"/>
      <c r="G147" s="17" t="n"/>
      <c r="H147" s="17" t="n"/>
      <c r="I147" s="17" t="n"/>
      <c r="J147" s="16" t="n"/>
      <c r="K147" s="17" t="n"/>
      <c r="L147" s="17" t="n"/>
      <c r="M147" s="10" t="n"/>
      <c r="N147" s="23" t="n"/>
      <c r="O147" s="17" t="n"/>
      <c r="P147" s="24" t="n"/>
      <c r="Q147" s="17" t="n"/>
      <c r="R147" s="20">
        <f>IF(OR(N147="",P147=""),"",N147*P147*(1-IF(Q147="",0,Q147)/100))</f>
        <v/>
      </c>
      <c r="S147" s="17" t="n"/>
      <c r="T147" s="17" t="n"/>
      <c r="U147" s="17" t="n"/>
      <c r="V147" s="17" t="n"/>
      <c r="W147" s="10" t="n"/>
    </row>
    <row r="148">
      <c r="A148" s="17" t="n"/>
      <c r="B148" s="17" t="n"/>
      <c r="C148" s="17" t="n"/>
      <c r="D148" s="27" t="n"/>
      <c r="E148" s="27" t="n"/>
      <c r="F148" s="17" t="n"/>
      <c r="G148" s="17" t="n"/>
      <c r="H148" s="17" t="n"/>
      <c r="I148" s="17" t="n"/>
      <c r="J148" s="16" t="n"/>
      <c r="K148" s="17" t="n"/>
      <c r="L148" s="17" t="n"/>
      <c r="M148" s="10" t="n"/>
      <c r="N148" s="23" t="n"/>
      <c r="O148" s="17" t="n"/>
      <c r="P148" s="24" t="n"/>
      <c r="Q148" s="17" t="n"/>
      <c r="R148" s="20">
        <f>IF(OR(N148="",P148=""),"",N148*P148*(1-IF(Q148="",0,Q148)/100))</f>
        <v/>
      </c>
      <c r="S148" s="17" t="n"/>
      <c r="T148" s="17" t="n"/>
      <c r="U148" s="17" t="n"/>
      <c r="V148" s="17" t="n"/>
      <c r="W148" s="10" t="n"/>
    </row>
    <row r="149">
      <c r="A149" s="17" t="n"/>
      <c r="B149" s="17" t="n"/>
      <c r="C149" s="17" t="n"/>
      <c r="D149" s="27" t="n"/>
      <c r="E149" s="27" t="n"/>
      <c r="F149" s="17" t="n"/>
      <c r="G149" s="17" t="n"/>
      <c r="H149" s="17" t="n"/>
      <c r="I149" s="17" t="n"/>
      <c r="J149" s="16" t="n"/>
      <c r="K149" s="17" t="n"/>
      <c r="L149" s="17" t="n"/>
      <c r="M149" s="10" t="n"/>
      <c r="N149" s="23" t="n"/>
      <c r="O149" s="17" t="n"/>
      <c r="P149" s="24" t="n"/>
      <c r="Q149" s="17" t="n"/>
      <c r="R149" s="20">
        <f>IF(OR(N149="",P149=""),"",N149*P149*(1-IF(Q149="",0,Q149)/100))</f>
        <v/>
      </c>
      <c r="S149" s="17" t="n"/>
      <c r="T149" s="17" t="n"/>
      <c r="U149" s="17" t="n"/>
      <c r="V149" s="17" t="n"/>
      <c r="W149" s="10" t="n"/>
    </row>
    <row r="150">
      <c r="A150" s="17" t="n"/>
      <c r="B150" s="17" t="n"/>
      <c r="C150" s="17" t="n"/>
      <c r="D150" s="27" t="n"/>
      <c r="E150" s="27" t="n"/>
      <c r="F150" s="17" t="n"/>
      <c r="G150" s="17" t="n"/>
      <c r="H150" s="17" t="n"/>
      <c r="I150" s="17" t="n"/>
      <c r="J150" s="16" t="n"/>
      <c r="K150" s="17" t="n"/>
      <c r="L150" s="17" t="n"/>
      <c r="M150" s="10" t="n"/>
      <c r="N150" s="23" t="n"/>
      <c r="O150" s="17" t="n"/>
      <c r="P150" s="24" t="n"/>
      <c r="Q150" s="17" t="n"/>
      <c r="R150" s="20">
        <f>IF(OR(N150="",P150=""),"",N150*P150*(1-IF(Q150="",0,Q150)/100))</f>
        <v/>
      </c>
      <c r="S150" s="17" t="n"/>
      <c r="T150" s="17" t="n"/>
      <c r="U150" s="17" t="n"/>
      <c r="V150" s="17" t="n"/>
      <c r="W150" s="10" t="n"/>
    </row>
    <row r="151">
      <c r="A151" s="17" t="n"/>
      <c r="B151" s="17" t="n"/>
      <c r="C151" s="17" t="n"/>
      <c r="D151" s="27" t="n"/>
      <c r="E151" s="27" t="n"/>
      <c r="F151" s="17" t="n"/>
      <c r="G151" s="17" t="n"/>
      <c r="H151" s="17" t="n"/>
      <c r="I151" s="17" t="n"/>
      <c r="J151" s="16" t="n"/>
      <c r="K151" s="17" t="n"/>
      <c r="L151" s="17" t="n"/>
      <c r="M151" s="10" t="n"/>
      <c r="N151" s="23" t="n"/>
      <c r="O151" s="17" t="n"/>
      <c r="P151" s="24" t="n"/>
      <c r="Q151" s="17" t="n"/>
      <c r="R151" s="20">
        <f>IF(OR(N151="",P151=""),"",N151*P151*(1-IF(Q151="",0,Q151)/100))</f>
        <v/>
      </c>
      <c r="S151" s="17" t="n"/>
      <c r="T151" s="17" t="n"/>
      <c r="U151" s="17" t="n"/>
      <c r="V151" s="17" t="n"/>
      <c r="W151" s="10" t="n"/>
    </row>
    <row r="152">
      <c r="A152" s="17" t="n"/>
      <c r="B152" s="17" t="n"/>
      <c r="C152" s="17" t="n"/>
      <c r="D152" s="27" t="n"/>
      <c r="E152" s="27" t="n"/>
      <c r="F152" s="17" t="n"/>
      <c r="G152" s="17" t="n"/>
      <c r="H152" s="17" t="n"/>
      <c r="I152" s="17" t="n"/>
      <c r="J152" s="16" t="n"/>
      <c r="K152" s="17" t="n"/>
      <c r="L152" s="17" t="n"/>
      <c r="M152" s="10" t="n"/>
      <c r="N152" s="23" t="n"/>
      <c r="O152" s="17" t="n"/>
      <c r="P152" s="24" t="n"/>
      <c r="Q152" s="17" t="n"/>
      <c r="R152" s="20">
        <f>IF(OR(N152="",P152=""),"",N152*P152*(1-IF(Q152="",0,Q152)/100))</f>
        <v/>
      </c>
      <c r="S152" s="17" t="n"/>
      <c r="T152" s="17" t="n"/>
      <c r="U152" s="17" t="n"/>
      <c r="V152" s="17" t="n"/>
      <c r="W152" s="10" t="n"/>
    </row>
    <row r="153">
      <c r="A153" s="17" t="n"/>
      <c r="B153" s="17" t="n"/>
      <c r="C153" s="17" t="n"/>
      <c r="D153" s="27" t="n"/>
      <c r="E153" s="27" t="n"/>
      <c r="F153" s="17" t="n"/>
      <c r="G153" s="17" t="n"/>
      <c r="H153" s="17" t="n"/>
      <c r="I153" s="17" t="n"/>
      <c r="J153" s="16" t="n"/>
      <c r="K153" s="17" t="n"/>
      <c r="L153" s="17" t="n"/>
      <c r="M153" s="10" t="n"/>
      <c r="N153" s="23" t="n"/>
      <c r="O153" s="17" t="n"/>
      <c r="P153" s="24" t="n"/>
      <c r="Q153" s="17" t="n"/>
      <c r="R153" s="20">
        <f>IF(OR(N153="",P153=""),"",N153*P153*(1-IF(Q153="",0,Q153)/100))</f>
        <v/>
      </c>
      <c r="S153" s="17" t="n"/>
      <c r="T153" s="17" t="n"/>
      <c r="U153" s="17" t="n"/>
      <c r="V153" s="17" t="n"/>
      <c r="W153" s="10" t="n"/>
    </row>
    <row r="154">
      <c r="A154" s="17" t="n"/>
      <c r="B154" s="17" t="n"/>
      <c r="C154" s="17" t="n"/>
      <c r="D154" s="27" t="n"/>
      <c r="E154" s="27" t="n"/>
      <c r="F154" s="17" t="n"/>
      <c r="G154" s="17" t="n"/>
      <c r="H154" s="17" t="n"/>
      <c r="I154" s="17" t="n"/>
      <c r="J154" s="16" t="n"/>
      <c r="K154" s="17" t="n"/>
      <c r="L154" s="17" t="n"/>
      <c r="M154" s="10" t="n"/>
      <c r="N154" s="23" t="n"/>
      <c r="O154" s="17" t="n"/>
      <c r="P154" s="24" t="n"/>
      <c r="Q154" s="17" t="n"/>
      <c r="R154" s="20">
        <f>IF(OR(N154="",P154=""),"",N154*P154*(1-IF(Q154="",0,Q154)/100))</f>
        <v/>
      </c>
      <c r="S154" s="17" t="n"/>
      <c r="T154" s="17" t="n"/>
      <c r="U154" s="17" t="n"/>
      <c r="V154" s="17" t="n"/>
      <c r="W154" s="10" t="n"/>
    </row>
    <row r="155">
      <c r="A155" s="17" t="n"/>
      <c r="B155" s="17" t="n"/>
      <c r="C155" s="17" t="n"/>
      <c r="D155" s="27" t="n"/>
      <c r="E155" s="27" t="n"/>
      <c r="F155" s="17" t="n"/>
      <c r="G155" s="17" t="n"/>
      <c r="H155" s="17" t="n"/>
      <c r="I155" s="17" t="n"/>
      <c r="J155" s="16" t="n"/>
      <c r="K155" s="17" t="n"/>
      <c r="L155" s="17" t="n"/>
      <c r="M155" s="10" t="n"/>
      <c r="N155" s="23" t="n"/>
      <c r="O155" s="17" t="n"/>
      <c r="P155" s="24" t="n"/>
      <c r="Q155" s="17" t="n"/>
      <c r="R155" s="20">
        <f>IF(OR(N155="",P155=""),"",N155*P155*(1-IF(Q155="",0,Q155)/100))</f>
        <v/>
      </c>
      <c r="S155" s="17" t="n"/>
      <c r="T155" s="17" t="n"/>
      <c r="U155" s="17" t="n"/>
      <c r="V155" s="17" t="n"/>
      <c r="W155" s="10" t="n"/>
    </row>
    <row r="156">
      <c r="A156" s="17" t="n"/>
      <c r="B156" s="17" t="n"/>
      <c r="C156" s="17" t="n"/>
      <c r="D156" s="27" t="n"/>
      <c r="E156" s="27" t="n"/>
      <c r="F156" s="17" t="n"/>
      <c r="G156" s="17" t="n"/>
      <c r="H156" s="17" t="n"/>
      <c r="I156" s="17" t="n"/>
      <c r="J156" s="16" t="n"/>
      <c r="K156" s="17" t="n"/>
      <c r="L156" s="17" t="n"/>
      <c r="M156" s="10" t="n"/>
      <c r="N156" s="23" t="n"/>
      <c r="O156" s="17" t="n"/>
      <c r="P156" s="24" t="n"/>
      <c r="Q156" s="17" t="n"/>
      <c r="R156" s="20">
        <f>IF(OR(N156="",P156=""),"",N156*P156*(1-IF(Q156="",0,Q156)/100))</f>
        <v/>
      </c>
      <c r="S156" s="17" t="n"/>
      <c r="T156" s="17" t="n"/>
      <c r="U156" s="17" t="n"/>
      <c r="V156" s="17" t="n"/>
      <c r="W156" s="10" t="n"/>
    </row>
    <row r="157">
      <c r="A157" s="17" t="n"/>
      <c r="B157" s="17" t="n"/>
      <c r="C157" s="17" t="n"/>
      <c r="D157" s="27" t="n"/>
      <c r="E157" s="27" t="n"/>
      <c r="F157" s="17" t="n"/>
      <c r="G157" s="17" t="n"/>
      <c r="H157" s="17" t="n"/>
      <c r="I157" s="17" t="n"/>
      <c r="J157" s="16" t="n"/>
      <c r="K157" s="17" t="n"/>
      <c r="L157" s="17" t="n"/>
      <c r="M157" s="10" t="n"/>
      <c r="N157" s="23" t="n"/>
      <c r="O157" s="17" t="n"/>
      <c r="P157" s="24" t="n"/>
      <c r="Q157" s="17" t="n"/>
      <c r="R157" s="20">
        <f>IF(OR(N157="",P157=""),"",N157*P157*(1-IF(Q157="",0,Q157)/100))</f>
        <v/>
      </c>
      <c r="S157" s="17" t="n"/>
      <c r="T157" s="17" t="n"/>
      <c r="U157" s="17" t="n"/>
      <c r="V157" s="17" t="n"/>
      <c r="W157" s="10" t="n"/>
    </row>
    <row r="158">
      <c r="A158" s="17" t="n"/>
      <c r="B158" s="17" t="n"/>
      <c r="C158" s="17" t="n"/>
      <c r="D158" s="27" t="n"/>
      <c r="E158" s="27" t="n"/>
      <c r="F158" s="17" t="n"/>
      <c r="G158" s="17" t="n"/>
      <c r="H158" s="17" t="n"/>
      <c r="I158" s="17" t="n"/>
      <c r="J158" s="16" t="n"/>
      <c r="K158" s="17" t="n"/>
      <c r="L158" s="17" t="n"/>
      <c r="M158" s="10" t="n"/>
      <c r="N158" s="23" t="n"/>
      <c r="O158" s="17" t="n"/>
      <c r="P158" s="24" t="n"/>
      <c r="Q158" s="17" t="n"/>
      <c r="R158" s="20">
        <f>IF(OR(N158="",P158=""),"",N158*P158*(1-IF(Q158="",0,Q158)/100))</f>
        <v/>
      </c>
      <c r="S158" s="17" t="n"/>
      <c r="T158" s="17" t="n"/>
      <c r="U158" s="17" t="n"/>
      <c r="V158" s="17" t="n"/>
      <c r="W158" s="10" t="n"/>
    </row>
    <row r="159">
      <c r="A159" s="17" t="n"/>
      <c r="B159" s="17" t="n"/>
      <c r="C159" s="17" t="n"/>
      <c r="D159" s="27" t="n"/>
      <c r="E159" s="27" t="n"/>
      <c r="F159" s="17" t="n"/>
      <c r="G159" s="17" t="n"/>
      <c r="H159" s="17" t="n"/>
      <c r="I159" s="17" t="n"/>
      <c r="J159" s="16" t="n"/>
      <c r="K159" s="17" t="n"/>
      <c r="L159" s="17" t="n"/>
      <c r="M159" s="10" t="n"/>
      <c r="N159" s="23" t="n"/>
      <c r="O159" s="17" t="n"/>
      <c r="P159" s="24" t="n"/>
      <c r="Q159" s="17" t="n"/>
      <c r="R159" s="20">
        <f>IF(OR(N159="",P159=""),"",N159*P159*(1-IF(Q159="",0,Q159)/100))</f>
        <v/>
      </c>
      <c r="S159" s="17" t="n"/>
      <c r="T159" s="17" t="n"/>
      <c r="U159" s="17" t="n"/>
      <c r="V159" s="17" t="n"/>
      <c r="W159" s="10" t="n"/>
    </row>
    <row r="160">
      <c r="A160" s="17" t="n"/>
      <c r="B160" s="17" t="n"/>
      <c r="C160" s="17" t="n"/>
      <c r="D160" s="27" t="n"/>
      <c r="E160" s="27" t="n"/>
      <c r="F160" s="17" t="n"/>
      <c r="G160" s="17" t="n"/>
      <c r="H160" s="17" t="n"/>
      <c r="I160" s="17" t="n"/>
      <c r="J160" s="16" t="n"/>
      <c r="K160" s="17" t="n"/>
      <c r="L160" s="17" t="n"/>
      <c r="M160" s="10" t="n"/>
      <c r="N160" s="23" t="n"/>
      <c r="O160" s="17" t="n"/>
      <c r="P160" s="24" t="n"/>
      <c r="Q160" s="17" t="n"/>
      <c r="R160" s="20">
        <f>IF(OR(N160="",P160=""),"",N160*P160*(1-IF(Q160="",0,Q160)/100))</f>
        <v/>
      </c>
      <c r="S160" s="17" t="n"/>
      <c r="T160" s="17" t="n"/>
      <c r="U160" s="17" t="n"/>
      <c r="V160" s="17" t="n"/>
      <c r="W160" s="10" t="n"/>
    </row>
    <row r="161">
      <c r="A161" s="17" t="n"/>
      <c r="B161" s="17" t="n"/>
      <c r="C161" s="17" t="n"/>
      <c r="D161" s="27" t="n"/>
      <c r="E161" s="27" t="n"/>
      <c r="F161" s="17" t="n"/>
      <c r="G161" s="17" t="n"/>
      <c r="H161" s="17" t="n"/>
      <c r="I161" s="17" t="n"/>
      <c r="J161" s="16" t="n"/>
      <c r="K161" s="17" t="n"/>
      <c r="L161" s="17" t="n"/>
      <c r="M161" s="10" t="n"/>
      <c r="N161" s="23" t="n"/>
      <c r="O161" s="17" t="n"/>
      <c r="P161" s="24" t="n"/>
      <c r="Q161" s="17" t="n"/>
      <c r="R161" s="20">
        <f>IF(OR(N161="",P161=""),"",N161*P161*(1-IF(Q161="",0,Q161)/100))</f>
        <v/>
      </c>
      <c r="S161" s="17" t="n"/>
      <c r="T161" s="17" t="n"/>
      <c r="U161" s="17" t="n"/>
      <c r="V161" s="17" t="n"/>
      <c r="W161" s="10" t="n"/>
    </row>
    <row r="162">
      <c r="A162" s="17" t="n"/>
      <c r="B162" s="17" t="n"/>
      <c r="C162" s="17" t="n"/>
      <c r="D162" s="27" t="n"/>
      <c r="E162" s="27" t="n"/>
      <c r="F162" s="17" t="n"/>
      <c r="G162" s="17" t="n"/>
      <c r="H162" s="17" t="n"/>
      <c r="I162" s="17" t="n"/>
      <c r="J162" s="16" t="n"/>
      <c r="K162" s="17" t="n"/>
      <c r="L162" s="17" t="n"/>
      <c r="M162" s="10" t="n"/>
      <c r="N162" s="23" t="n"/>
      <c r="O162" s="17" t="n"/>
      <c r="P162" s="24" t="n"/>
      <c r="Q162" s="17" t="n"/>
      <c r="R162" s="20">
        <f>IF(OR(N162="",P162=""),"",N162*P162*(1-IF(Q162="",0,Q162)/100))</f>
        <v/>
      </c>
      <c r="S162" s="17" t="n"/>
      <c r="T162" s="17" t="n"/>
      <c r="U162" s="17" t="n"/>
      <c r="V162" s="17" t="n"/>
      <c r="W162" s="10" t="n"/>
    </row>
    <row r="163">
      <c r="A163" s="17" t="n"/>
      <c r="B163" s="17" t="n"/>
      <c r="C163" s="17" t="n"/>
      <c r="D163" s="27" t="n"/>
      <c r="E163" s="27" t="n"/>
      <c r="F163" s="17" t="n"/>
      <c r="G163" s="17" t="n"/>
      <c r="H163" s="17" t="n"/>
      <c r="I163" s="17" t="n"/>
      <c r="J163" s="16" t="n"/>
      <c r="K163" s="17" t="n"/>
      <c r="L163" s="17" t="n"/>
      <c r="M163" s="10" t="n"/>
      <c r="N163" s="23" t="n"/>
      <c r="O163" s="17" t="n"/>
      <c r="P163" s="24" t="n"/>
      <c r="Q163" s="17" t="n"/>
      <c r="R163" s="20">
        <f>IF(OR(N163="",P163=""),"",N163*P163*(1-IF(Q163="",0,Q163)/100))</f>
        <v/>
      </c>
      <c r="S163" s="17" t="n"/>
      <c r="T163" s="17" t="n"/>
      <c r="U163" s="17" t="n"/>
      <c r="V163" s="17" t="n"/>
      <c r="W163" s="10" t="n"/>
    </row>
    <row r="164">
      <c r="A164" s="17" t="n"/>
      <c r="B164" s="17" t="n"/>
      <c r="C164" s="17" t="n"/>
      <c r="D164" s="27" t="n"/>
      <c r="E164" s="27" t="n"/>
      <c r="F164" s="17" t="n"/>
      <c r="G164" s="17" t="n"/>
      <c r="H164" s="17" t="n"/>
      <c r="I164" s="17" t="n"/>
      <c r="J164" s="16" t="n"/>
      <c r="K164" s="17" t="n"/>
      <c r="L164" s="17" t="n"/>
      <c r="M164" s="10" t="n"/>
      <c r="N164" s="23" t="n"/>
      <c r="O164" s="17" t="n"/>
      <c r="P164" s="24" t="n"/>
      <c r="Q164" s="17" t="n"/>
      <c r="R164" s="20">
        <f>IF(OR(N164="",P164=""),"",N164*P164*(1-IF(Q164="",0,Q164)/100))</f>
        <v/>
      </c>
      <c r="S164" s="17" t="n"/>
      <c r="T164" s="17" t="n"/>
      <c r="U164" s="17" t="n"/>
      <c r="V164" s="17" t="n"/>
      <c r="W164" s="10" t="n"/>
    </row>
    <row r="165">
      <c r="A165" s="17" t="n"/>
      <c r="B165" s="17" t="n"/>
      <c r="C165" s="17" t="n"/>
      <c r="D165" s="27" t="n"/>
      <c r="E165" s="27" t="n"/>
      <c r="F165" s="17" t="n"/>
      <c r="G165" s="17" t="n"/>
      <c r="H165" s="17" t="n"/>
      <c r="I165" s="17" t="n"/>
      <c r="J165" s="16" t="n"/>
      <c r="K165" s="17" t="n"/>
      <c r="L165" s="17" t="n"/>
      <c r="M165" s="10" t="n"/>
      <c r="N165" s="23" t="n"/>
      <c r="O165" s="17" t="n"/>
      <c r="P165" s="24" t="n"/>
      <c r="Q165" s="17" t="n"/>
      <c r="R165" s="20">
        <f>IF(OR(N165="",P165=""),"",N165*P165*(1-IF(Q165="",0,Q165)/100))</f>
        <v/>
      </c>
      <c r="S165" s="17" t="n"/>
      <c r="T165" s="17" t="n"/>
      <c r="U165" s="17" t="n"/>
      <c r="V165" s="17" t="n"/>
      <c r="W165" s="10" t="n"/>
    </row>
    <row r="166">
      <c r="A166" s="17" t="n"/>
      <c r="B166" s="17" t="n"/>
      <c r="C166" s="17" t="n"/>
      <c r="D166" s="27" t="n"/>
      <c r="E166" s="27" t="n"/>
      <c r="F166" s="17" t="n"/>
      <c r="G166" s="17" t="n"/>
      <c r="H166" s="17" t="n"/>
      <c r="I166" s="17" t="n"/>
      <c r="J166" s="16" t="n"/>
      <c r="K166" s="17" t="n"/>
      <c r="L166" s="17" t="n"/>
      <c r="M166" s="10" t="n"/>
      <c r="N166" s="23" t="n"/>
      <c r="O166" s="17" t="n"/>
      <c r="P166" s="24" t="n"/>
      <c r="Q166" s="17" t="n"/>
      <c r="R166" s="20">
        <f>IF(OR(N166="",P166=""),"",N166*P166*(1-IF(Q166="",0,Q166)/100))</f>
        <v/>
      </c>
      <c r="S166" s="17" t="n"/>
      <c r="T166" s="17" t="n"/>
      <c r="U166" s="17" t="n"/>
      <c r="V166" s="17" t="n"/>
      <c r="W166" s="10" t="n"/>
    </row>
    <row r="167">
      <c r="A167" s="17" t="n"/>
      <c r="B167" s="17" t="n"/>
      <c r="C167" s="17" t="n"/>
      <c r="D167" s="27" t="n"/>
      <c r="E167" s="27" t="n"/>
      <c r="F167" s="17" t="n"/>
      <c r="G167" s="17" t="n"/>
      <c r="H167" s="17" t="n"/>
      <c r="I167" s="17" t="n"/>
      <c r="J167" s="16" t="n"/>
      <c r="K167" s="17" t="n"/>
      <c r="L167" s="17" t="n"/>
      <c r="M167" s="10" t="n"/>
      <c r="N167" s="23" t="n"/>
      <c r="O167" s="17" t="n"/>
      <c r="P167" s="24" t="n"/>
      <c r="Q167" s="17" t="n"/>
      <c r="R167" s="20">
        <f>IF(OR(N167="",P167=""),"",N167*P167*(1-IF(Q167="",0,Q167)/100))</f>
        <v/>
      </c>
      <c r="S167" s="17" t="n"/>
      <c r="T167" s="17" t="n"/>
      <c r="U167" s="17" t="n"/>
      <c r="V167" s="17" t="n"/>
      <c r="W167" s="10" t="n"/>
    </row>
    <row r="168">
      <c r="A168" s="17" t="n"/>
      <c r="B168" s="17" t="n"/>
      <c r="C168" s="17" t="n"/>
      <c r="D168" s="27" t="n"/>
      <c r="E168" s="27" t="n"/>
      <c r="F168" s="17" t="n"/>
      <c r="G168" s="17" t="n"/>
      <c r="H168" s="17" t="n"/>
      <c r="I168" s="17" t="n"/>
      <c r="J168" s="16" t="n"/>
      <c r="K168" s="17" t="n"/>
      <c r="L168" s="17" t="n"/>
      <c r="M168" s="10" t="n"/>
      <c r="N168" s="23" t="n"/>
      <c r="O168" s="17" t="n"/>
      <c r="P168" s="24" t="n"/>
      <c r="Q168" s="17" t="n"/>
      <c r="R168" s="20">
        <f>IF(OR(N168="",P168=""),"",N168*P168*(1-IF(Q168="",0,Q168)/100))</f>
        <v/>
      </c>
      <c r="S168" s="17" t="n"/>
      <c r="T168" s="17" t="n"/>
      <c r="U168" s="17" t="n"/>
      <c r="V168" s="17" t="n"/>
      <c r="W168" s="10" t="n"/>
    </row>
    <row r="169">
      <c r="A169" s="17" t="n"/>
      <c r="B169" s="17" t="n"/>
      <c r="C169" s="17" t="n"/>
      <c r="D169" s="27" t="n"/>
      <c r="E169" s="27" t="n"/>
      <c r="F169" s="17" t="n"/>
      <c r="G169" s="17" t="n"/>
      <c r="H169" s="17" t="n"/>
      <c r="I169" s="17" t="n"/>
      <c r="J169" s="16" t="n"/>
      <c r="K169" s="17" t="n"/>
      <c r="L169" s="17" t="n"/>
      <c r="M169" s="10" t="n"/>
      <c r="N169" s="23" t="n"/>
      <c r="O169" s="17" t="n"/>
      <c r="P169" s="24" t="n"/>
      <c r="Q169" s="17" t="n"/>
      <c r="R169" s="20">
        <f>IF(OR(N169="",P169=""),"",N169*P169*(1-IF(Q169="",0,Q169)/100))</f>
        <v/>
      </c>
      <c r="S169" s="17" t="n"/>
      <c r="T169" s="17" t="n"/>
      <c r="U169" s="17" t="n"/>
      <c r="V169" s="17" t="n"/>
      <c r="W169" s="10" t="n"/>
    </row>
    <row r="170">
      <c r="A170" s="17" t="n"/>
      <c r="B170" s="17" t="n"/>
      <c r="C170" s="17" t="n"/>
      <c r="D170" s="27" t="n"/>
      <c r="E170" s="27" t="n"/>
      <c r="F170" s="17" t="n"/>
      <c r="G170" s="17" t="n"/>
      <c r="H170" s="17" t="n"/>
      <c r="I170" s="17" t="n"/>
      <c r="J170" s="16" t="n"/>
      <c r="K170" s="17" t="n"/>
      <c r="L170" s="17" t="n"/>
      <c r="M170" s="10" t="n"/>
      <c r="N170" s="23" t="n"/>
      <c r="O170" s="17" t="n"/>
      <c r="P170" s="24" t="n"/>
      <c r="Q170" s="17" t="n"/>
      <c r="R170" s="20">
        <f>IF(OR(N170="",P170=""),"",N170*P170*(1-IF(Q170="",0,Q170)/100))</f>
        <v/>
      </c>
      <c r="S170" s="17" t="n"/>
      <c r="T170" s="17" t="n"/>
      <c r="U170" s="17" t="n"/>
      <c r="V170" s="17" t="n"/>
      <c r="W170" s="10" t="n"/>
    </row>
    <row r="171">
      <c r="A171" s="17" t="n"/>
      <c r="B171" s="17" t="n"/>
      <c r="C171" s="17" t="n"/>
      <c r="D171" s="27" t="n"/>
      <c r="E171" s="27" t="n"/>
      <c r="F171" s="17" t="n"/>
      <c r="G171" s="17" t="n"/>
      <c r="H171" s="17" t="n"/>
      <c r="I171" s="17" t="n"/>
      <c r="J171" s="16" t="n"/>
      <c r="K171" s="17" t="n"/>
      <c r="L171" s="17" t="n"/>
      <c r="M171" s="10" t="n"/>
      <c r="N171" s="23" t="n"/>
      <c r="O171" s="17" t="n"/>
      <c r="P171" s="24" t="n"/>
      <c r="Q171" s="17" t="n"/>
      <c r="R171" s="20">
        <f>IF(OR(N171="",P171=""),"",N171*P171*(1-IF(Q171="",0,Q171)/100))</f>
        <v/>
      </c>
      <c r="S171" s="17" t="n"/>
      <c r="T171" s="17" t="n"/>
      <c r="U171" s="17" t="n"/>
      <c r="V171" s="17" t="n"/>
      <c r="W171" s="10" t="n"/>
    </row>
    <row r="172">
      <c r="A172" s="17" t="n"/>
      <c r="B172" s="17" t="n"/>
      <c r="C172" s="17" t="n"/>
      <c r="D172" s="27" t="n"/>
      <c r="E172" s="27" t="n"/>
      <c r="F172" s="17" t="n"/>
      <c r="G172" s="17" t="n"/>
      <c r="H172" s="17" t="n"/>
      <c r="I172" s="17" t="n"/>
      <c r="J172" s="16" t="n"/>
      <c r="K172" s="17" t="n"/>
      <c r="L172" s="17" t="n"/>
      <c r="M172" s="10" t="n"/>
      <c r="N172" s="23" t="n"/>
      <c r="O172" s="17" t="n"/>
      <c r="P172" s="24" t="n"/>
      <c r="Q172" s="17" t="n"/>
      <c r="R172" s="20">
        <f>IF(OR(N172="",P172=""),"",N172*P172*(1-IF(Q172="",0,Q172)/100))</f>
        <v/>
      </c>
      <c r="S172" s="17" t="n"/>
      <c r="T172" s="17" t="n"/>
      <c r="U172" s="17" t="n"/>
      <c r="V172" s="17" t="n"/>
      <c r="W172" s="10" t="n"/>
    </row>
    <row r="173">
      <c r="A173" s="17" t="n"/>
      <c r="B173" s="17" t="n"/>
      <c r="C173" s="17" t="n"/>
      <c r="D173" s="27" t="n"/>
      <c r="E173" s="27" t="n"/>
      <c r="F173" s="17" t="n"/>
      <c r="G173" s="17" t="n"/>
      <c r="H173" s="17" t="n"/>
      <c r="I173" s="17" t="n"/>
      <c r="J173" s="16" t="n"/>
      <c r="K173" s="17" t="n"/>
      <c r="L173" s="17" t="n"/>
      <c r="M173" s="10" t="n"/>
      <c r="N173" s="23" t="n"/>
      <c r="O173" s="17" t="n"/>
      <c r="P173" s="24" t="n"/>
      <c r="Q173" s="17" t="n"/>
      <c r="R173" s="20">
        <f>IF(OR(N173="",P173=""),"",N173*P173*(1-IF(Q173="",0,Q173)/100))</f>
        <v/>
      </c>
      <c r="S173" s="17" t="n"/>
      <c r="T173" s="17" t="n"/>
      <c r="U173" s="17" t="n"/>
      <c r="V173" s="17" t="n"/>
      <c r="W173" s="10" t="n"/>
    </row>
    <row r="174">
      <c r="A174" s="17" t="n"/>
      <c r="B174" s="17" t="n"/>
      <c r="C174" s="17" t="n"/>
      <c r="D174" s="27" t="n"/>
      <c r="E174" s="27" t="n"/>
      <c r="F174" s="17" t="n"/>
      <c r="G174" s="17" t="n"/>
      <c r="H174" s="17" t="n"/>
      <c r="I174" s="17" t="n"/>
      <c r="J174" s="16" t="n"/>
      <c r="K174" s="17" t="n"/>
      <c r="L174" s="17" t="n"/>
      <c r="M174" s="10" t="n"/>
      <c r="N174" s="23" t="n"/>
      <c r="O174" s="17" t="n"/>
      <c r="P174" s="24" t="n"/>
      <c r="Q174" s="17" t="n"/>
      <c r="R174" s="20">
        <f>IF(OR(N174="",P174=""),"",N174*P174*(1-IF(Q174="",0,Q174)/100))</f>
        <v/>
      </c>
      <c r="S174" s="17" t="n"/>
      <c r="T174" s="17" t="n"/>
      <c r="U174" s="17" t="n"/>
      <c r="V174" s="17" t="n"/>
      <c r="W174" s="10" t="n"/>
    </row>
    <row r="175">
      <c r="A175" s="17" t="n"/>
      <c r="B175" s="17" t="n"/>
      <c r="C175" s="17" t="n"/>
      <c r="D175" s="27" t="n"/>
      <c r="E175" s="27" t="n"/>
      <c r="F175" s="17" t="n"/>
      <c r="G175" s="17" t="n"/>
      <c r="H175" s="17" t="n"/>
      <c r="I175" s="17" t="n"/>
      <c r="J175" s="16" t="n"/>
      <c r="K175" s="17" t="n"/>
      <c r="L175" s="17" t="n"/>
      <c r="M175" s="10" t="n"/>
      <c r="N175" s="23" t="n"/>
      <c r="O175" s="17" t="n"/>
      <c r="P175" s="24" t="n"/>
      <c r="Q175" s="17" t="n"/>
      <c r="R175" s="20">
        <f>IF(OR(N175="",P175=""),"",N175*P175*(1-IF(Q175="",0,Q175)/100))</f>
        <v/>
      </c>
      <c r="S175" s="17" t="n"/>
      <c r="T175" s="17" t="n"/>
      <c r="U175" s="17" t="n"/>
      <c r="V175" s="17" t="n"/>
      <c r="W175" s="10" t="n"/>
    </row>
    <row r="176">
      <c r="A176" s="17" t="n"/>
      <c r="B176" s="17" t="n"/>
      <c r="C176" s="17" t="n"/>
      <c r="D176" s="27" t="n"/>
      <c r="E176" s="27" t="n"/>
      <c r="F176" s="17" t="n"/>
      <c r="G176" s="17" t="n"/>
      <c r="H176" s="17" t="n"/>
      <c r="I176" s="17" t="n"/>
      <c r="J176" s="16" t="n"/>
      <c r="K176" s="17" t="n"/>
      <c r="L176" s="17" t="n"/>
      <c r="M176" s="10" t="n"/>
      <c r="N176" s="23" t="n"/>
      <c r="O176" s="17" t="n"/>
      <c r="P176" s="24" t="n"/>
      <c r="Q176" s="17" t="n"/>
      <c r="R176" s="20">
        <f>IF(OR(N176="",P176=""),"",N176*P176*(1-IF(Q176="",0,Q176)/100))</f>
        <v/>
      </c>
      <c r="S176" s="17" t="n"/>
      <c r="T176" s="17" t="n"/>
      <c r="U176" s="17" t="n"/>
      <c r="V176" s="17" t="n"/>
      <c r="W176" s="10" t="n"/>
    </row>
    <row r="177">
      <c r="A177" s="17" t="n"/>
      <c r="B177" s="17" t="n"/>
      <c r="C177" s="17" t="n"/>
      <c r="D177" s="27" t="n"/>
      <c r="E177" s="27" t="n"/>
      <c r="F177" s="17" t="n"/>
      <c r="G177" s="17" t="n"/>
      <c r="H177" s="17" t="n"/>
      <c r="I177" s="17" t="n"/>
      <c r="J177" s="16" t="n"/>
      <c r="K177" s="17" t="n"/>
      <c r="L177" s="17" t="n"/>
      <c r="M177" s="10" t="n"/>
      <c r="N177" s="23" t="n"/>
      <c r="O177" s="17" t="n"/>
      <c r="P177" s="24" t="n"/>
      <c r="Q177" s="17" t="n"/>
      <c r="R177" s="20">
        <f>IF(OR(N177="",P177=""),"",N177*P177*(1-IF(Q177="",0,Q177)/100))</f>
        <v/>
      </c>
      <c r="S177" s="17" t="n"/>
      <c r="T177" s="17" t="n"/>
      <c r="U177" s="17" t="n"/>
      <c r="V177" s="17" t="n"/>
      <c r="W177" s="10" t="n"/>
    </row>
    <row r="178">
      <c r="A178" s="17" t="n"/>
      <c r="B178" s="17" t="n"/>
      <c r="C178" s="17" t="n"/>
      <c r="D178" s="27" t="n"/>
      <c r="E178" s="27" t="n"/>
      <c r="F178" s="17" t="n"/>
      <c r="G178" s="17" t="n"/>
      <c r="H178" s="17" t="n"/>
      <c r="I178" s="17" t="n"/>
      <c r="J178" s="16" t="n"/>
      <c r="K178" s="17" t="n"/>
      <c r="L178" s="17" t="n"/>
      <c r="M178" s="10" t="n"/>
      <c r="N178" s="23" t="n"/>
      <c r="O178" s="17" t="n"/>
      <c r="P178" s="24" t="n"/>
      <c r="Q178" s="17" t="n"/>
      <c r="R178" s="20">
        <f>IF(OR(N178="",P178=""),"",N178*P178*(1-IF(Q178="",0,Q178)/100))</f>
        <v/>
      </c>
      <c r="S178" s="17" t="n"/>
      <c r="T178" s="17" t="n"/>
      <c r="U178" s="17" t="n"/>
      <c r="V178" s="17" t="n"/>
      <c r="W178" s="10" t="n"/>
    </row>
    <row r="179">
      <c r="A179" s="17" t="n"/>
      <c r="B179" s="17" t="n"/>
      <c r="C179" s="17" t="n"/>
      <c r="D179" s="27" t="n"/>
      <c r="E179" s="27" t="n"/>
      <c r="F179" s="17" t="n"/>
      <c r="G179" s="17" t="n"/>
      <c r="H179" s="17" t="n"/>
      <c r="I179" s="17" t="n"/>
      <c r="J179" s="16" t="n"/>
      <c r="K179" s="17" t="n"/>
      <c r="L179" s="17" t="n"/>
      <c r="M179" s="10" t="n"/>
      <c r="N179" s="23" t="n"/>
      <c r="O179" s="17" t="n"/>
      <c r="P179" s="24" t="n"/>
      <c r="Q179" s="17" t="n"/>
      <c r="R179" s="20">
        <f>IF(OR(N179="",P179=""),"",N179*P179*(1-IF(Q179="",0,Q179)/100))</f>
        <v/>
      </c>
      <c r="S179" s="17" t="n"/>
      <c r="T179" s="17" t="n"/>
      <c r="U179" s="17" t="n"/>
      <c r="V179" s="17" t="n"/>
      <c r="W179" s="10" t="n"/>
    </row>
    <row r="180">
      <c r="A180" s="17" t="n"/>
      <c r="B180" s="17" t="n"/>
      <c r="C180" s="17" t="n"/>
      <c r="D180" s="27" t="n"/>
      <c r="E180" s="27" t="n"/>
      <c r="F180" s="17" t="n"/>
      <c r="G180" s="17" t="n"/>
      <c r="H180" s="17" t="n"/>
      <c r="I180" s="17" t="n"/>
      <c r="J180" s="16" t="n"/>
      <c r="K180" s="17" t="n"/>
      <c r="L180" s="17" t="n"/>
      <c r="M180" s="10" t="n"/>
      <c r="N180" s="23" t="n"/>
      <c r="O180" s="17" t="n"/>
      <c r="P180" s="24" t="n"/>
      <c r="Q180" s="17" t="n"/>
      <c r="R180" s="20">
        <f>IF(OR(N180="",P180=""),"",N180*P180*(1-IF(Q180="",0,Q180)/100))</f>
        <v/>
      </c>
      <c r="S180" s="17" t="n"/>
      <c r="T180" s="17" t="n"/>
      <c r="U180" s="17" t="n"/>
      <c r="V180" s="17" t="n"/>
      <c r="W180" s="10" t="n"/>
    </row>
    <row r="181">
      <c r="A181" s="17" t="n"/>
      <c r="B181" s="17" t="n"/>
      <c r="C181" s="17" t="n"/>
      <c r="D181" s="27" t="n"/>
      <c r="E181" s="27" t="n"/>
      <c r="F181" s="17" t="n"/>
      <c r="G181" s="17" t="n"/>
      <c r="H181" s="17" t="n"/>
      <c r="I181" s="17" t="n"/>
      <c r="J181" s="16" t="n"/>
      <c r="K181" s="17" t="n"/>
      <c r="L181" s="17" t="n"/>
      <c r="M181" s="10" t="n"/>
      <c r="N181" s="23" t="n"/>
      <c r="O181" s="17" t="n"/>
      <c r="P181" s="24" t="n"/>
      <c r="Q181" s="17" t="n"/>
      <c r="R181" s="20">
        <f>IF(OR(N181="",P181=""),"",N181*P181*(1-IF(Q181="",0,Q181)/100))</f>
        <v/>
      </c>
      <c r="S181" s="17" t="n"/>
      <c r="T181" s="17" t="n"/>
      <c r="U181" s="17" t="n"/>
      <c r="V181" s="17" t="n"/>
      <c r="W181" s="10" t="n"/>
    </row>
    <row r="182">
      <c r="A182" s="17" t="n"/>
      <c r="B182" s="17" t="n"/>
      <c r="C182" s="17" t="n"/>
      <c r="D182" s="27" t="n"/>
      <c r="E182" s="27" t="n"/>
      <c r="F182" s="17" t="n"/>
      <c r="G182" s="17" t="n"/>
      <c r="H182" s="17" t="n"/>
      <c r="I182" s="17" t="n"/>
      <c r="J182" s="16" t="n"/>
      <c r="K182" s="17" t="n"/>
      <c r="L182" s="17" t="n"/>
      <c r="M182" s="10" t="n"/>
      <c r="N182" s="23" t="n"/>
      <c r="O182" s="17" t="n"/>
      <c r="P182" s="24" t="n"/>
      <c r="Q182" s="17" t="n"/>
      <c r="R182" s="20">
        <f>IF(OR(N182="",P182=""),"",N182*P182*(1-IF(Q182="",0,Q182)/100))</f>
        <v/>
      </c>
      <c r="S182" s="17" t="n"/>
      <c r="T182" s="17" t="n"/>
      <c r="U182" s="17" t="n"/>
      <c r="V182" s="17" t="n"/>
      <c r="W182" s="10" t="n"/>
    </row>
    <row r="183">
      <c r="A183" s="17" t="n"/>
      <c r="B183" s="17" t="n"/>
      <c r="C183" s="17" t="n"/>
      <c r="D183" s="27" t="n"/>
      <c r="E183" s="27" t="n"/>
      <c r="F183" s="17" t="n"/>
      <c r="G183" s="17" t="n"/>
      <c r="H183" s="17" t="n"/>
      <c r="I183" s="17" t="n"/>
      <c r="J183" s="16" t="n"/>
      <c r="K183" s="17" t="n"/>
      <c r="L183" s="17" t="n"/>
      <c r="M183" s="10" t="n"/>
      <c r="N183" s="23" t="n"/>
      <c r="O183" s="17" t="n"/>
      <c r="P183" s="24" t="n"/>
      <c r="Q183" s="17" t="n"/>
      <c r="R183" s="20">
        <f>IF(OR(N183="",P183=""),"",N183*P183*(1-IF(Q183="",0,Q183)/100))</f>
        <v/>
      </c>
      <c r="S183" s="17" t="n"/>
      <c r="T183" s="17" t="n"/>
      <c r="U183" s="17" t="n"/>
      <c r="V183" s="17" t="n"/>
      <c r="W183" s="10" t="n"/>
    </row>
    <row r="184">
      <c r="A184" s="17" t="n"/>
      <c r="B184" s="17" t="n"/>
      <c r="C184" s="17" t="n"/>
      <c r="D184" s="27" t="n"/>
      <c r="E184" s="27" t="n"/>
      <c r="F184" s="17" t="n"/>
      <c r="G184" s="17" t="n"/>
      <c r="H184" s="17" t="n"/>
      <c r="I184" s="17" t="n"/>
      <c r="J184" s="16" t="n"/>
      <c r="K184" s="17" t="n"/>
      <c r="L184" s="17" t="n"/>
      <c r="M184" s="10" t="n"/>
      <c r="N184" s="23" t="n"/>
      <c r="O184" s="17" t="n"/>
      <c r="P184" s="24" t="n"/>
      <c r="Q184" s="17" t="n"/>
      <c r="R184" s="20">
        <f>IF(OR(N184="",P184=""),"",N184*P184*(1-IF(Q184="",0,Q184)/100))</f>
        <v/>
      </c>
      <c r="S184" s="17" t="n"/>
      <c r="T184" s="17" t="n"/>
      <c r="U184" s="17" t="n"/>
      <c r="V184" s="17" t="n"/>
      <c r="W184" s="10" t="n"/>
    </row>
    <row r="185">
      <c r="A185" s="17" t="n"/>
      <c r="B185" s="17" t="n"/>
      <c r="C185" s="17" t="n"/>
      <c r="D185" s="27" t="n"/>
      <c r="E185" s="27" t="n"/>
      <c r="F185" s="17" t="n"/>
      <c r="G185" s="17" t="n"/>
      <c r="H185" s="17" t="n"/>
      <c r="I185" s="17" t="n"/>
      <c r="J185" s="16" t="n"/>
      <c r="K185" s="17" t="n"/>
      <c r="L185" s="17" t="n"/>
      <c r="M185" s="10" t="n"/>
      <c r="N185" s="23" t="n"/>
      <c r="O185" s="17" t="n"/>
      <c r="P185" s="24" t="n"/>
      <c r="Q185" s="17" t="n"/>
      <c r="R185" s="20">
        <f>IF(OR(N185="",P185=""),"",N185*P185*(1-IF(Q185="",0,Q185)/100))</f>
        <v/>
      </c>
      <c r="S185" s="17" t="n"/>
      <c r="T185" s="17" t="n"/>
      <c r="U185" s="17" t="n"/>
      <c r="V185" s="17" t="n"/>
      <c r="W185" s="10" t="n"/>
    </row>
    <row r="186">
      <c r="A186" s="17" t="n"/>
      <c r="B186" s="17" t="n"/>
      <c r="C186" s="17" t="n"/>
      <c r="D186" s="27" t="n"/>
      <c r="E186" s="27" t="n"/>
      <c r="F186" s="17" t="n"/>
      <c r="G186" s="17" t="n"/>
      <c r="H186" s="17" t="n"/>
      <c r="I186" s="17" t="n"/>
      <c r="J186" s="16" t="n"/>
      <c r="K186" s="17" t="n"/>
      <c r="L186" s="17" t="n"/>
      <c r="M186" s="10" t="n"/>
      <c r="N186" s="23" t="n"/>
      <c r="O186" s="17" t="n"/>
      <c r="P186" s="24" t="n"/>
      <c r="Q186" s="17" t="n"/>
      <c r="R186" s="20">
        <f>IF(OR(N186="",P186=""),"",N186*P186*(1-IF(Q186="",0,Q186)/100))</f>
        <v/>
      </c>
      <c r="S186" s="17" t="n"/>
      <c r="T186" s="17" t="n"/>
      <c r="U186" s="17" t="n"/>
      <c r="V186" s="17" t="n"/>
      <c r="W186" s="10" t="n"/>
    </row>
    <row r="187">
      <c r="A187" s="17" t="n"/>
      <c r="B187" s="17" t="n"/>
      <c r="C187" s="17" t="n"/>
      <c r="D187" s="27" t="n"/>
      <c r="E187" s="27" t="n"/>
      <c r="F187" s="17" t="n"/>
      <c r="G187" s="17" t="n"/>
      <c r="H187" s="17" t="n"/>
      <c r="I187" s="17" t="n"/>
      <c r="J187" s="16" t="n"/>
      <c r="K187" s="17" t="n"/>
      <c r="L187" s="17" t="n"/>
      <c r="M187" s="10" t="n"/>
      <c r="N187" s="23" t="n"/>
      <c r="O187" s="17" t="n"/>
      <c r="P187" s="24" t="n"/>
      <c r="Q187" s="17" t="n"/>
      <c r="R187" s="20">
        <f>IF(OR(N187="",P187=""),"",N187*P187*(1-IF(Q187="",0,Q187)/100))</f>
        <v/>
      </c>
      <c r="S187" s="17" t="n"/>
      <c r="T187" s="17" t="n"/>
      <c r="U187" s="17" t="n"/>
      <c r="V187" s="17" t="n"/>
      <c r="W187" s="10" t="n"/>
    </row>
    <row r="188">
      <c r="A188" s="17" t="n"/>
      <c r="B188" s="17" t="n"/>
      <c r="C188" s="17" t="n"/>
      <c r="D188" s="27" t="n"/>
      <c r="E188" s="27" t="n"/>
      <c r="F188" s="17" t="n"/>
      <c r="G188" s="17" t="n"/>
      <c r="H188" s="17" t="n"/>
      <c r="I188" s="17" t="n"/>
      <c r="J188" s="16" t="n"/>
      <c r="K188" s="17" t="n"/>
      <c r="L188" s="17" t="n"/>
      <c r="M188" s="10" t="n"/>
      <c r="N188" s="23" t="n"/>
      <c r="O188" s="17" t="n"/>
      <c r="P188" s="24" t="n"/>
      <c r="Q188" s="17" t="n"/>
      <c r="R188" s="20">
        <f>IF(OR(N188="",P188=""),"",N188*P188*(1-IF(Q188="",0,Q188)/100))</f>
        <v/>
      </c>
      <c r="S188" s="17" t="n"/>
      <c r="T188" s="17" t="n"/>
      <c r="U188" s="17" t="n"/>
      <c r="V188" s="17" t="n"/>
      <c r="W188" s="10" t="n"/>
    </row>
    <row r="189">
      <c r="A189" s="17" t="n"/>
      <c r="B189" s="17" t="n"/>
      <c r="C189" s="17" t="n"/>
      <c r="D189" s="27" t="n"/>
      <c r="E189" s="27" t="n"/>
      <c r="F189" s="17" t="n"/>
      <c r="G189" s="17" t="n"/>
      <c r="H189" s="17" t="n"/>
      <c r="I189" s="17" t="n"/>
      <c r="J189" s="16" t="n"/>
      <c r="K189" s="17" t="n"/>
      <c r="L189" s="17" t="n"/>
      <c r="M189" s="10" t="n"/>
      <c r="N189" s="23" t="n"/>
      <c r="O189" s="17" t="n"/>
      <c r="P189" s="24" t="n"/>
      <c r="Q189" s="17" t="n"/>
      <c r="R189" s="20">
        <f>IF(OR(N189="",P189=""),"",N189*P189*(1-IF(Q189="",0,Q189)/100))</f>
        <v/>
      </c>
      <c r="S189" s="17" t="n"/>
      <c r="T189" s="17" t="n"/>
      <c r="U189" s="17" t="n"/>
      <c r="V189" s="17" t="n"/>
      <c r="W189" s="10" t="n"/>
    </row>
    <row r="190">
      <c r="A190" s="17" t="n"/>
      <c r="B190" s="17" t="n"/>
      <c r="C190" s="17" t="n"/>
      <c r="D190" s="27" t="n"/>
      <c r="E190" s="27" t="n"/>
      <c r="F190" s="17" t="n"/>
      <c r="G190" s="17" t="n"/>
      <c r="H190" s="17" t="n"/>
      <c r="I190" s="17" t="n"/>
      <c r="J190" s="16" t="n"/>
      <c r="K190" s="17" t="n"/>
      <c r="L190" s="17" t="n"/>
      <c r="M190" s="10" t="n"/>
      <c r="N190" s="23" t="n"/>
      <c r="O190" s="17" t="n"/>
      <c r="P190" s="24" t="n"/>
      <c r="Q190" s="17" t="n"/>
      <c r="R190" s="20">
        <f>IF(OR(N190="",P190=""),"",N190*P190*(1-IF(Q190="",0,Q190)/100))</f>
        <v/>
      </c>
      <c r="S190" s="17" t="n"/>
      <c r="T190" s="17" t="n"/>
      <c r="U190" s="17" t="n"/>
      <c r="V190" s="17" t="n"/>
      <c r="W190" s="10" t="n"/>
    </row>
    <row r="191">
      <c r="A191" s="17" t="n"/>
      <c r="B191" s="17" t="n"/>
      <c r="C191" s="17" t="n"/>
      <c r="D191" s="27" t="n"/>
      <c r="E191" s="27" t="n"/>
      <c r="F191" s="17" t="n"/>
      <c r="G191" s="17" t="n"/>
      <c r="H191" s="17" t="n"/>
      <c r="I191" s="17" t="n"/>
      <c r="J191" s="16" t="n"/>
      <c r="K191" s="17" t="n"/>
      <c r="L191" s="17" t="n"/>
      <c r="M191" s="10" t="n"/>
      <c r="N191" s="23" t="n"/>
      <c r="O191" s="17" t="n"/>
      <c r="P191" s="24" t="n"/>
      <c r="Q191" s="17" t="n"/>
      <c r="R191" s="20">
        <f>IF(OR(N191="",P191=""),"",N191*P191*(1-IF(Q191="",0,Q191)/100))</f>
        <v/>
      </c>
      <c r="S191" s="17" t="n"/>
      <c r="T191" s="17" t="n"/>
      <c r="U191" s="17" t="n"/>
      <c r="V191" s="17" t="n"/>
      <c r="W191" s="10" t="n"/>
    </row>
    <row r="192">
      <c r="A192" s="17" t="n"/>
      <c r="B192" s="17" t="n"/>
      <c r="C192" s="17" t="n"/>
      <c r="D192" s="27" t="n"/>
      <c r="E192" s="27" t="n"/>
      <c r="F192" s="17" t="n"/>
      <c r="G192" s="17" t="n"/>
      <c r="H192" s="17" t="n"/>
      <c r="I192" s="17" t="n"/>
      <c r="J192" s="16" t="n"/>
      <c r="K192" s="17" t="n"/>
      <c r="L192" s="17" t="n"/>
      <c r="M192" s="10" t="n"/>
      <c r="N192" s="23" t="n"/>
      <c r="O192" s="17" t="n"/>
      <c r="P192" s="24" t="n"/>
      <c r="Q192" s="17" t="n"/>
      <c r="R192" s="20">
        <f>IF(OR(N192="",P192=""),"",N192*P192*(1-IF(Q192="",0,Q192)/100))</f>
        <v/>
      </c>
      <c r="S192" s="17" t="n"/>
      <c r="T192" s="17" t="n"/>
      <c r="U192" s="17" t="n"/>
      <c r="V192" s="17" t="n"/>
      <c r="W192" s="10" t="n"/>
    </row>
    <row r="193">
      <c r="A193" s="17" t="n"/>
      <c r="B193" s="17" t="n"/>
      <c r="C193" s="17" t="n"/>
      <c r="D193" s="27" t="n"/>
      <c r="E193" s="27" t="n"/>
      <c r="F193" s="17" t="n"/>
      <c r="G193" s="17" t="n"/>
      <c r="H193" s="17" t="n"/>
      <c r="I193" s="17" t="n"/>
      <c r="J193" s="16" t="n"/>
      <c r="K193" s="17" t="n"/>
      <c r="L193" s="17" t="n"/>
      <c r="M193" s="10" t="n"/>
      <c r="N193" s="23" t="n"/>
      <c r="O193" s="17" t="n"/>
      <c r="P193" s="24" t="n"/>
      <c r="Q193" s="17" t="n"/>
      <c r="R193" s="20">
        <f>IF(OR(N193="",P193=""),"",N193*P193*(1-IF(Q193="",0,Q193)/100))</f>
        <v/>
      </c>
      <c r="S193" s="17" t="n"/>
      <c r="T193" s="17" t="n"/>
      <c r="U193" s="17" t="n"/>
      <c r="V193" s="17" t="n"/>
      <c r="W193" s="10" t="n"/>
    </row>
    <row r="194">
      <c r="A194" s="17" t="n"/>
      <c r="B194" s="17" t="n"/>
      <c r="C194" s="17" t="n"/>
      <c r="D194" s="27" t="n"/>
      <c r="E194" s="27" t="n"/>
      <c r="F194" s="17" t="n"/>
      <c r="G194" s="17" t="n"/>
      <c r="H194" s="17" t="n"/>
      <c r="I194" s="17" t="n"/>
      <c r="J194" s="16" t="n"/>
      <c r="K194" s="17" t="n"/>
      <c r="L194" s="17" t="n"/>
      <c r="M194" s="10" t="n"/>
      <c r="N194" s="23" t="n"/>
      <c r="O194" s="17" t="n"/>
      <c r="P194" s="24" t="n"/>
      <c r="Q194" s="17" t="n"/>
      <c r="R194" s="20">
        <f>IF(OR(N194="",P194=""),"",N194*P194*(1-IF(Q194="",0,Q194)/100))</f>
        <v/>
      </c>
      <c r="S194" s="17" t="n"/>
      <c r="T194" s="17" t="n"/>
      <c r="U194" s="17" t="n"/>
      <c r="V194" s="17" t="n"/>
      <c r="W194" s="10" t="n"/>
    </row>
    <row r="195">
      <c r="A195" s="17" t="n"/>
      <c r="B195" s="17" t="n"/>
      <c r="C195" s="17" t="n"/>
      <c r="D195" s="27" t="n"/>
      <c r="E195" s="27" t="n"/>
      <c r="F195" s="17" t="n"/>
      <c r="G195" s="17" t="n"/>
      <c r="H195" s="17" t="n"/>
      <c r="I195" s="17" t="n"/>
      <c r="J195" s="16" t="n"/>
      <c r="K195" s="17" t="n"/>
      <c r="L195" s="17" t="n"/>
      <c r="M195" s="10" t="n"/>
      <c r="N195" s="23" t="n"/>
      <c r="O195" s="17" t="n"/>
      <c r="P195" s="24" t="n"/>
      <c r="Q195" s="17" t="n"/>
      <c r="R195" s="20">
        <f>IF(OR(N195="",P195=""),"",N195*P195*(1-IF(Q195="",0,Q195)/100))</f>
        <v/>
      </c>
      <c r="S195" s="17" t="n"/>
      <c r="T195" s="17" t="n"/>
      <c r="U195" s="17" t="n"/>
      <c r="V195" s="17" t="n"/>
      <c r="W195" s="10" t="n"/>
    </row>
    <row r="196">
      <c r="A196" s="17" t="n"/>
      <c r="B196" s="17" t="n"/>
      <c r="C196" s="17" t="n"/>
      <c r="D196" s="27" t="n"/>
      <c r="E196" s="27" t="n"/>
      <c r="F196" s="17" t="n"/>
      <c r="G196" s="17" t="n"/>
      <c r="H196" s="17" t="n"/>
      <c r="I196" s="17" t="n"/>
      <c r="J196" s="16" t="n"/>
      <c r="K196" s="17" t="n"/>
      <c r="L196" s="17" t="n"/>
      <c r="M196" s="10" t="n"/>
      <c r="N196" s="23" t="n"/>
      <c r="O196" s="17" t="n"/>
      <c r="P196" s="24" t="n"/>
      <c r="Q196" s="17" t="n"/>
      <c r="R196" s="20">
        <f>IF(OR(N196="",P196=""),"",N196*P196*(1-IF(Q196="",0,Q196)/100))</f>
        <v/>
      </c>
      <c r="S196" s="17" t="n"/>
      <c r="T196" s="17" t="n"/>
      <c r="U196" s="17" t="n"/>
      <c r="V196" s="17" t="n"/>
      <c r="W196" s="10" t="n"/>
    </row>
    <row r="197">
      <c r="A197" s="17" t="n"/>
      <c r="B197" s="17" t="n"/>
      <c r="C197" s="17" t="n"/>
      <c r="D197" s="27" t="n"/>
      <c r="E197" s="27" t="n"/>
      <c r="F197" s="17" t="n"/>
      <c r="G197" s="17" t="n"/>
      <c r="H197" s="17" t="n"/>
      <c r="I197" s="17" t="n"/>
      <c r="J197" s="16" t="n"/>
      <c r="K197" s="17" t="n"/>
      <c r="L197" s="17" t="n"/>
      <c r="M197" s="10" t="n"/>
      <c r="N197" s="23" t="n"/>
      <c r="O197" s="17" t="n"/>
      <c r="P197" s="24" t="n"/>
      <c r="Q197" s="17" t="n"/>
      <c r="R197" s="20">
        <f>IF(OR(N197="",P197=""),"",N197*P197*(1-IF(Q197="",0,Q197)/100))</f>
        <v/>
      </c>
      <c r="S197" s="17" t="n"/>
      <c r="T197" s="17" t="n"/>
      <c r="U197" s="17" t="n"/>
      <c r="V197" s="17" t="n"/>
      <c r="W197" s="10" t="n"/>
    </row>
    <row r="198">
      <c r="A198" s="17" t="n"/>
      <c r="B198" s="17" t="n"/>
      <c r="C198" s="17" t="n"/>
      <c r="D198" s="27" t="n"/>
      <c r="E198" s="27" t="n"/>
      <c r="F198" s="17" t="n"/>
      <c r="G198" s="17" t="n"/>
      <c r="H198" s="17" t="n"/>
      <c r="I198" s="17" t="n"/>
      <c r="J198" s="16" t="n"/>
      <c r="K198" s="17" t="n"/>
      <c r="L198" s="17" t="n"/>
      <c r="M198" s="10" t="n"/>
      <c r="N198" s="23" t="n"/>
      <c r="O198" s="17" t="n"/>
      <c r="P198" s="24" t="n"/>
      <c r="Q198" s="17" t="n"/>
      <c r="R198" s="20">
        <f>IF(OR(N198="",P198=""),"",N198*P198*(1-IF(Q198="",0,Q198)/100))</f>
        <v/>
      </c>
      <c r="S198" s="17" t="n"/>
      <c r="T198" s="17" t="n"/>
      <c r="U198" s="17" t="n"/>
      <c r="V198" s="17" t="n"/>
      <c r="W198" s="10" t="n"/>
    </row>
    <row r="199">
      <c r="A199" s="17" t="n"/>
      <c r="B199" s="17" t="n"/>
      <c r="C199" s="17" t="n"/>
      <c r="D199" s="27" t="n"/>
      <c r="E199" s="27" t="n"/>
      <c r="F199" s="17" t="n"/>
      <c r="G199" s="17" t="n"/>
      <c r="H199" s="17" t="n"/>
      <c r="I199" s="17" t="n"/>
      <c r="J199" s="16" t="n"/>
      <c r="K199" s="17" t="n"/>
      <c r="L199" s="17" t="n"/>
      <c r="M199" s="10" t="n"/>
      <c r="N199" s="23" t="n"/>
      <c r="O199" s="17" t="n"/>
      <c r="P199" s="24" t="n"/>
      <c r="Q199" s="17" t="n"/>
      <c r="R199" s="20">
        <f>IF(OR(N199="",P199=""),"",N199*P199*(1-IF(Q199="",0,Q199)/100))</f>
        <v/>
      </c>
      <c r="S199" s="17" t="n"/>
      <c r="T199" s="17" t="n"/>
      <c r="U199" s="17" t="n"/>
      <c r="V199" s="17" t="n"/>
      <c r="W199" s="10" t="n"/>
    </row>
    <row r="200">
      <c r="A200" s="17" t="n"/>
      <c r="B200" s="17" t="n"/>
      <c r="C200" s="17" t="n"/>
      <c r="D200" s="27" t="n"/>
      <c r="E200" s="27" t="n"/>
      <c r="F200" s="17" t="n"/>
      <c r="G200" s="17" t="n"/>
      <c r="H200" s="17" t="n"/>
      <c r="I200" s="17" t="n"/>
      <c r="J200" s="16" t="n"/>
      <c r="K200" s="17" t="n"/>
      <c r="L200" s="17" t="n"/>
      <c r="M200" s="10" t="n"/>
      <c r="N200" s="23" t="n"/>
      <c r="O200" s="17" t="n"/>
      <c r="P200" s="24" t="n"/>
      <c r="Q200" s="17" t="n"/>
      <c r="R200" s="20">
        <f>IF(OR(N200="",P200=""),"",N200*P200*(1-IF(Q200="",0,Q200)/100))</f>
        <v/>
      </c>
      <c r="S200" s="17" t="n"/>
      <c r="T200" s="17" t="n"/>
      <c r="U200" s="17" t="n"/>
      <c r="V200" s="17" t="n"/>
      <c r="W200" s="10" t="n"/>
    </row>
    <row r="201">
      <c r="A201" s="17" t="n"/>
      <c r="B201" s="17" t="n"/>
      <c r="C201" s="17" t="n"/>
      <c r="D201" s="27" t="n"/>
      <c r="E201" s="27" t="n"/>
      <c r="F201" s="17" t="n"/>
      <c r="G201" s="17" t="n"/>
      <c r="H201" s="17" t="n"/>
      <c r="I201" s="17" t="n"/>
      <c r="J201" s="16" t="n"/>
      <c r="K201" s="17" t="n"/>
      <c r="L201" s="17" t="n"/>
      <c r="M201" s="10" t="n"/>
      <c r="N201" s="23" t="n"/>
      <c r="O201" s="17" t="n"/>
      <c r="P201" s="24" t="n"/>
      <c r="Q201" s="17" t="n"/>
      <c r="R201" s="20">
        <f>IF(OR(N201="",P201=""),"",N201*P201*(1-IF(Q201="",0,Q201)/100))</f>
        <v/>
      </c>
      <c r="S201" s="17" t="n"/>
      <c r="T201" s="17" t="n"/>
      <c r="U201" s="17" t="n"/>
      <c r="V201" s="17" t="n"/>
      <c r="W201" s="10" t="n"/>
    </row>
    <row r="202">
      <c r="A202" s="17" t="n"/>
      <c r="B202" s="17" t="n"/>
      <c r="C202" s="17" t="n"/>
      <c r="D202" s="27" t="n"/>
      <c r="E202" s="27" t="n"/>
      <c r="F202" s="17" t="n"/>
      <c r="G202" s="17" t="n"/>
      <c r="H202" s="17" t="n"/>
      <c r="I202" s="17" t="n"/>
      <c r="J202" s="16" t="n"/>
      <c r="K202" s="17" t="n"/>
      <c r="L202" s="17" t="n"/>
      <c r="M202" s="10" t="n"/>
      <c r="N202" s="23" t="n"/>
      <c r="O202" s="17" t="n"/>
      <c r="P202" s="24" t="n"/>
      <c r="Q202" s="17" t="n"/>
      <c r="R202" s="20">
        <f>IF(OR(N202="",P202=""),"",N202*P202*(1-IF(Q202="",0,Q202)/100))</f>
        <v/>
      </c>
      <c r="S202" s="17" t="n"/>
      <c r="T202" s="17" t="n"/>
      <c r="U202" s="17" t="n"/>
      <c r="V202" s="17" t="n"/>
      <c r="W202" s="10" t="n"/>
    </row>
    <row r="203">
      <c r="A203" s="17" t="n"/>
      <c r="B203" s="17" t="n"/>
      <c r="C203" s="17" t="n"/>
      <c r="D203" s="27" t="n"/>
      <c r="E203" s="27" t="n"/>
      <c r="F203" s="17" t="n"/>
      <c r="G203" s="17" t="n"/>
      <c r="H203" s="17" t="n"/>
      <c r="I203" s="17" t="n"/>
      <c r="J203" s="16" t="n"/>
      <c r="K203" s="17" t="n"/>
      <c r="L203" s="17" t="n"/>
      <c r="M203" s="10" t="n"/>
      <c r="N203" s="23" t="n"/>
      <c r="O203" s="17" t="n"/>
      <c r="P203" s="24" t="n"/>
      <c r="Q203" s="17" t="n"/>
      <c r="R203" s="20">
        <f>IF(OR(N203="",P203=""),"",N203*P203*(1-IF(Q203="",0,Q203)/100))</f>
        <v/>
      </c>
      <c r="S203" s="17" t="n"/>
      <c r="T203" s="17" t="n"/>
      <c r="U203" s="17" t="n"/>
      <c r="V203" s="17" t="n"/>
      <c r="W203" s="10" t="n"/>
    </row>
    <row r="204">
      <c r="A204" s="17" t="n"/>
      <c r="B204" s="17" t="n"/>
      <c r="C204" s="17" t="n"/>
      <c r="D204" s="27" t="n"/>
      <c r="E204" s="27" t="n"/>
      <c r="F204" s="17" t="n"/>
      <c r="G204" s="17" t="n"/>
      <c r="H204" s="17" t="n"/>
      <c r="I204" s="17" t="n"/>
      <c r="J204" s="16" t="n"/>
      <c r="K204" s="17" t="n"/>
      <c r="L204" s="17" t="n"/>
      <c r="M204" s="10" t="n"/>
      <c r="N204" s="23" t="n"/>
      <c r="O204" s="17" t="n"/>
      <c r="P204" s="24" t="n"/>
      <c r="Q204" s="17" t="n"/>
      <c r="R204" s="20">
        <f>IF(OR(N204="",P204=""),"",N204*P204*(1-IF(Q204="",0,Q204)/100))</f>
        <v/>
      </c>
      <c r="S204" s="17" t="n"/>
      <c r="T204" s="17" t="n"/>
      <c r="U204" s="17" t="n"/>
      <c r="V204" s="17" t="n"/>
      <c r="W204" s="10" t="n"/>
    </row>
    <row r="205">
      <c r="A205" s="17" t="n"/>
      <c r="B205" s="17" t="n"/>
      <c r="C205" s="17" t="n"/>
      <c r="D205" s="27" t="n"/>
      <c r="E205" s="27" t="n"/>
      <c r="F205" s="17" t="n"/>
      <c r="G205" s="17" t="n"/>
      <c r="H205" s="17" t="n"/>
      <c r="I205" s="17" t="n"/>
      <c r="J205" s="16" t="n"/>
      <c r="K205" s="17" t="n"/>
      <c r="L205" s="17" t="n"/>
      <c r="M205" s="10" t="n"/>
      <c r="N205" s="23" t="n"/>
      <c r="O205" s="17" t="n"/>
      <c r="P205" s="24" t="n"/>
      <c r="Q205" s="17" t="n"/>
      <c r="R205" s="20">
        <f>IF(OR(N205="",P205=""),"",N205*P205*(1-IF(Q205="",0,Q205)/100))</f>
        <v/>
      </c>
      <c r="S205" s="17" t="n"/>
      <c r="T205" s="17" t="n"/>
      <c r="U205" s="17" t="n"/>
      <c r="V205" s="17" t="n"/>
      <c r="W205" s="10" t="n"/>
    </row>
    <row r="206">
      <c r="A206" s="17" t="n"/>
      <c r="B206" s="17" t="n"/>
      <c r="C206" s="17" t="n"/>
      <c r="D206" s="27" t="n"/>
      <c r="E206" s="27" t="n"/>
      <c r="F206" s="17" t="n"/>
      <c r="G206" s="17" t="n"/>
      <c r="H206" s="17" t="n"/>
      <c r="I206" s="17" t="n"/>
      <c r="J206" s="16" t="n"/>
      <c r="K206" s="17" t="n"/>
      <c r="L206" s="17" t="n"/>
      <c r="M206" s="10" t="n"/>
      <c r="N206" s="23" t="n"/>
      <c r="O206" s="17" t="n"/>
      <c r="P206" s="24" t="n"/>
      <c r="Q206" s="17" t="n"/>
      <c r="R206" s="20">
        <f>IF(OR(N206="",P206=""),"",N206*P206*(1-IF(Q206="",0,Q206)/100))</f>
        <v/>
      </c>
      <c r="S206" s="17" t="n"/>
      <c r="T206" s="17" t="n"/>
      <c r="U206" s="17" t="n"/>
      <c r="V206" s="17" t="n"/>
      <c r="W206" s="10" t="n"/>
    </row>
    <row r="207">
      <c r="A207" s="17" t="n"/>
      <c r="B207" s="17" t="n"/>
      <c r="C207" s="17" t="n"/>
      <c r="D207" s="27" t="n"/>
      <c r="E207" s="27" t="n"/>
      <c r="F207" s="17" t="n"/>
      <c r="G207" s="17" t="n"/>
      <c r="H207" s="17" t="n"/>
      <c r="I207" s="17" t="n"/>
      <c r="J207" s="16" t="n"/>
      <c r="K207" s="17" t="n"/>
      <c r="L207" s="17" t="n"/>
      <c r="M207" s="10" t="n"/>
      <c r="N207" s="23" t="n"/>
      <c r="O207" s="17" t="n"/>
      <c r="P207" s="24" t="n"/>
      <c r="Q207" s="17" t="n"/>
      <c r="R207" s="20">
        <f>IF(OR(N207="",P207=""),"",N207*P207*(1-IF(Q207="",0,Q207)/100))</f>
        <v/>
      </c>
      <c r="S207" s="17" t="n"/>
      <c r="T207" s="17" t="n"/>
      <c r="U207" s="17" t="n"/>
      <c r="V207" s="17" t="n"/>
      <c r="W207" s="10" t="n"/>
    </row>
    <row r="208">
      <c r="A208" s="17" t="n"/>
      <c r="B208" s="17" t="n"/>
      <c r="C208" s="17" t="n"/>
      <c r="D208" s="27" t="n"/>
      <c r="E208" s="27" t="n"/>
      <c r="F208" s="17" t="n"/>
      <c r="G208" s="17" t="n"/>
      <c r="H208" s="17" t="n"/>
      <c r="I208" s="17" t="n"/>
      <c r="J208" s="16" t="n"/>
      <c r="K208" s="17" t="n"/>
      <c r="L208" s="17" t="n"/>
      <c r="M208" s="10" t="n"/>
      <c r="N208" s="23" t="n"/>
      <c r="O208" s="17" t="n"/>
      <c r="P208" s="24" t="n"/>
      <c r="Q208" s="17" t="n"/>
      <c r="R208" s="20">
        <f>IF(OR(N208="",P208=""),"",N208*P208*(1-IF(Q208="",0,Q208)/100))</f>
        <v/>
      </c>
      <c r="S208" s="17" t="n"/>
      <c r="T208" s="17" t="n"/>
      <c r="U208" s="17" t="n"/>
      <c r="V208" s="17" t="n"/>
      <c r="W208" s="10" t="n"/>
    </row>
    <row r="209">
      <c r="A209" s="17" t="n"/>
      <c r="B209" s="17" t="n"/>
      <c r="C209" s="17" t="n"/>
      <c r="D209" s="27" t="n"/>
      <c r="E209" s="27" t="n"/>
      <c r="F209" s="17" t="n"/>
      <c r="G209" s="17" t="n"/>
      <c r="H209" s="17" t="n"/>
      <c r="I209" s="17" t="n"/>
      <c r="J209" s="16" t="n"/>
      <c r="K209" s="17" t="n"/>
      <c r="L209" s="17" t="n"/>
      <c r="M209" s="10" t="n"/>
      <c r="N209" s="23" t="n"/>
      <c r="O209" s="17" t="n"/>
      <c r="P209" s="24" t="n"/>
      <c r="Q209" s="17" t="n"/>
      <c r="R209" s="20">
        <f>IF(OR(N209="",P209=""),"",N209*P209*(1-IF(Q209="",0,Q209)/100))</f>
        <v/>
      </c>
      <c r="S209" s="17" t="n"/>
      <c r="T209" s="17" t="n"/>
      <c r="U209" s="17" t="n"/>
      <c r="V209" s="17" t="n"/>
      <c r="W209" s="10" t="n"/>
    </row>
    <row r="210">
      <c r="A210" s="17" t="n"/>
      <c r="B210" s="17" t="n"/>
      <c r="C210" s="17" t="n"/>
      <c r="D210" s="27" t="n"/>
      <c r="E210" s="27" t="n"/>
      <c r="F210" s="17" t="n"/>
      <c r="G210" s="17" t="n"/>
      <c r="H210" s="17" t="n"/>
      <c r="I210" s="17" t="n"/>
      <c r="J210" s="16" t="n"/>
      <c r="K210" s="17" t="n"/>
      <c r="L210" s="17" t="n"/>
      <c r="M210" s="10" t="n"/>
      <c r="N210" s="23" t="n"/>
      <c r="O210" s="17" t="n"/>
      <c r="P210" s="24" t="n"/>
      <c r="Q210" s="17" t="n"/>
      <c r="R210" s="20">
        <f>IF(OR(N210="",P210=""),"",N210*P210*(1-IF(Q210="",0,Q210)/100))</f>
        <v/>
      </c>
      <c r="S210" s="17" t="n"/>
      <c r="T210" s="17" t="n"/>
      <c r="U210" s="17" t="n"/>
      <c r="V210" s="17" t="n"/>
      <c r="W210" s="10" t="n"/>
    </row>
    <row r="211">
      <c r="A211" s="17" t="n"/>
      <c r="B211" s="17" t="n"/>
      <c r="C211" s="17" t="n"/>
      <c r="D211" s="27" t="n"/>
      <c r="E211" s="27" t="n"/>
      <c r="F211" s="17" t="n"/>
      <c r="G211" s="17" t="n"/>
      <c r="H211" s="17" t="n"/>
      <c r="I211" s="17" t="n"/>
      <c r="J211" s="16" t="n"/>
      <c r="K211" s="17" t="n"/>
      <c r="L211" s="17" t="n"/>
      <c r="M211" s="10" t="n"/>
      <c r="N211" s="23" t="n"/>
      <c r="O211" s="17" t="n"/>
      <c r="P211" s="24" t="n"/>
      <c r="Q211" s="17" t="n"/>
      <c r="R211" s="20">
        <f>IF(OR(N211="",P211=""),"",N211*P211*(1-IF(Q211="",0,Q211)/100))</f>
        <v/>
      </c>
      <c r="S211" s="17" t="n"/>
      <c r="T211" s="17" t="n"/>
      <c r="U211" s="17" t="n"/>
      <c r="V211" s="17" t="n"/>
      <c r="W211" s="10" t="n"/>
    </row>
    <row r="212">
      <c r="A212" s="17" t="n"/>
      <c r="B212" s="17" t="n"/>
      <c r="C212" s="17" t="n"/>
      <c r="D212" s="27" t="n"/>
      <c r="E212" s="27" t="n"/>
      <c r="F212" s="17" t="n"/>
      <c r="G212" s="17" t="n"/>
      <c r="H212" s="17" t="n"/>
      <c r="I212" s="17" t="n"/>
      <c r="J212" s="16" t="n"/>
      <c r="K212" s="17" t="n"/>
      <c r="L212" s="17" t="n"/>
      <c r="M212" s="10" t="n"/>
      <c r="N212" s="23" t="n"/>
      <c r="O212" s="17" t="n"/>
      <c r="P212" s="24" t="n"/>
      <c r="Q212" s="17" t="n"/>
      <c r="R212" s="20">
        <f>IF(OR(N212="",P212=""),"",N212*P212*(1-IF(Q212="",0,Q212)/100))</f>
        <v/>
      </c>
      <c r="S212" s="17" t="n"/>
      <c r="T212" s="17" t="n"/>
      <c r="U212" s="17" t="n"/>
      <c r="V212" s="17" t="n"/>
      <c r="W212" s="10" t="n"/>
    </row>
    <row r="213">
      <c r="A213" s="17" t="n"/>
      <c r="B213" s="17" t="n"/>
      <c r="C213" s="17" t="n"/>
      <c r="D213" s="27" t="n"/>
      <c r="E213" s="27" t="n"/>
      <c r="F213" s="17" t="n"/>
      <c r="G213" s="17" t="n"/>
      <c r="H213" s="17" t="n"/>
      <c r="I213" s="17" t="n"/>
      <c r="J213" s="16" t="n"/>
      <c r="K213" s="17" t="n"/>
      <c r="L213" s="17" t="n"/>
      <c r="M213" s="10" t="n"/>
      <c r="N213" s="23" t="n"/>
      <c r="O213" s="17" t="n"/>
      <c r="P213" s="24" t="n"/>
      <c r="Q213" s="17" t="n"/>
      <c r="R213" s="20">
        <f>IF(OR(N213="",P213=""),"",N213*P213*(1-IF(Q213="",0,Q213)/100))</f>
        <v/>
      </c>
      <c r="S213" s="17" t="n"/>
      <c r="T213" s="17" t="n"/>
      <c r="U213" s="17" t="n"/>
      <c r="V213" s="17" t="n"/>
      <c r="W213" s="10" t="n"/>
    </row>
    <row r="214">
      <c r="A214" s="17" t="n"/>
      <c r="B214" s="17" t="n"/>
      <c r="C214" s="17" t="n"/>
      <c r="D214" s="27" t="n"/>
      <c r="E214" s="27" t="n"/>
      <c r="F214" s="17" t="n"/>
      <c r="G214" s="17" t="n"/>
      <c r="H214" s="17" t="n"/>
      <c r="I214" s="17" t="n"/>
      <c r="J214" s="16" t="n"/>
      <c r="K214" s="17" t="n"/>
      <c r="L214" s="17" t="n"/>
      <c r="M214" s="10" t="n"/>
      <c r="N214" s="23" t="n"/>
      <c r="O214" s="17" t="n"/>
      <c r="P214" s="24" t="n"/>
      <c r="Q214" s="17" t="n"/>
      <c r="R214" s="20">
        <f>IF(OR(N214="",P214=""),"",N214*P214*(1-IF(Q214="",0,Q214)/100))</f>
        <v/>
      </c>
      <c r="S214" s="17" t="n"/>
      <c r="T214" s="17" t="n"/>
      <c r="U214" s="17" t="n"/>
      <c r="V214" s="17" t="n"/>
      <c r="W214" s="10" t="n"/>
    </row>
    <row r="215">
      <c r="A215" s="17" t="n"/>
      <c r="B215" s="17" t="n"/>
      <c r="C215" s="17" t="n"/>
      <c r="D215" s="27" t="n"/>
      <c r="E215" s="27" t="n"/>
      <c r="F215" s="17" t="n"/>
      <c r="G215" s="17" t="n"/>
      <c r="H215" s="17" t="n"/>
      <c r="I215" s="17" t="n"/>
      <c r="J215" s="16" t="n"/>
      <c r="K215" s="17" t="n"/>
      <c r="L215" s="17" t="n"/>
      <c r="M215" s="10" t="n"/>
      <c r="N215" s="23" t="n"/>
      <c r="O215" s="17" t="n"/>
      <c r="P215" s="24" t="n"/>
      <c r="Q215" s="17" t="n"/>
      <c r="R215" s="20">
        <f>IF(OR(N215="",P215=""),"",N215*P215*(1-IF(Q215="",0,Q215)/100))</f>
        <v/>
      </c>
      <c r="S215" s="17" t="n"/>
      <c r="T215" s="17" t="n"/>
      <c r="U215" s="17" t="n"/>
      <c r="V215" s="17" t="n"/>
      <c r="W215" s="10" t="n"/>
    </row>
    <row r="216">
      <c r="A216" s="17" t="n"/>
      <c r="B216" s="17" t="n"/>
      <c r="C216" s="17" t="n"/>
      <c r="D216" s="27" t="n"/>
      <c r="E216" s="27" t="n"/>
      <c r="F216" s="17" t="n"/>
      <c r="G216" s="17" t="n"/>
      <c r="H216" s="17" t="n"/>
      <c r="I216" s="17" t="n"/>
      <c r="J216" s="16" t="n"/>
      <c r="K216" s="17" t="n"/>
      <c r="L216" s="17" t="n"/>
      <c r="M216" s="10" t="n"/>
      <c r="N216" s="23" t="n"/>
      <c r="O216" s="17" t="n"/>
      <c r="P216" s="24" t="n"/>
      <c r="Q216" s="17" t="n"/>
      <c r="R216" s="20">
        <f>IF(OR(N216="",P216=""),"",N216*P216*(1-IF(Q216="",0,Q216)/100))</f>
        <v/>
      </c>
      <c r="S216" s="17" t="n"/>
      <c r="T216" s="17" t="n"/>
      <c r="U216" s="17" t="n"/>
      <c r="V216" s="17" t="n"/>
      <c r="W216" s="10" t="n"/>
    </row>
    <row r="217">
      <c r="A217" s="17" t="n"/>
      <c r="B217" s="17" t="n"/>
      <c r="C217" s="17" t="n"/>
      <c r="D217" s="27" t="n"/>
      <c r="E217" s="27" t="n"/>
      <c r="F217" s="17" t="n"/>
      <c r="G217" s="17" t="n"/>
      <c r="H217" s="17" t="n"/>
      <c r="I217" s="17" t="n"/>
      <c r="J217" s="16" t="n"/>
      <c r="K217" s="17" t="n"/>
      <c r="L217" s="17" t="n"/>
      <c r="M217" s="10" t="n"/>
      <c r="N217" s="23" t="n"/>
      <c r="O217" s="17" t="n"/>
      <c r="P217" s="24" t="n"/>
      <c r="Q217" s="17" t="n"/>
      <c r="R217" s="20">
        <f>IF(OR(N217="",P217=""),"",N217*P217*(1-IF(Q217="",0,Q217)/100))</f>
        <v/>
      </c>
      <c r="S217" s="17" t="n"/>
      <c r="T217" s="17" t="n"/>
      <c r="U217" s="17" t="n"/>
      <c r="V217" s="17" t="n"/>
      <c r="W217" s="10" t="n"/>
    </row>
    <row r="218">
      <c r="A218" s="17" t="n"/>
      <c r="B218" s="17" t="n"/>
      <c r="C218" s="17" t="n"/>
      <c r="D218" s="27" t="n"/>
      <c r="E218" s="27" t="n"/>
      <c r="F218" s="17" t="n"/>
      <c r="G218" s="17" t="n"/>
      <c r="H218" s="17" t="n"/>
      <c r="I218" s="17" t="n"/>
      <c r="J218" s="16" t="n"/>
      <c r="K218" s="17" t="n"/>
      <c r="L218" s="17" t="n"/>
      <c r="M218" s="10" t="n"/>
      <c r="N218" s="23" t="n"/>
      <c r="O218" s="17" t="n"/>
      <c r="P218" s="24" t="n"/>
      <c r="Q218" s="17" t="n"/>
      <c r="R218" s="20">
        <f>IF(OR(N218="",P218=""),"",N218*P218*(1-IF(Q218="",0,Q218)/100))</f>
        <v/>
      </c>
      <c r="S218" s="17" t="n"/>
      <c r="T218" s="17" t="n"/>
      <c r="U218" s="17" t="n"/>
      <c r="V218" s="17" t="n"/>
      <c r="W218" s="10" t="n"/>
    </row>
    <row r="219">
      <c r="A219" s="17" t="n"/>
      <c r="B219" s="17" t="n"/>
      <c r="C219" s="17" t="n"/>
      <c r="D219" s="27" t="n"/>
      <c r="E219" s="27" t="n"/>
      <c r="F219" s="17" t="n"/>
      <c r="G219" s="17" t="n"/>
      <c r="H219" s="17" t="n"/>
      <c r="I219" s="17" t="n"/>
      <c r="J219" s="16" t="n"/>
      <c r="K219" s="17" t="n"/>
      <c r="L219" s="17" t="n"/>
      <c r="M219" s="10" t="n"/>
      <c r="N219" s="23" t="n"/>
      <c r="O219" s="17" t="n"/>
      <c r="P219" s="24" t="n"/>
      <c r="Q219" s="17" t="n"/>
      <c r="R219" s="20">
        <f>IF(OR(N219="",P219=""),"",N219*P219*(1-IF(Q219="",0,Q219)/100))</f>
        <v/>
      </c>
      <c r="S219" s="17" t="n"/>
      <c r="T219" s="17" t="n"/>
      <c r="U219" s="17" t="n"/>
      <c r="V219" s="17" t="n"/>
      <c r="W219" s="10" t="n"/>
    </row>
    <row r="220">
      <c r="A220" s="17" t="n"/>
      <c r="B220" s="17" t="n"/>
      <c r="C220" s="17" t="n"/>
      <c r="D220" s="27" t="n"/>
      <c r="E220" s="27" t="n"/>
      <c r="F220" s="17" t="n"/>
      <c r="G220" s="17" t="n"/>
      <c r="H220" s="17" t="n"/>
      <c r="I220" s="17" t="n"/>
      <c r="J220" s="16" t="n"/>
      <c r="K220" s="17" t="n"/>
      <c r="L220" s="17" t="n"/>
      <c r="M220" s="10" t="n"/>
      <c r="N220" s="23" t="n"/>
      <c r="O220" s="17" t="n"/>
      <c r="P220" s="24" t="n"/>
      <c r="Q220" s="17" t="n"/>
      <c r="R220" s="20">
        <f>IF(OR(N220="",P220=""),"",N220*P220*(1-IF(Q220="",0,Q220)/100))</f>
        <v/>
      </c>
      <c r="S220" s="17" t="n"/>
      <c r="T220" s="17" t="n"/>
      <c r="U220" s="17" t="n"/>
      <c r="V220" s="17" t="n"/>
      <c r="W220" s="10" t="n"/>
    </row>
    <row r="221">
      <c r="A221" s="17" t="n"/>
      <c r="B221" s="17" t="n"/>
      <c r="C221" s="17" t="n"/>
      <c r="D221" s="27" t="n"/>
      <c r="E221" s="27" t="n"/>
      <c r="F221" s="17" t="n"/>
      <c r="G221" s="17" t="n"/>
      <c r="H221" s="17" t="n"/>
      <c r="I221" s="17" t="n"/>
      <c r="J221" s="16" t="n"/>
      <c r="K221" s="17" t="n"/>
      <c r="L221" s="17" t="n"/>
      <c r="M221" s="10" t="n"/>
      <c r="N221" s="23" t="n"/>
      <c r="O221" s="17" t="n"/>
      <c r="P221" s="24" t="n"/>
      <c r="Q221" s="17" t="n"/>
      <c r="R221" s="20">
        <f>IF(OR(N221="",P221=""),"",N221*P221*(1-IF(Q221="",0,Q221)/100))</f>
        <v/>
      </c>
      <c r="S221" s="17" t="n"/>
      <c r="T221" s="17" t="n"/>
      <c r="U221" s="17" t="n"/>
      <c r="V221" s="17" t="n"/>
      <c r="W221" s="10" t="n"/>
    </row>
    <row r="222">
      <c r="A222" s="17" t="n"/>
      <c r="B222" s="17" t="n"/>
      <c r="C222" s="17" t="n"/>
      <c r="D222" s="27" t="n"/>
      <c r="E222" s="27" t="n"/>
      <c r="F222" s="17" t="n"/>
      <c r="G222" s="17" t="n"/>
      <c r="H222" s="17" t="n"/>
      <c r="I222" s="17" t="n"/>
      <c r="J222" s="16" t="n"/>
      <c r="K222" s="17" t="n"/>
      <c r="L222" s="17" t="n"/>
      <c r="M222" s="10" t="n"/>
      <c r="N222" s="23" t="n"/>
      <c r="O222" s="17" t="n"/>
      <c r="P222" s="24" t="n"/>
      <c r="Q222" s="17" t="n"/>
      <c r="R222" s="20">
        <f>IF(OR(N222="",P222=""),"",N222*P222*(1-IF(Q222="",0,Q222)/100))</f>
        <v/>
      </c>
      <c r="S222" s="17" t="n"/>
      <c r="T222" s="17" t="n"/>
      <c r="U222" s="17" t="n"/>
      <c r="V222" s="17" t="n"/>
      <c r="W222" s="10" t="n"/>
    </row>
    <row r="223">
      <c r="A223" s="17" t="n"/>
      <c r="B223" s="17" t="n"/>
      <c r="C223" s="17" t="n"/>
      <c r="D223" s="27" t="n"/>
      <c r="E223" s="27" t="n"/>
      <c r="F223" s="17" t="n"/>
      <c r="G223" s="17" t="n"/>
      <c r="H223" s="17" t="n"/>
      <c r="I223" s="17" t="n"/>
      <c r="J223" s="16" t="n"/>
      <c r="K223" s="17" t="n"/>
      <c r="L223" s="17" t="n"/>
      <c r="M223" s="10" t="n"/>
      <c r="N223" s="23" t="n"/>
      <c r="O223" s="17" t="n"/>
      <c r="P223" s="24" t="n"/>
      <c r="Q223" s="17" t="n"/>
      <c r="R223" s="20">
        <f>IF(OR(N223="",P223=""),"",N223*P223*(1-IF(Q223="",0,Q223)/100))</f>
        <v/>
      </c>
      <c r="S223" s="17" t="n"/>
      <c r="T223" s="17" t="n"/>
      <c r="U223" s="17" t="n"/>
      <c r="V223" s="17" t="n"/>
      <c r="W223" s="10" t="n"/>
    </row>
    <row r="224">
      <c r="A224" s="17" t="n"/>
      <c r="B224" s="17" t="n"/>
      <c r="C224" s="17" t="n"/>
      <c r="D224" s="27" t="n"/>
      <c r="E224" s="27" t="n"/>
      <c r="F224" s="17" t="n"/>
      <c r="G224" s="17" t="n"/>
      <c r="H224" s="17" t="n"/>
      <c r="I224" s="17" t="n"/>
      <c r="J224" s="16" t="n"/>
      <c r="K224" s="17" t="n"/>
      <c r="L224" s="17" t="n"/>
      <c r="M224" s="10" t="n"/>
      <c r="N224" s="23" t="n"/>
      <c r="O224" s="17" t="n"/>
      <c r="P224" s="24" t="n"/>
      <c r="Q224" s="17" t="n"/>
      <c r="R224" s="20">
        <f>IF(OR(N224="",P224=""),"",N224*P224*(1-IF(Q224="",0,Q224)/100))</f>
        <v/>
      </c>
      <c r="S224" s="17" t="n"/>
      <c r="T224" s="17" t="n"/>
      <c r="U224" s="17" t="n"/>
      <c r="V224" s="17" t="n"/>
      <c r="W224" s="10" t="n"/>
    </row>
    <row r="225">
      <c r="A225" s="17" t="n"/>
      <c r="B225" s="17" t="n"/>
      <c r="C225" s="17" t="n"/>
      <c r="D225" s="27" t="n"/>
      <c r="E225" s="27" t="n"/>
      <c r="F225" s="17" t="n"/>
      <c r="G225" s="17" t="n"/>
      <c r="H225" s="17" t="n"/>
      <c r="I225" s="17" t="n"/>
      <c r="J225" s="16" t="n"/>
      <c r="K225" s="17" t="n"/>
      <c r="L225" s="17" t="n"/>
      <c r="M225" s="10" t="n"/>
      <c r="N225" s="23" t="n"/>
      <c r="O225" s="17" t="n"/>
      <c r="P225" s="24" t="n"/>
      <c r="Q225" s="17" t="n"/>
      <c r="R225" s="20">
        <f>IF(OR(N225="",P225=""),"",N225*P225*(1-IF(Q225="",0,Q225)/100))</f>
        <v/>
      </c>
      <c r="S225" s="17" t="n"/>
      <c r="T225" s="17" t="n"/>
      <c r="U225" s="17" t="n"/>
      <c r="V225" s="17" t="n"/>
      <c r="W225" s="10" t="n"/>
    </row>
    <row r="226">
      <c r="A226" s="17" t="n"/>
      <c r="B226" s="17" t="n"/>
      <c r="C226" s="17" t="n"/>
      <c r="D226" s="27" t="n"/>
      <c r="E226" s="27" t="n"/>
      <c r="F226" s="17" t="n"/>
      <c r="G226" s="17" t="n"/>
      <c r="H226" s="17" t="n"/>
      <c r="I226" s="17" t="n"/>
      <c r="J226" s="16" t="n"/>
      <c r="K226" s="17" t="n"/>
      <c r="L226" s="17" t="n"/>
      <c r="M226" s="10" t="n"/>
      <c r="N226" s="23" t="n"/>
      <c r="O226" s="17" t="n"/>
      <c r="P226" s="24" t="n"/>
      <c r="Q226" s="17" t="n"/>
      <c r="R226" s="20">
        <f>IF(OR(N226="",P226=""),"",N226*P226*(1-IF(Q226="",0,Q226)/100))</f>
        <v/>
      </c>
      <c r="S226" s="17" t="n"/>
      <c r="T226" s="17" t="n"/>
      <c r="U226" s="17" t="n"/>
      <c r="V226" s="17" t="n"/>
      <c r="W226" s="10" t="n"/>
    </row>
    <row r="227">
      <c r="A227" s="17" t="n"/>
      <c r="B227" s="17" t="n"/>
      <c r="C227" s="17" t="n"/>
      <c r="D227" s="27" t="n"/>
      <c r="E227" s="27" t="n"/>
      <c r="F227" s="17" t="n"/>
      <c r="G227" s="17" t="n"/>
      <c r="H227" s="17" t="n"/>
      <c r="I227" s="17" t="n"/>
      <c r="J227" s="16" t="n"/>
      <c r="K227" s="17" t="n"/>
      <c r="L227" s="17" t="n"/>
      <c r="M227" s="10" t="n"/>
      <c r="N227" s="23" t="n"/>
      <c r="O227" s="17" t="n"/>
      <c r="P227" s="24" t="n"/>
      <c r="Q227" s="17" t="n"/>
      <c r="R227" s="20">
        <f>IF(OR(N227="",P227=""),"",N227*P227*(1-IF(Q227="",0,Q227)/100))</f>
        <v/>
      </c>
      <c r="S227" s="17" t="n"/>
      <c r="T227" s="17" t="n"/>
      <c r="U227" s="17" t="n"/>
      <c r="V227" s="17" t="n"/>
      <c r="W227" s="10" t="n"/>
    </row>
    <row r="228">
      <c r="A228" s="17" t="n"/>
      <c r="B228" s="17" t="n"/>
      <c r="C228" s="17" t="n"/>
      <c r="D228" s="27" t="n"/>
      <c r="E228" s="27" t="n"/>
      <c r="F228" s="17" t="n"/>
      <c r="G228" s="17" t="n"/>
      <c r="H228" s="17" t="n"/>
      <c r="I228" s="17" t="n"/>
      <c r="J228" s="16" t="n"/>
      <c r="K228" s="17" t="n"/>
      <c r="L228" s="17" t="n"/>
      <c r="M228" s="10" t="n"/>
      <c r="N228" s="23" t="n"/>
      <c r="O228" s="17" t="n"/>
      <c r="P228" s="24" t="n"/>
      <c r="Q228" s="17" t="n"/>
      <c r="R228" s="20">
        <f>IF(OR(N228="",P228=""),"",N228*P228*(1-IF(Q228="",0,Q228)/100))</f>
        <v/>
      </c>
      <c r="S228" s="17" t="n"/>
      <c r="T228" s="17" t="n"/>
      <c r="U228" s="17" t="n"/>
      <c r="V228" s="17" t="n"/>
      <c r="W228" s="10" t="n"/>
    </row>
    <row r="229">
      <c r="A229" s="17" t="n"/>
      <c r="B229" s="17" t="n"/>
      <c r="C229" s="17" t="n"/>
      <c r="D229" s="27" t="n"/>
      <c r="E229" s="27" t="n"/>
      <c r="F229" s="17" t="n"/>
      <c r="G229" s="17" t="n"/>
      <c r="H229" s="17" t="n"/>
      <c r="I229" s="17" t="n"/>
      <c r="J229" s="16" t="n"/>
      <c r="K229" s="17" t="n"/>
      <c r="L229" s="17" t="n"/>
      <c r="M229" s="10" t="n"/>
      <c r="N229" s="23" t="n"/>
      <c r="O229" s="17" t="n"/>
      <c r="P229" s="24" t="n"/>
      <c r="Q229" s="17" t="n"/>
      <c r="R229" s="20">
        <f>IF(OR(N229="",P229=""),"",N229*P229*(1-IF(Q229="",0,Q229)/100))</f>
        <v/>
      </c>
      <c r="S229" s="17" t="n"/>
      <c r="T229" s="17" t="n"/>
      <c r="U229" s="17" t="n"/>
      <c r="V229" s="17" t="n"/>
      <c r="W229" s="10" t="n"/>
    </row>
    <row r="230">
      <c r="A230" s="17" t="n"/>
      <c r="B230" s="17" t="n"/>
      <c r="C230" s="17" t="n"/>
      <c r="D230" s="27" t="n"/>
      <c r="E230" s="27" t="n"/>
      <c r="F230" s="17" t="n"/>
      <c r="G230" s="17" t="n"/>
      <c r="H230" s="17" t="n"/>
      <c r="I230" s="17" t="n"/>
      <c r="J230" s="16" t="n"/>
      <c r="K230" s="17" t="n"/>
      <c r="L230" s="17" t="n"/>
      <c r="M230" s="10" t="n"/>
      <c r="N230" s="23" t="n"/>
      <c r="O230" s="17" t="n"/>
      <c r="P230" s="24" t="n"/>
      <c r="Q230" s="17" t="n"/>
      <c r="R230" s="20">
        <f>IF(OR(N230="",P230=""),"",N230*P230*(1-IF(Q230="",0,Q230)/100))</f>
        <v/>
      </c>
      <c r="S230" s="17" t="n"/>
      <c r="T230" s="17" t="n"/>
      <c r="U230" s="17" t="n"/>
      <c r="V230" s="17" t="n"/>
      <c r="W230" s="10" t="n"/>
    </row>
    <row r="231">
      <c r="A231" s="17" t="n"/>
      <c r="B231" s="17" t="n"/>
      <c r="C231" s="17" t="n"/>
      <c r="D231" s="27" t="n"/>
      <c r="E231" s="27" t="n"/>
      <c r="F231" s="17" t="n"/>
      <c r="G231" s="17" t="n"/>
      <c r="H231" s="17" t="n"/>
      <c r="I231" s="17" t="n"/>
      <c r="J231" s="16" t="n"/>
      <c r="K231" s="17" t="n"/>
      <c r="L231" s="17" t="n"/>
      <c r="M231" s="10" t="n"/>
      <c r="N231" s="23" t="n"/>
      <c r="O231" s="17" t="n"/>
      <c r="P231" s="24" t="n"/>
      <c r="Q231" s="17" t="n"/>
      <c r="R231" s="20">
        <f>IF(OR(N231="",P231=""),"",N231*P231*(1-IF(Q231="",0,Q231)/100))</f>
        <v/>
      </c>
      <c r="S231" s="17" t="n"/>
      <c r="T231" s="17" t="n"/>
      <c r="U231" s="17" t="n"/>
      <c r="V231" s="17" t="n"/>
      <c r="W231" s="10" t="n"/>
    </row>
    <row r="232">
      <c r="A232" s="17" t="n"/>
      <c r="B232" s="17" t="n"/>
      <c r="C232" s="17" t="n"/>
      <c r="D232" s="27" t="n"/>
      <c r="E232" s="27" t="n"/>
      <c r="F232" s="17" t="n"/>
      <c r="G232" s="17" t="n"/>
      <c r="H232" s="17" t="n"/>
      <c r="I232" s="17" t="n"/>
      <c r="J232" s="16" t="n"/>
      <c r="K232" s="17" t="n"/>
      <c r="L232" s="17" t="n"/>
      <c r="M232" s="10" t="n"/>
      <c r="N232" s="23" t="n"/>
      <c r="O232" s="17" t="n"/>
      <c r="P232" s="24" t="n"/>
      <c r="Q232" s="17" t="n"/>
      <c r="R232" s="20">
        <f>IF(OR(N232="",P232=""),"",N232*P232*(1-IF(Q232="",0,Q232)/100))</f>
        <v/>
      </c>
      <c r="S232" s="17" t="n"/>
      <c r="T232" s="17" t="n"/>
      <c r="U232" s="17" t="n"/>
      <c r="V232" s="17" t="n"/>
      <c r="W232" s="10" t="n"/>
    </row>
    <row r="233">
      <c r="A233" s="17" t="n"/>
      <c r="B233" s="17" t="n"/>
      <c r="C233" s="17" t="n"/>
      <c r="D233" s="27" t="n"/>
      <c r="E233" s="27" t="n"/>
      <c r="F233" s="17" t="n"/>
      <c r="G233" s="17" t="n"/>
      <c r="H233" s="17" t="n"/>
      <c r="I233" s="17" t="n"/>
      <c r="J233" s="16" t="n"/>
      <c r="K233" s="17" t="n"/>
      <c r="L233" s="17" t="n"/>
      <c r="M233" s="10" t="n"/>
      <c r="N233" s="23" t="n"/>
      <c r="O233" s="17" t="n"/>
      <c r="P233" s="24" t="n"/>
      <c r="Q233" s="17" t="n"/>
      <c r="R233" s="20">
        <f>IF(OR(N233="",P233=""),"",N233*P233*(1-IF(Q233="",0,Q233)/100))</f>
        <v/>
      </c>
      <c r="S233" s="17" t="n"/>
      <c r="T233" s="17" t="n"/>
      <c r="U233" s="17" t="n"/>
      <c r="V233" s="17" t="n"/>
      <c r="W233" s="10" t="n"/>
    </row>
    <row r="234">
      <c r="A234" s="17" t="n"/>
      <c r="B234" s="17" t="n"/>
      <c r="C234" s="17" t="n"/>
      <c r="D234" s="27" t="n"/>
      <c r="E234" s="27" t="n"/>
      <c r="F234" s="17" t="n"/>
      <c r="G234" s="17" t="n"/>
      <c r="H234" s="17" t="n"/>
      <c r="I234" s="17" t="n"/>
      <c r="J234" s="16" t="n"/>
      <c r="K234" s="17" t="n"/>
      <c r="L234" s="17" t="n"/>
      <c r="M234" s="10" t="n"/>
      <c r="N234" s="23" t="n"/>
      <c r="O234" s="17" t="n"/>
      <c r="P234" s="24" t="n"/>
      <c r="Q234" s="17" t="n"/>
      <c r="R234" s="20">
        <f>IF(OR(N234="",P234=""),"",N234*P234*(1-IF(Q234="",0,Q234)/100))</f>
        <v/>
      </c>
      <c r="S234" s="17" t="n"/>
      <c r="T234" s="17" t="n"/>
      <c r="U234" s="17" t="n"/>
      <c r="V234" s="17" t="n"/>
      <c r="W234" s="10" t="n"/>
    </row>
    <row r="235">
      <c r="A235" s="17" t="n"/>
      <c r="B235" s="17" t="n"/>
      <c r="C235" s="17" t="n"/>
      <c r="D235" s="27" t="n"/>
      <c r="E235" s="27" t="n"/>
      <c r="F235" s="17" t="n"/>
      <c r="G235" s="17" t="n"/>
      <c r="H235" s="17" t="n"/>
      <c r="I235" s="17" t="n"/>
      <c r="J235" s="16" t="n"/>
      <c r="K235" s="17" t="n"/>
      <c r="L235" s="17" t="n"/>
      <c r="M235" s="10" t="n"/>
      <c r="N235" s="23" t="n"/>
      <c r="O235" s="17" t="n"/>
      <c r="P235" s="24" t="n"/>
      <c r="Q235" s="17" t="n"/>
      <c r="R235" s="20">
        <f>IF(OR(N235="",P235=""),"",N235*P235*(1-IF(Q235="",0,Q235)/100))</f>
        <v/>
      </c>
      <c r="S235" s="17" t="n"/>
      <c r="T235" s="17" t="n"/>
      <c r="U235" s="17" t="n"/>
      <c r="V235" s="17" t="n"/>
      <c r="W235" s="10" t="n"/>
    </row>
    <row r="236">
      <c r="A236" s="17" t="n"/>
      <c r="B236" s="17" t="n"/>
      <c r="C236" s="17" t="n"/>
      <c r="D236" s="27" t="n"/>
      <c r="E236" s="27" t="n"/>
      <c r="F236" s="17" t="n"/>
      <c r="G236" s="17" t="n"/>
      <c r="H236" s="17" t="n"/>
      <c r="I236" s="17" t="n"/>
      <c r="J236" s="16" t="n"/>
      <c r="K236" s="17" t="n"/>
      <c r="L236" s="17" t="n"/>
      <c r="M236" s="10" t="n"/>
      <c r="N236" s="23" t="n"/>
      <c r="O236" s="17" t="n"/>
      <c r="P236" s="24" t="n"/>
      <c r="Q236" s="17" t="n"/>
      <c r="R236" s="20">
        <f>IF(OR(N236="",P236=""),"",N236*P236*(1-IF(Q236="",0,Q236)/100))</f>
        <v/>
      </c>
      <c r="S236" s="17" t="n"/>
      <c r="T236" s="17" t="n"/>
      <c r="U236" s="17" t="n"/>
      <c r="V236" s="17" t="n"/>
      <c r="W236" s="10" t="n"/>
    </row>
    <row r="237">
      <c r="A237" s="17" t="n"/>
      <c r="B237" s="17" t="n"/>
      <c r="C237" s="17" t="n"/>
      <c r="D237" s="27" t="n"/>
      <c r="E237" s="27" t="n"/>
      <c r="F237" s="17" t="n"/>
      <c r="G237" s="17" t="n"/>
      <c r="H237" s="17" t="n"/>
      <c r="I237" s="17" t="n"/>
      <c r="J237" s="16" t="n"/>
      <c r="K237" s="17" t="n"/>
      <c r="L237" s="17" t="n"/>
      <c r="M237" s="10" t="n"/>
      <c r="N237" s="23" t="n"/>
      <c r="O237" s="17" t="n"/>
      <c r="P237" s="24" t="n"/>
      <c r="Q237" s="17" t="n"/>
      <c r="R237" s="20">
        <f>IF(OR(N237="",P237=""),"",N237*P237*(1-IF(Q237="",0,Q237)/100))</f>
        <v/>
      </c>
      <c r="S237" s="17" t="n"/>
      <c r="T237" s="17" t="n"/>
      <c r="U237" s="17" t="n"/>
      <c r="V237" s="17" t="n"/>
      <c r="W237" s="10" t="n"/>
    </row>
    <row r="238">
      <c r="A238" s="17" t="n"/>
      <c r="B238" s="17" t="n"/>
      <c r="C238" s="17" t="n"/>
      <c r="D238" s="27" t="n"/>
      <c r="E238" s="27" t="n"/>
      <c r="F238" s="17" t="n"/>
      <c r="G238" s="17" t="n"/>
      <c r="H238" s="17" t="n"/>
      <c r="I238" s="17" t="n"/>
      <c r="J238" s="16" t="n"/>
      <c r="K238" s="17" t="n"/>
      <c r="L238" s="17" t="n"/>
      <c r="M238" s="10" t="n"/>
      <c r="N238" s="23" t="n"/>
      <c r="O238" s="17" t="n"/>
      <c r="P238" s="24" t="n"/>
      <c r="Q238" s="17" t="n"/>
      <c r="R238" s="20">
        <f>IF(OR(N238="",P238=""),"",N238*P238*(1-IF(Q238="",0,Q238)/100))</f>
        <v/>
      </c>
      <c r="S238" s="17" t="n"/>
      <c r="T238" s="17" t="n"/>
      <c r="U238" s="17" t="n"/>
      <c r="V238" s="17" t="n"/>
      <c r="W238" s="10" t="n"/>
    </row>
    <row r="239">
      <c r="A239" s="17" t="n"/>
      <c r="B239" s="17" t="n"/>
      <c r="C239" s="17" t="n"/>
      <c r="D239" s="27" t="n"/>
      <c r="E239" s="27" t="n"/>
      <c r="F239" s="17" t="n"/>
      <c r="G239" s="17" t="n"/>
      <c r="H239" s="17" t="n"/>
      <c r="I239" s="17" t="n"/>
      <c r="J239" s="16" t="n"/>
      <c r="K239" s="17" t="n"/>
      <c r="L239" s="17" t="n"/>
      <c r="M239" s="10" t="n"/>
      <c r="N239" s="23" t="n"/>
      <c r="O239" s="17" t="n"/>
      <c r="P239" s="24" t="n"/>
      <c r="Q239" s="17" t="n"/>
      <c r="R239" s="20">
        <f>IF(OR(N239="",P239=""),"",N239*P239*(1-IF(Q239="",0,Q239)/100))</f>
        <v/>
      </c>
      <c r="S239" s="17" t="n"/>
      <c r="T239" s="17" t="n"/>
      <c r="U239" s="17" t="n"/>
      <c r="V239" s="17" t="n"/>
      <c r="W239" s="10" t="n"/>
    </row>
    <row r="240">
      <c r="A240" s="17" t="n"/>
      <c r="B240" s="17" t="n"/>
      <c r="C240" s="17" t="n"/>
      <c r="D240" s="27" t="n"/>
      <c r="E240" s="27" t="n"/>
      <c r="F240" s="17" t="n"/>
      <c r="G240" s="17" t="n"/>
      <c r="H240" s="17" t="n"/>
      <c r="I240" s="17" t="n"/>
      <c r="J240" s="16" t="n"/>
      <c r="K240" s="17" t="n"/>
      <c r="L240" s="17" t="n"/>
      <c r="M240" s="10" t="n"/>
      <c r="N240" s="23" t="n"/>
      <c r="O240" s="17" t="n"/>
      <c r="P240" s="24" t="n"/>
      <c r="Q240" s="17" t="n"/>
      <c r="R240" s="20">
        <f>IF(OR(N240="",P240=""),"",N240*P240*(1-IF(Q240="",0,Q240)/100))</f>
        <v/>
      </c>
      <c r="S240" s="17" t="n"/>
      <c r="T240" s="17" t="n"/>
      <c r="U240" s="17" t="n"/>
      <c r="V240" s="17" t="n"/>
      <c r="W240" s="10" t="n"/>
    </row>
    <row r="241">
      <c r="A241" s="17" t="n"/>
      <c r="B241" s="17" t="n"/>
      <c r="C241" s="17" t="n"/>
      <c r="D241" s="27" t="n"/>
      <c r="E241" s="27" t="n"/>
      <c r="F241" s="17" t="n"/>
      <c r="G241" s="17" t="n"/>
      <c r="H241" s="17" t="n"/>
      <c r="I241" s="17" t="n"/>
      <c r="J241" s="16" t="n"/>
      <c r="K241" s="17" t="n"/>
      <c r="L241" s="17" t="n"/>
      <c r="M241" s="10" t="n"/>
      <c r="N241" s="23" t="n"/>
      <c r="O241" s="17" t="n"/>
      <c r="P241" s="24" t="n"/>
      <c r="Q241" s="17" t="n"/>
      <c r="R241" s="20">
        <f>IF(OR(N241="",P241=""),"",N241*P241*(1-IF(Q241="",0,Q241)/100))</f>
        <v/>
      </c>
      <c r="S241" s="17" t="n"/>
      <c r="T241" s="17" t="n"/>
      <c r="U241" s="17" t="n"/>
      <c r="V241" s="17" t="n"/>
      <c r="W241" s="10" t="n"/>
    </row>
    <row r="242">
      <c r="A242" s="17" t="n"/>
      <c r="B242" s="17" t="n"/>
      <c r="C242" s="17" t="n"/>
      <c r="D242" s="27" t="n"/>
      <c r="E242" s="27" t="n"/>
      <c r="F242" s="17" t="n"/>
      <c r="G242" s="17" t="n"/>
      <c r="H242" s="17" t="n"/>
      <c r="I242" s="17" t="n"/>
      <c r="J242" s="16" t="n"/>
      <c r="K242" s="17" t="n"/>
      <c r="L242" s="17" t="n"/>
      <c r="M242" s="10" t="n"/>
      <c r="N242" s="23" t="n"/>
      <c r="O242" s="17" t="n"/>
      <c r="P242" s="24" t="n"/>
      <c r="Q242" s="17" t="n"/>
      <c r="R242" s="20">
        <f>IF(OR(N242="",P242=""),"",N242*P242*(1-IF(Q242="",0,Q242)/100))</f>
        <v/>
      </c>
      <c r="S242" s="17" t="n"/>
      <c r="T242" s="17" t="n"/>
      <c r="U242" s="17" t="n"/>
      <c r="V242" s="17" t="n"/>
      <c r="W242" s="10" t="n"/>
    </row>
    <row r="243">
      <c r="A243" s="17" t="n"/>
      <c r="B243" s="17" t="n"/>
      <c r="C243" s="17" t="n"/>
      <c r="D243" s="27" t="n"/>
      <c r="E243" s="27" t="n"/>
      <c r="F243" s="17" t="n"/>
      <c r="G243" s="17" t="n"/>
      <c r="H243" s="17" t="n"/>
      <c r="I243" s="17" t="n"/>
      <c r="J243" s="16" t="n"/>
      <c r="K243" s="17" t="n"/>
      <c r="L243" s="17" t="n"/>
      <c r="M243" s="10" t="n"/>
      <c r="N243" s="23" t="n"/>
      <c r="O243" s="17" t="n"/>
      <c r="P243" s="24" t="n"/>
      <c r="Q243" s="17" t="n"/>
      <c r="R243" s="20">
        <f>IF(OR(N243="",P243=""),"",N243*P243*(1-IF(Q243="",0,Q243)/100))</f>
        <v/>
      </c>
      <c r="S243" s="17" t="n"/>
      <c r="T243" s="17" t="n"/>
      <c r="U243" s="17" t="n"/>
      <c r="V243" s="17" t="n"/>
      <c r="W243" s="10" t="n"/>
    </row>
    <row r="244">
      <c r="A244" s="17" t="n"/>
      <c r="B244" s="17" t="n"/>
      <c r="C244" s="17" t="n"/>
      <c r="D244" s="27" t="n"/>
      <c r="E244" s="27" t="n"/>
      <c r="F244" s="17" t="n"/>
      <c r="G244" s="17" t="n"/>
      <c r="H244" s="17" t="n"/>
      <c r="I244" s="17" t="n"/>
      <c r="J244" s="16" t="n"/>
      <c r="K244" s="17" t="n"/>
      <c r="L244" s="17" t="n"/>
      <c r="M244" s="10" t="n"/>
      <c r="N244" s="23" t="n"/>
      <c r="O244" s="17" t="n"/>
      <c r="P244" s="24" t="n"/>
      <c r="Q244" s="17" t="n"/>
      <c r="R244" s="20">
        <f>IF(OR(N244="",P244=""),"",N244*P244*(1-IF(Q244="",0,Q244)/100))</f>
        <v/>
      </c>
      <c r="S244" s="17" t="n"/>
      <c r="T244" s="17" t="n"/>
      <c r="U244" s="17" t="n"/>
      <c r="V244" s="17" t="n"/>
      <c r="W244" s="10" t="n"/>
    </row>
    <row r="245">
      <c r="A245" s="17" t="n"/>
      <c r="B245" s="17" t="n"/>
      <c r="C245" s="17" t="n"/>
      <c r="D245" s="27" t="n"/>
      <c r="E245" s="27" t="n"/>
      <c r="F245" s="17" t="n"/>
      <c r="G245" s="17" t="n"/>
      <c r="H245" s="17" t="n"/>
      <c r="I245" s="17" t="n"/>
      <c r="J245" s="16" t="n"/>
      <c r="K245" s="17" t="n"/>
      <c r="L245" s="17" t="n"/>
      <c r="M245" s="10" t="n"/>
      <c r="N245" s="23" t="n"/>
      <c r="O245" s="17" t="n"/>
      <c r="P245" s="24" t="n"/>
      <c r="Q245" s="17" t="n"/>
      <c r="R245" s="20">
        <f>IF(OR(N245="",P245=""),"",N245*P245*(1-IF(Q245="",0,Q245)/100))</f>
        <v/>
      </c>
      <c r="S245" s="17" t="n"/>
      <c r="T245" s="17" t="n"/>
      <c r="U245" s="17" t="n"/>
      <c r="V245" s="17" t="n"/>
      <c r="W245" s="10" t="n"/>
    </row>
    <row r="246">
      <c r="A246" s="17" t="n"/>
      <c r="B246" s="17" t="n"/>
      <c r="C246" s="17" t="n"/>
      <c r="D246" s="27" t="n"/>
      <c r="E246" s="27" t="n"/>
      <c r="F246" s="17" t="n"/>
      <c r="G246" s="17" t="n"/>
      <c r="H246" s="17" t="n"/>
      <c r="I246" s="17" t="n"/>
      <c r="J246" s="16" t="n"/>
      <c r="K246" s="17" t="n"/>
      <c r="L246" s="17" t="n"/>
      <c r="M246" s="10" t="n"/>
      <c r="N246" s="23" t="n"/>
      <c r="O246" s="17" t="n"/>
      <c r="P246" s="24" t="n"/>
      <c r="Q246" s="17" t="n"/>
      <c r="R246" s="20">
        <f>IF(OR(N246="",P246=""),"",N246*P246*(1-IF(Q246="",0,Q246)/100))</f>
        <v/>
      </c>
      <c r="S246" s="17" t="n"/>
      <c r="T246" s="17" t="n"/>
      <c r="U246" s="17" t="n"/>
      <c r="V246" s="17" t="n"/>
      <c r="W246" s="10" t="n"/>
    </row>
    <row r="247">
      <c r="A247" s="17" t="n"/>
      <c r="B247" s="17" t="n"/>
      <c r="C247" s="17" t="n"/>
      <c r="D247" s="27" t="n"/>
      <c r="E247" s="27" t="n"/>
      <c r="F247" s="17" t="n"/>
      <c r="G247" s="17" t="n"/>
      <c r="H247" s="17" t="n"/>
      <c r="I247" s="17" t="n"/>
      <c r="J247" s="16" t="n"/>
      <c r="K247" s="17" t="n"/>
      <c r="L247" s="17" t="n"/>
      <c r="M247" s="10" t="n"/>
      <c r="N247" s="23" t="n"/>
      <c r="O247" s="17" t="n"/>
      <c r="P247" s="24" t="n"/>
      <c r="Q247" s="17" t="n"/>
      <c r="R247" s="20">
        <f>IF(OR(N247="",P247=""),"",N247*P247*(1-IF(Q247="",0,Q247)/100))</f>
        <v/>
      </c>
      <c r="S247" s="17" t="n"/>
      <c r="T247" s="17" t="n"/>
      <c r="U247" s="17" t="n"/>
      <c r="V247" s="17" t="n"/>
      <c r="W247" s="10" t="n"/>
    </row>
    <row r="248">
      <c r="A248" s="17" t="n"/>
      <c r="B248" s="17" t="n"/>
      <c r="C248" s="17" t="n"/>
      <c r="D248" s="27" t="n"/>
      <c r="E248" s="27" t="n"/>
      <c r="F248" s="17" t="n"/>
      <c r="G248" s="17" t="n"/>
      <c r="H248" s="17" t="n"/>
      <c r="I248" s="17" t="n"/>
      <c r="J248" s="16" t="n"/>
      <c r="K248" s="17" t="n"/>
      <c r="L248" s="17" t="n"/>
      <c r="M248" s="10" t="n"/>
      <c r="N248" s="23" t="n"/>
      <c r="O248" s="17" t="n"/>
      <c r="P248" s="24" t="n"/>
      <c r="Q248" s="17" t="n"/>
      <c r="R248" s="20">
        <f>IF(OR(N248="",P248=""),"",N248*P248*(1-IF(Q248="",0,Q248)/100))</f>
        <v/>
      </c>
      <c r="S248" s="17" t="n"/>
      <c r="T248" s="17" t="n"/>
      <c r="U248" s="17" t="n"/>
      <c r="V248" s="17" t="n"/>
      <c r="W248" s="10" t="n"/>
    </row>
    <row r="249">
      <c r="A249" s="17" t="n"/>
      <c r="B249" s="17" t="n"/>
      <c r="C249" s="17" t="n"/>
      <c r="D249" s="27" t="n"/>
      <c r="E249" s="27" t="n"/>
      <c r="F249" s="17" t="n"/>
      <c r="G249" s="17" t="n"/>
      <c r="H249" s="17" t="n"/>
      <c r="I249" s="17" t="n"/>
      <c r="J249" s="16" t="n"/>
      <c r="K249" s="17" t="n"/>
      <c r="L249" s="17" t="n"/>
      <c r="M249" s="10" t="n"/>
      <c r="N249" s="23" t="n"/>
      <c r="O249" s="17" t="n"/>
      <c r="P249" s="24" t="n"/>
      <c r="Q249" s="17" t="n"/>
      <c r="R249" s="20">
        <f>IF(OR(N249="",P249=""),"",N249*P249*(1-IF(Q249="",0,Q249)/100))</f>
        <v/>
      </c>
      <c r="S249" s="17" t="n"/>
      <c r="T249" s="17" t="n"/>
      <c r="U249" s="17" t="n"/>
      <c r="V249" s="17" t="n"/>
      <c r="W249" s="10" t="n"/>
    </row>
    <row r="250">
      <c r="A250" s="17" t="n"/>
      <c r="B250" s="17" t="n"/>
      <c r="C250" s="17" t="n"/>
      <c r="D250" s="27" t="n"/>
      <c r="E250" s="27" t="n"/>
      <c r="F250" s="17" t="n"/>
      <c r="G250" s="17" t="n"/>
      <c r="H250" s="17" t="n"/>
      <c r="I250" s="17" t="n"/>
      <c r="J250" s="16" t="n"/>
      <c r="K250" s="17" t="n"/>
      <c r="L250" s="17" t="n"/>
      <c r="M250" s="10" t="n"/>
      <c r="N250" s="23" t="n"/>
      <c r="O250" s="17" t="n"/>
      <c r="P250" s="24" t="n"/>
      <c r="Q250" s="17" t="n"/>
      <c r="R250" s="20">
        <f>IF(OR(N250="",P250=""),"",N250*P250*(1-IF(Q250="",0,Q250)/100))</f>
        <v/>
      </c>
      <c r="S250" s="17" t="n"/>
      <c r="T250" s="17" t="n"/>
      <c r="U250" s="17" t="n"/>
      <c r="V250" s="17" t="n"/>
      <c r="W250" s="10" t="n"/>
    </row>
    <row r="251">
      <c r="A251" s="17" t="n"/>
      <c r="B251" s="17" t="n"/>
      <c r="C251" s="17" t="n"/>
      <c r="D251" s="27" t="n"/>
      <c r="E251" s="27" t="n"/>
      <c r="F251" s="17" t="n"/>
      <c r="G251" s="17" t="n"/>
      <c r="H251" s="17" t="n"/>
      <c r="I251" s="17" t="n"/>
      <c r="J251" s="16" t="n"/>
      <c r="K251" s="17" t="n"/>
      <c r="L251" s="17" t="n"/>
      <c r="M251" s="10" t="n"/>
      <c r="N251" s="23" t="n"/>
      <c r="O251" s="17" t="n"/>
      <c r="P251" s="24" t="n"/>
      <c r="Q251" s="17" t="n"/>
      <c r="R251" s="20">
        <f>IF(OR(N251="",P251=""),"",N251*P251*(1-IF(Q251="",0,Q251)/100))</f>
        <v/>
      </c>
      <c r="S251" s="17" t="n"/>
      <c r="T251" s="17" t="n"/>
      <c r="U251" s="17" t="n"/>
      <c r="V251" s="17" t="n"/>
      <c r="W251" s="10" t="n"/>
    </row>
    <row r="252">
      <c r="A252" s="17" t="n"/>
      <c r="B252" s="17" t="n"/>
      <c r="C252" s="17" t="n"/>
      <c r="D252" s="27" t="n"/>
      <c r="E252" s="27" t="n"/>
      <c r="F252" s="17" t="n"/>
      <c r="G252" s="17" t="n"/>
      <c r="H252" s="17" t="n"/>
      <c r="I252" s="17" t="n"/>
      <c r="J252" s="16" t="n"/>
      <c r="K252" s="17" t="n"/>
      <c r="L252" s="17" t="n"/>
      <c r="M252" s="10" t="n"/>
      <c r="N252" s="23" t="n"/>
      <c r="O252" s="17" t="n"/>
      <c r="P252" s="24" t="n"/>
      <c r="Q252" s="17" t="n"/>
      <c r="R252" s="20">
        <f>IF(OR(N252="",P252=""),"",N252*P252*(1-IF(Q252="",0,Q252)/100))</f>
        <v/>
      </c>
      <c r="S252" s="17" t="n"/>
      <c r="T252" s="17" t="n"/>
      <c r="U252" s="17" t="n"/>
      <c r="V252" s="17" t="n"/>
      <c r="W252" s="10" t="n"/>
    </row>
    <row r="253">
      <c r="A253" s="17" t="n"/>
      <c r="B253" s="17" t="n"/>
      <c r="C253" s="17" t="n"/>
      <c r="D253" s="27" t="n"/>
      <c r="E253" s="27" t="n"/>
      <c r="F253" s="17" t="n"/>
      <c r="G253" s="17" t="n"/>
      <c r="H253" s="17" t="n"/>
      <c r="I253" s="17" t="n"/>
      <c r="J253" s="16" t="n"/>
      <c r="K253" s="17" t="n"/>
      <c r="L253" s="17" t="n"/>
      <c r="M253" s="10" t="n"/>
      <c r="N253" s="23" t="n"/>
      <c r="O253" s="17" t="n"/>
      <c r="P253" s="24" t="n"/>
      <c r="Q253" s="17" t="n"/>
      <c r="R253" s="20">
        <f>IF(OR(N253="",P253=""),"",N253*P253*(1-IF(Q253="",0,Q253)/100))</f>
        <v/>
      </c>
      <c r="S253" s="17" t="n"/>
      <c r="T253" s="17" t="n"/>
      <c r="U253" s="17" t="n"/>
      <c r="V253" s="17" t="n"/>
      <c r="W253" s="10" t="n"/>
    </row>
    <row r="254">
      <c r="A254" s="17" t="n"/>
      <c r="B254" s="17" t="n"/>
      <c r="C254" s="17" t="n"/>
      <c r="D254" s="27" t="n"/>
      <c r="E254" s="27" t="n"/>
      <c r="F254" s="17" t="n"/>
      <c r="G254" s="17" t="n"/>
      <c r="H254" s="17" t="n"/>
      <c r="I254" s="17" t="n"/>
      <c r="J254" s="16" t="n"/>
      <c r="K254" s="17" t="n"/>
      <c r="L254" s="17" t="n"/>
      <c r="M254" s="10" t="n"/>
      <c r="N254" s="23" t="n"/>
      <c r="O254" s="17" t="n"/>
      <c r="P254" s="24" t="n"/>
      <c r="Q254" s="17" t="n"/>
      <c r="R254" s="20">
        <f>IF(OR(N254="",P254=""),"",N254*P254*(1-IF(Q254="",0,Q254)/100))</f>
        <v/>
      </c>
      <c r="S254" s="17" t="n"/>
      <c r="T254" s="17" t="n"/>
      <c r="U254" s="17" t="n"/>
      <c r="V254" s="17" t="n"/>
      <c r="W254" s="10" t="n"/>
    </row>
    <row r="255">
      <c r="A255" s="17" t="n"/>
      <c r="B255" s="17" t="n"/>
      <c r="C255" s="17" t="n"/>
      <c r="D255" s="27" t="n"/>
      <c r="E255" s="27" t="n"/>
      <c r="F255" s="17" t="n"/>
      <c r="G255" s="17" t="n"/>
      <c r="H255" s="17" t="n"/>
      <c r="I255" s="17" t="n"/>
      <c r="J255" s="16" t="n"/>
      <c r="K255" s="17" t="n"/>
      <c r="L255" s="17" t="n"/>
      <c r="M255" s="10" t="n"/>
      <c r="N255" s="23" t="n"/>
      <c r="O255" s="17" t="n"/>
      <c r="P255" s="24" t="n"/>
      <c r="Q255" s="17" t="n"/>
      <c r="R255" s="20">
        <f>IF(OR(N255="",P255=""),"",N255*P255*(1-IF(Q255="",0,Q255)/100))</f>
        <v/>
      </c>
      <c r="S255" s="17" t="n"/>
      <c r="T255" s="17" t="n"/>
      <c r="U255" s="17" t="n"/>
      <c r="V255" s="17" t="n"/>
      <c r="W255" s="10" t="n"/>
    </row>
    <row r="256">
      <c r="A256" s="17" t="n"/>
      <c r="B256" s="17" t="n"/>
      <c r="C256" s="17" t="n"/>
      <c r="D256" s="27" t="n"/>
      <c r="E256" s="27" t="n"/>
      <c r="F256" s="17" t="n"/>
      <c r="G256" s="17" t="n"/>
      <c r="H256" s="17" t="n"/>
      <c r="I256" s="17" t="n"/>
      <c r="J256" s="16" t="n"/>
      <c r="K256" s="17" t="n"/>
      <c r="L256" s="17" t="n"/>
      <c r="M256" s="10" t="n"/>
      <c r="N256" s="23" t="n"/>
      <c r="O256" s="17" t="n"/>
      <c r="P256" s="24" t="n"/>
      <c r="Q256" s="17" t="n"/>
      <c r="R256" s="20">
        <f>IF(OR(N256="",P256=""),"",N256*P256*(1-IF(Q256="",0,Q256)/100))</f>
        <v/>
      </c>
      <c r="S256" s="17" t="n"/>
      <c r="T256" s="17" t="n"/>
      <c r="U256" s="17" t="n"/>
      <c r="V256" s="17" t="n"/>
      <c r="W256" s="10" t="n"/>
    </row>
    <row r="257">
      <c r="A257" s="17" t="n"/>
      <c r="B257" s="17" t="n"/>
      <c r="C257" s="17" t="n"/>
      <c r="D257" s="27" t="n"/>
      <c r="E257" s="27" t="n"/>
      <c r="F257" s="17" t="n"/>
      <c r="G257" s="17" t="n"/>
      <c r="H257" s="17" t="n"/>
      <c r="I257" s="17" t="n"/>
      <c r="J257" s="16" t="n"/>
      <c r="K257" s="17" t="n"/>
      <c r="L257" s="17" t="n"/>
      <c r="M257" s="10" t="n"/>
      <c r="N257" s="23" t="n"/>
      <c r="O257" s="17" t="n"/>
      <c r="P257" s="24" t="n"/>
      <c r="Q257" s="17" t="n"/>
      <c r="R257" s="20">
        <f>IF(OR(N257="",P257=""),"",N257*P257*(1-IF(Q257="",0,Q257)/100))</f>
        <v/>
      </c>
      <c r="S257" s="17" t="n"/>
      <c r="T257" s="17" t="n"/>
      <c r="U257" s="17" t="n"/>
      <c r="V257" s="17" t="n"/>
      <c r="W257" s="10" t="n"/>
    </row>
    <row r="258">
      <c r="A258" s="17" t="n"/>
      <c r="B258" s="17" t="n"/>
      <c r="C258" s="17" t="n"/>
      <c r="D258" s="27" t="n"/>
      <c r="E258" s="27" t="n"/>
      <c r="F258" s="17" t="n"/>
      <c r="G258" s="17" t="n"/>
      <c r="H258" s="17" t="n"/>
      <c r="I258" s="17" t="n"/>
      <c r="J258" s="16" t="n"/>
      <c r="K258" s="17" t="n"/>
      <c r="L258" s="17" t="n"/>
      <c r="M258" s="10" t="n"/>
      <c r="N258" s="23" t="n"/>
      <c r="O258" s="17" t="n"/>
      <c r="P258" s="24" t="n"/>
      <c r="Q258" s="17" t="n"/>
      <c r="R258" s="20">
        <f>IF(OR(N258="",P258=""),"",N258*P258*(1-IF(Q258="",0,Q258)/100))</f>
        <v/>
      </c>
      <c r="S258" s="17" t="n"/>
      <c r="T258" s="17" t="n"/>
      <c r="U258" s="17" t="n"/>
      <c r="V258" s="17" t="n"/>
      <c r="W258" s="10" t="n"/>
    </row>
    <row r="259">
      <c r="A259" s="17" t="n"/>
      <c r="B259" s="17" t="n"/>
      <c r="C259" s="17" t="n"/>
      <c r="D259" s="27" t="n"/>
      <c r="E259" s="27" t="n"/>
      <c r="F259" s="17" t="n"/>
      <c r="G259" s="17" t="n"/>
      <c r="H259" s="17" t="n"/>
      <c r="I259" s="17" t="n"/>
      <c r="J259" s="16" t="n"/>
      <c r="K259" s="17" t="n"/>
      <c r="L259" s="17" t="n"/>
      <c r="M259" s="10" t="n"/>
      <c r="N259" s="23" t="n"/>
      <c r="O259" s="17" t="n"/>
      <c r="P259" s="24" t="n"/>
      <c r="Q259" s="17" t="n"/>
      <c r="R259" s="20">
        <f>IF(OR(N259="",P259=""),"",N259*P259*(1-IF(Q259="",0,Q259)/100))</f>
        <v/>
      </c>
      <c r="S259" s="17" t="n"/>
      <c r="T259" s="17" t="n"/>
      <c r="U259" s="17" t="n"/>
      <c r="V259" s="17" t="n"/>
      <c r="W259" s="10" t="n"/>
    </row>
    <row r="260">
      <c r="A260" s="17" t="n"/>
      <c r="B260" s="17" t="n"/>
      <c r="C260" s="17" t="n"/>
      <c r="D260" s="27" t="n"/>
      <c r="E260" s="27" t="n"/>
      <c r="F260" s="17" t="n"/>
      <c r="G260" s="17" t="n"/>
      <c r="H260" s="17" t="n"/>
      <c r="I260" s="17" t="n"/>
      <c r="J260" s="16" t="n"/>
      <c r="K260" s="17" t="n"/>
      <c r="L260" s="17" t="n"/>
      <c r="M260" s="10" t="n"/>
      <c r="N260" s="23" t="n"/>
      <c r="O260" s="17" t="n"/>
      <c r="P260" s="24" t="n"/>
      <c r="Q260" s="17" t="n"/>
      <c r="R260" s="20">
        <f>IF(OR(N260="",P260=""),"",N260*P260*(1-IF(Q260="",0,Q260)/100))</f>
        <v/>
      </c>
      <c r="S260" s="17" t="n"/>
      <c r="T260" s="17" t="n"/>
      <c r="U260" s="17" t="n"/>
      <c r="V260" s="17" t="n"/>
      <c r="W260" s="10" t="n"/>
    </row>
    <row r="261">
      <c r="A261" s="17" t="n"/>
      <c r="B261" s="17" t="n"/>
      <c r="C261" s="17" t="n"/>
      <c r="D261" s="27" t="n"/>
      <c r="E261" s="27" t="n"/>
      <c r="F261" s="17" t="n"/>
      <c r="G261" s="17" t="n"/>
      <c r="H261" s="17" t="n"/>
      <c r="I261" s="17" t="n"/>
      <c r="J261" s="16" t="n"/>
      <c r="K261" s="17" t="n"/>
      <c r="L261" s="17" t="n"/>
      <c r="M261" s="10" t="n"/>
      <c r="N261" s="23" t="n"/>
      <c r="O261" s="17" t="n"/>
      <c r="P261" s="24" t="n"/>
      <c r="Q261" s="17" t="n"/>
      <c r="R261" s="20">
        <f>IF(OR(N261="",P261=""),"",N261*P261*(1-IF(Q261="",0,Q261)/100))</f>
        <v/>
      </c>
      <c r="S261" s="17" t="n"/>
      <c r="T261" s="17" t="n"/>
      <c r="U261" s="17" t="n"/>
      <c r="V261" s="17" t="n"/>
      <c r="W261" s="10" t="n"/>
    </row>
    <row r="262">
      <c r="A262" s="17" t="n"/>
      <c r="B262" s="17" t="n"/>
      <c r="C262" s="17" t="n"/>
      <c r="D262" s="27" t="n"/>
      <c r="E262" s="27" t="n"/>
      <c r="F262" s="17" t="n"/>
      <c r="G262" s="17" t="n"/>
      <c r="H262" s="17" t="n"/>
      <c r="I262" s="17" t="n"/>
      <c r="J262" s="16" t="n"/>
      <c r="K262" s="17" t="n"/>
      <c r="L262" s="17" t="n"/>
      <c r="M262" s="10" t="n"/>
      <c r="N262" s="23" t="n"/>
      <c r="O262" s="17" t="n"/>
      <c r="P262" s="24" t="n"/>
      <c r="Q262" s="17" t="n"/>
      <c r="R262" s="20">
        <f>IF(OR(N262="",P262=""),"",N262*P262*(1-IF(Q262="",0,Q262)/100))</f>
        <v/>
      </c>
      <c r="S262" s="17" t="n"/>
      <c r="T262" s="17" t="n"/>
      <c r="U262" s="17" t="n"/>
      <c r="V262" s="17" t="n"/>
      <c r="W262" s="10" t="n"/>
    </row>
    <row r="263">
      <c r="A263" s="17" t="n"/>
      <c r="B263" s="17" t="n"/>
      <c r="C263" s="17" t="n"/>
      <c r="D263" s="27" t="n"/>
      <c r="E263" s="27" t="n"/>
      <c r="F263" s="17" t="n"/>
      <c r="G263" s="17" t="n"/>
      <c r="H263" s="17" t="n"/>
      <c r="I263" s="17" t="n"/>
      <c r="J263" s="16" t="n"/>
      <c r="K263" s="17" t="n"/>
      <c r="L263" s="17" t="n"/>
      <c r="M263" s="10" t="n"/>
      <c r="N263" s="23" t="n"/>
      <c r="O263" s="17" t="n"/>
      <c r="P263" s="24" t="n"/>
      <c r="Q263" s="17" t="n"/>
      <c r="R263" s="20">
        <f>IF(OR(N263="",P263=""),"",N263*P263*(1-IF(Q263="",0,Q263)/100))</f>
        <v/>
      </c>
      <c r="S263" s="17" t="n"/>
      <c r="T263" s="17" t="n"/>
      <c r="U263" s="17" t="n"/>
      <c r="V263" s="17" t="n"/>
      <c r="W263" s="10" t="n"/>
    </row>
    <row r="264">
      <c r="A264" s="17" t="n"/>
      <c r="B264" s="17" t="n"/>
      <c r="C264" s="17" t="n"/>
      <c r="D264" s="27" t="n"/>
      <c r="E264" s="27" t="n"/>
      <c r="F264" s="17" t="n"/>
      <c r="G264" s="17" t="n"/>
      <c r="H264" s="17" t="n"/>
      <c r="I264" s="17" t="n"/>
      <c r="J264" s="16" t="n"/>
      <c r="K264" s="17" t="n"/>
      <c r="L264" s="17" t="n"/>
      <c r="M264" s="10" t="n"/>
      <c r="N264" s="23" t="n"/>
      <c r="O264" s="17" t="n"/>
      <c r="P264" s="24" t="n"/>
      <c r="Q264" s="17" t="n"/>
      <c r="R264" s="20">
        <f>IF(OR(N264="",P264=""),"",N264*P264*(1-IF(Q264="",0,Q264)/100))</f>
        <v/>
      </c>
      <c r="S264" s="17" t="n"/>
      <c r="T264" s="17" t="n"/>
      <c r="U264" s="17" t="n"/>
      <c r="V264" s="17" t="n"/>
      <c r="W264" s="10" t="n"/>
    </row>
    <row r="265">
      <c r="A265" s="17" t="n"/>
      <c r="B265" s="17" t="n"/>
      <c r="C265" s="17" t="n"/>
      <c r="D265" s="27" t="n"/>
      <c r="E265" s="27" t="n"/>
      <c r="F265" s="17" t="n"/>
      <c r="G265" s="17" t="n"/>
      <c r="H265" s="17" t="n"/>
      <c r="I265" s="17" t="n"/>
      <c r="J265" s="16" t="n"/>
      <c r="K265" s="17" t="n"/>
      <c r="L265" s="17" t="n"/>
      <c r="M265" s="10" t="n"/>
      <c r="N265" s="23" t="n"/>
      <c r="O265" s="17" t="n"/>
      <c r="P265" s="24" t="n"/>
      <c r="Q265" s="17" t="n"/>
      <c r="R265" s="20">
        <f>IF(OR(N265="",P265=""),"",N265*P265*(1-IF(Q265="",0,Q265)/100))</f>
        <v/>
      </c>
      <c r="S265" s="17" t="n"/>
      <c r="T265" s="17" t="n"/>
      <c r="U265" s="17" t="n"/>
      <c r="V265" s="17" t="n"/>
      <c r="W265" s="10" t="n"/>
    </row>
    <row r="266">
      <c r="A266" s="17" t="n"/>
      <c r="B266" s="17" t="n"/>
      <c r="C266" s="17" t="n"/>
      <c r="D266" s="27" t="n"/>
      <c r="E266" s="27" t="n"/>
      <c r="F266" s="17" t="n"/>
      <c r="G266" s="17" t="n"/>
      <c r="H266" s="17" t="n"/>
      <c r="I266" s="17" t="n"/>
      <c r="J266" s="16" t="n"/>
      <c r="K266" s="17" t="n"/>
      <c r="L266" s="17" t="n"/>
      <c r="M266" s="10" t="n"/>
      <c r="N266" s="23" t="n"/>
      <c r="O266" s="17" t="n"/>
      <c r="P266" s="24" t="n"/>
      <c r="Q266" s="17" t="n"/>
      <c r="R266" s="20">
        <f>IF(OR(N266="",P266=""),"",N266*P266*(1-IF(Q266="",0,Q266)/100))</f>
        <v/>
      </c>
      <c r="S266" s="17" t="n"/>
      <c r="T266" s="17" t="n"/>
      <c r="U266" s="17" t="n"/>
      <c r="V266" s="17" t="n"/>
      <c r="W266" s="10" t="n"/>
    </row>
    <row r="267">
      <c r="A267" s="17" t="n"/>
      <c r="B267" s="17" t="n"/>
      <c r="C267" s="17" t="n"/>
      <c r="D267" s="27" t="n"/>
      <c r="E267" s="27" t="n"/>
      <c r="F267" s="17" t="n"/>
      <c r="G267" s="17" t="n"/>
      <c r="H267" s="17" t="n"/>
      <c r="I267" s="17" t="n"/>
      <c r="J267" s="16" t="n"/>
      <c r="K267" s="17" t="n"/>
      <c r="L267" s="17" t="n"/>
      <c r="M267" s="10" t="n"/>
      <c r="N267" s="23" t="n"/>
      <c r="O267" s="17" t="n"/>
      <c r="P267" s="24" t="n"/>
      <c r="Q267" s="17" t="n"/>
      <c r="R267" s="20">
        <f>IF(OR(N267="",P267=""),"",N267*P267*(1-IF(Q267="",0,Q267)/100))</f>
        <v/>
      </c>
      <c r="S267" s="17" t="n"/>
      <c r="T267" s="17" t="n"/>
      <c r="U267" s="17" t="n"/>
      <c r="V267" s="17" t="n"/>
      <c r="W267" s="10" t="n"/>
    </row>
    <row r="268">
      <c r="A268" s="17" t="n"/>
      <c r="B268" s="17" t="n"/>
      <c r="C268" s="17" t="n"/>
      <c r="D268" s="27" t="n"/>
      <c r="E268" s="27" t="n"/>
      <c r="F268" s="17" t="n"/>
      <c r="G268" s="17" t="n"/>
      <c r="H268" s="17" t="n"/>
      <c r="I268" s="17" t="n"/>
      <c r="J268" s="16" t="n"/>
      <c r="K268" s="17" t="n"/>
      <c r="L268" s="17" t="n"/>
      <c r="M268" s="10" t="n"/>
      <c r="N268" s="23" t="n"/>
      <c r="O268" s="17" t="n"/>
      <c r="P268" s="24" t="n"/>
      <c r="Q268" s="17" t="n"/>
      <c r="R268" s="20">
        <f>IF(OR(N268="",P268=""),"",N268*P268*(1-IF(Q268="",0,Q268)/100))</f>
        <v/>
      </c>
      <c r="S268" s="17" t="n"/>
      <c r="T268" s="17" t="n"/>
      <c r="U268" s="17" t="n"/>
      <c r="V268" s="17" t="n"/>
      <c r="W268" s="10" t="n"/>
    </row>
    <row r="269">
      <c r="A269" s="17" t="n"/>
      <c r="B269" s="17" t="n"/>
      <c r="C269" s="17" t="n"/>
      <c r="D269" s="27" t="n"/>
      <c r="E269" s="27" t="n"/>
      <c r="F269" s="17" t="n"/>
      <c r="G269" s="17" t="n"/>
      <c r="H269" s="17" t="n"/>
      <c r="I269" s="17" t="n"/>
      <c r="J269" s="16" t="n"/>
      <c r="K269" s="17" t="n"/>
      <c r="L269" s="17" t="n"/>
      <c r="M269" s="10" t="n"/>
      <c r="N269" s="23" t="n"/>
      <c r="O269" s="17" t="n"/>
      <c r="P269" s="24" t="n"/>
      <c r="Q269" s="17" t="n"/>
      <c r="R269" s="20">
        <f>IF(OR(N269="",P269=""),"",N269*P269*(1-IF(Q269="",0,Q269)/100))</f>
        <v/>
      </c>
      <c r="S269" s="17" t="n"/>
      <c r="T269" s="17" t="n"/>
      <c r="U269" s="17" t="n"/>
      <c r="V269" s="17" t="n"/>
      <c r="W269" s="10" t="n"/>
    </row>
    <row r="270">
      <c r="A270" s="17" t="n"/>
      <c r="B270" s="17" t="n"/>
      <c r="C270" s="17" t="n"/>
      <c r="D270" s="27" t="n"/>
      <c r="E270" s="27" t="n"/>
      <c r="F270" s="17" t="n"/>
      <c r="G270" s="17" t="n"/>
      <c r="H270" s="17" t="n"/>
      <c r="I270" s="17" t="n"/>
      <c r="J270" s="16" t="n"/>
      <c r="K270" s="17" t="n"/>
      <c r="L270" s="17" t="n"/>
      <c r="M270" s="10" t="n"/>
      <c r="N270" s="23" t="n"/>
      <c r="O270" s="17" t="n"/>
      <c r="P270" s="24" t="n"/>
      <c r="Q270" s="17" t="n"/>
      <c r="R270" s="20">
        <f>IF(OR(N270="",P270=""),"",N270*P270*(1-IF(Q270="",0,Q270)/100))</f>
        <v/>
      </c>
      <c r="S270" s="17" t="n"/>
      <c r="T270" s="17" t="n"/>
      <c r="U270" s="17" t="n"/>
      <c r="V270" s="17" t="n"/>
      <c r="W270" s="10" t="n"/>
    </row>
    <row r="271">
      <c r="A271" s="17" t="n"/>
      <c r="B271" s="17" t="n"/>
      <c r="C271" s="17" t="n"/>
      <c r="D271" s="27" t="n"/>
      <c r="E271" s="27" t="n"/>
      <c r="F271" s="17" t="n"/>
      <c r="G271" s="17" t="n"/>
      <c r="H271" s="17" t="n"/>
      <c r="I271" s="17" t="n"/>
      <c r="J271" s="16" t="n"/>
      <c r="K271" s="17" t="n"/>
      <c r="L271" s="17" t="n"/>
      <c r="M271" s="10" t="n"/>
      <c r="N271" s="23" t="n"/>
      <c r="O271" s="17" t="n"/>
      <c r="P271" s="24" t="n"/>
      <c r="Q271" s="17" t="n"/>
      <c r="R271" s="20">
        <f>IF(OR(N271="",P271=""),"",N271*P271*(1-IF(Q271="",0,Q271)/100))</f>
        <v/>
      </c>
      <c r="S271" s="17" t="n"/>
      <c r="T271" s="17" t="n"/>
      <c r="U271" s="17" t="n"/>
      <c r="V271" s="17" t="n"/>
      <c r="W271" s="10" t="n"/>
    </row>
    <row r="272">
      <c r="A272" s="17" t="n"/>
      <c r="B272" s="17" t="n"/>
      <c r="C272" s="17" t="n"/>
      <c r="D272" s="27" t="n"/>
      <c r="E272" s="27" t="n"/>
      <c r="F272" s="17" t="n"/>
      <c r="G272" s="17" t="n"/>
      <c r="H272" s="17" t="n"/>
      <c r="I272" s="17" t="n"/>
      <c r="J272" s="16" t="n"/>
      <c r="K272" s="17" t="n"/>
      <c r="L272" s="17" t="n"/>
      <c r="M272" s="10" t="n"/>
      <c r="N272" s="23" t="n"/>
      <c r="O272" s="17" t="n"/>
      <c r="P272" s="24" t="n"/>
      <c r="Q272" s="17" t="n"/>
      <c r="R272" s="20">
        <f>IF(OR(N272="",P272=""),"",N272*P272*(1-IF(Q272="",0,Q272)/100))</f>
        <v/>
      </c>
      <c r="S272" s="17" t="n"/>
      <c r="T272" s="17" t="n"/>
      <c r="U272" s="17" t="n"/>
      <c r="V272" s="17" t="n"/>
      <c r="W272" s="10" t="n"/>
    </row>
    <row r="273">
      <c r="A273" s="17" t="n"/>
      <c r="B273" s="17" t="n"/>
      <c r="C273" s="17" t="n"/>
      <c r="D273" s="27" t="n"/>
      <c r="E273" s="27" t="n"/>
      <c r="F273" s="17" t="n"/>
      <c r="G273" s="17" t="n"/>
      <c r="H273" s="17" t="n"/>
      <c r="I273" s="17" t="n"/>
      <c r="J273" s="16" t="n"/>
      <c r="K273" s="17" t="n"/>
      <c r="L273" s="17" t="n"/>
      <c r="M273" s="10" t="n"/>
      <c r="N273" s="23" t="n"/>
      <c r="O273" s="17" t="n"/>
      <c r="P273" s="24" t="n"/>
      <c r="Q273" s="17" t="n"/>
      <c r="R273" s="20">
        <f>IF(OR(N273="",P273=""),"",N273*P273*(1-IF(Q273="",0,Q273)/100))</f>
        <v/>
      </c>
      <c r="S273" s="17" t="n"/>
      <c r="T273" s="17" t="n"/>
      <c r="U273" s="17" t="n"/>
      <c r="V273" s="17" t="n"/>
      <c r="W273" s="10" t="n"/>
    </row>
    <row r="274">
      <c r="A274" s="17" t="n"/>
      <c r="B274" s="17" t="n"/>
      <c r="C274" s="17" t="n"/>
      <c r="D274" s="27" t="n"/>
      <c r="E274" s="27" t="n"/>
      <c r="F274" s="17" t="n"/>
      <c r="G274" s="17" t="n"/>
      <c r="H274" s="17" t="n"/>
      <c r="I274" s="17" t="n"/>
      <c r="J274" s="16" t="n"/>
      <c r="K274" s="17" t="n"/>
      <c r="L274" s="17" t="n"/>
      <c r="M274" s="10" t="n"/>
      <c r="N274" s="23" t="n"/>
      <c r="O274" s="17" t="n"/>
      <c r="P274" s="24" t="n"/>
      <c r="Q274" s="17" t="n"/>
      <c r="R274" s="20">
        <f>IF(OR(N274="",P274=""),"",N274*P274*(1-IF(Q274="",0,Q274)/100))</f>
        <v/>
      </c>
      <c r="S274" s="17" t="n"/>
      <c r="T274" s="17" t="n"/>
      <c r="U274" s="17" t="n"/>
      <c r="V274" s="17" t="n"/>
      <c r="W274" s="10" t="n"/>
    </row>
    <row r="275">
      <c r="A275" s="17" t="n"/>
      <c r="B275" s="17" t="n"/>
      <c r="C275" s="17" t="n"/>
      <c r="D275" s="27" t="n"/>
      <c r="E275" s="27" t="n"/>
      <c r="F275" s="17" t="n"/>
      <c r="G275" s="17" t="n"/>
      <c r="H275" s="17" t="n"/>
      <c r="I275" s="17" t="n"/>
      <c r="J275" s="16" t="n"/>
      <c r="K275" s="17" t="n"/>
      <c r="L275" s="17" t="n"/>
      <c r="M275" s="10" t="n"/>
      <c r="N275" s="23" t="n"/>
      <c r="O275" s="17" t="n"/>
      <c r="P275" s="24" t="n"/>
      <c r="Q275" s="17" t="n"/>
      <c r="R275" s="20">
        <f>IF(OR(N275="",P275=""),"",N275*P275*(1-IF(Q275="",0,Q275)/100))</f>
        <v/>
      </c>
      <c r="S275" s="17" t="n"/>
      <c r="T275" s="17" t="n"/>
      <c r="U275" s="17" t="n"/>
      <c r="V275" s="17" t="n"/>
      <c r="W275" s="10" t="n"/>
    </row>
    <row r="276">
      <c r="A276" s="17" t="n"/>
      <c r="B276" s="17" t="n"/>
      <c r="C276" s="17" t="n"/>
      <c r="D276" s="27" t="n"/>
      <c r="E276" s="27" t="n"/>
      <c r="F276" s="17" t="n"/>
      <c r="G276" s="17" t="n"/>
      <c r="H276" s="17" t="n"/>
      <c r="I276" s="17" t="n"/>
      <c r="J276" s="16" t="n"/>
      <c r="K276" s="17" t="n"/>
      <c r="L276" s="17" t="n"/>
      <c r="M276" s="10" t="n"/>
      <c r="N276" s="23" t="n"/>
      <c r="O276" s="17" t="n"/>
      <c r="P276" s="24" t="n"/>
      <c r="Q276" s="17" t="n"/>
      <c r="R276" s="20">
        <f>IF(OR(N276="",P276=""),"",N276*P276*(1-IF(Q276="",0,Q276)/100))</f>
        <v/>
      </c>
      <c r="S276" s="17" t="n"/>
      <c r="T276" s="17" t="n"/>
      <c r="U276" s="17" t="n"/>
      <c r="V276" s="17" t="n"/>
      <c r="W276" s="10" t="n"/>
    </row>
    <row r="277">
      <c r="A277" s="17" t="n"/>
      <c r="B277" s="17" t="n"/>
      <c r="C277" s="17" t="n"/>
      <c r="D277" s="27" t="n"/>
      <c r="E277" s="27" t="n"/>
      <c r="F277" s="17" t="n"/>
      <c r="G277" s="17" t="n"/>
      <c r="H277" s="17" t="n"/>
      <c r="I277" s="17" t="n"/>
      <c r="J277" s="16" t="n"/>
      <c r="K277" s="17" t="n"/>
      <c r="L277" s="17" t="n"/>
      <c r="M277" s="10" t="n"/>
      <c r="N277" s="23" t="n"/>
      <c r="O277" s="17" t="n"/>
      <c r="P277" s="24" t="n"/>
      <c r="Q277" s="17" t="n"/>
      <c r="R277" s="20">
        <f>IF(OR(N277="",P277=""),"",N277*P277*(1-IF(Q277="",0,Q277)/100))</f>
        <v/>
      </c>
      <c r="S277" s="17" t="n"/>
      <c r="T277" s="17" t="n"/>
      <c r="U277" s="17" t="n"/>
      <c r="V277" s="17" t="n"/>
      <c r="W277" s="10" t="n"/>
    </row>
    <row r="278">
      <c r="A278" s="17" t="n"/>
      <c r="B278" s="17" t="n"/>
      <c r="C278" s="17" t="n"/>
      <c r="D278" s="27" t="n"/>
      <c r="E278" s="27" t="n"/>
      <c r="F278" s="17" t="n"/>
      <c r="G278" s="17" t="n"/>
      <c r="H278" s="17" t="n"/>
      <c r="I278" s="17" t="n"/>
      <c r="J278" s="16" t="n"/>
      <c r="K278" s="17" t="n"/>
      <c r="L278" s="17" t="n"/>
      <c r="M278" s="10" t="n"/>
      <c r="N278" s="23" t="n"/>
      <c r="O278" s="17" t="n"/>
      <c r="P278" s="24" t="n"/>
      <c r="Q278" s="17" t="n"/>
      <c r="R278" s="20">
        <f>IF(OR(N278="",P278=""),"",N278*P278*(1-IF(Q278="",0,Q278)/100))</f>
        <v/>
      </c>
      <c r="S278" s="17" t="n"/>
      <c r="T278" s="17" t="n"/>
      <c r="U278" s="17" t="n"/>
      <c r="V278" s="17" t="n"/>
      <c r="W278" s="10" t="n"/>
    </row>
    <row r="279">
      <c r="A279" s="17" t="n"/>
      <c r="B279" s="17" t="n"/>
      <c r="C279" s="17" t="n"/>
      <c r="D279" s="27" t="n"/>
      <c r="E279" s="27" t="n"/>
      <c r="F279" s="17" t="n"/>
      <c r="G279" s="17" t="n"/>
      <c r="H279" s="17" t="n"/>
      <c r="I279" s="17" t="n"/>
      <c r="J279" s="16" t="n"/>
      <c r="K279" s="17" t="n"/>
      <c r="L279" s="17" t="n"/>
      <c r="M279" s="10" t="n"/>
      <c r="N279" s="23" t="n"/>
      <c r="O279" s="17" t="n"/>
      <c r="P279" s="24" t="n"/>
      <c r="Q279" s="17" t="n"/>
      <c r="R279" s="20">
        <f>IF(OR(N279="",P279=""),"",N279*P279*(1-IF(Q279="",0,Q279)/100))</f>
        <v/>
      </c>
      <c r="S279" s="17" t="n"/>
      <c r="T279" s="17" t="n"/>
      <c r="U279" s="17" t="n"/>
      <c r="V279" s="17" t="n"/>
      <c r="W279" s="10" t="n"/>
    </row>
    <row r="280">
      <c r="A280" s="17" t="n"/>
      <c r="B280" s="17" t="n"/>
      <c r="C280" s="17" t="n"/>
      <c r="D280" s="27" t="n"/>
      <c r="E280" s="27" t="n"/>
      <c r="F280" s="17" t="n"/>
      <c r="G280" s="17" t="n"/>
      <c r="H280" s="17" t="n"/>
      <c r="I280" s="17" t="n"/>
      <c r="J280" s="16" t="n"/>
      <c r="K280" s="17" t="n"/>
      <c r="L280" s="17" t="n"/>
      <c r="M280" s="10" t="n"/>
      <c r="N280" s="23" t="n"/>
      <c r="O280" s="17" t="n"/>
      <c r="P280" s="24" t="n"/>
      <c r="Q280" s="17" t="n"/>
      <c r="R280" s="20">
        <f>IF(OR(N280="",P280=""),"",N280*P280*(1-IF(Q280="",0,Q280)/100))</f>
        <v/>
      </c>
      <c r="S280" s="17" t="n"/>
      <c r="T280" s="17" t="n"/>
      <c r="U280" s="17" t="n"/>
      <c r="V280" s="17" t="n"/>
      <c r="W280" s="10" t="n"/>
    </row>
    <row r="281">
      <c r="A281" s="17" t="n"/>
      <c r="B281" s="17" t="n"/>
      <c r="C281" s="17" t="n"/>
      <c r="D281" s="27" t="n"/>
      <c r="E281" s="27" t="n"/>
      <c r="F281" s="17" t="n"/>
      <c r="G281" s="17" t="n"/>
      <c r="H281" s="17" t="n"/>
      <c r="I281" s="17" t="n"/>
      <c r="J281" s="16" t="n"/>
      <c r="K281" s="17" t="n"/>
      <c r="L281" s="17" t="n"/>
      <c r="M281" s="10" t="n"/>
      <c r="N281" s="23" t="n"/>
      <c r="O281" s="17" t="n"/>
      <c r="P281" s="24" t="n"/>
      <c r="Q281" s="17" t="n"/>
      <c r="R281" s="20">
        <f>IF(OR(N281="",P281=""),"",N281*P281*(1-IF(Q281="",0,Q281)/100))</f>
        <v/>
      </c>
      <c r="S281" s="17" t="n"/>
      <c r="T281" s="17" t="n"/>
      <c r="U281" s="17" t="n"/>
      <c r="V281" s="17" t="n"/>
      <c r="W281" s="10" t="n"/>
    </row>
    <row r="282">
      <c r="A282" s="17" t="n"/>
      <c r="B282" s="17" t="n"/>
      <c r="C282" s="17" t="n"/>
      <c r="D282" s="27" t="n"/>
      <c r="E282" s="27" t="n"/>
      <c r="F282" s="17" t="n"/>
      <c r="G282" s="17" t="n"/>
      <c r="H282" s="17" t="n"/>
      <c r="I282" s="17" t="n"/>
      <c r="J282" s="16" t="n"/>
      <c r="K282" s="17" t="n"/>
      <c r="L282" s="17" t="n"/>
      <c r="M282" s="10" t="n"/>
      <c r="N282" s="23" t="n"/>
      <c r="O282" s="17" t="n"/>
      <c r="P282" s="24" t="n"/>
      <c r="Q282" s="17" t="n"/>
      <c r="R282" s="20">
        <f>IF(OR(N282="",P282=""),"",N282*P282*(1-IF(Q282="",0,Q282)/100))</f>
        <v/>
      </c>
      <c r="S282" s="17" t="n"/>
      <c r="T282" s="17" t="n"/>
      <c r="U282" s="17" t="n"/>
      <c r="V282" s="17" t="n"/>
      <c r="W282" s="10" t="n"/>
    </row>
    <row r="283">
      <c r="A283" s="17" t="n"/>
      <c r="B283" s="17" t="n"/>
      <c r="C283" s="17" t="n"/>
      <c r="D283" s="27" t="n"/>
      <c r="E283" s="27" t="n"/>
      <c r="F283" s="17" t="n"/>
      <c r="G283" s="17" t="n"/>
      <c r="H283" s="17" t="n"/>
      <c r="I283" s="17" t="n"/>
      <c r="J283" s="16" t="n"/>
      <c r="K283" s="17" t="n"/>
      <c r="L283" s="17" t="n"/>
      <c r="M283" s="10" t="n"/>
      <c r="N283" s="23" t="n"/>
      <c r="O283" s="17" t="n"/>
      <c r="P283" s="24" t="n"/>
      <c r="Q283" s="17" t="n"/>
      <c r="R283" s="20">
        <f>IF(OR(N283="",P283=""),"",N283*P283*(1-IF(Q283="",0,Q283)/100))</f>
        <v/>
      </c>
      <c r="S283" s="17" t="n"/>
      <c r="T283" s="17" t="n"/>
      <c r="U283" s="17" t="n"/>
      <c r="V283" s="17" t="n"/>
      <c r="W283" s="10" t="n"/>
    </row>
    <row r="284">
      <c r="A284" s="17" t="n"/>
      <c r="B284" s="17" t="n"/>
      <c r="C284" s="17" t="n"/>
      <c r="D284" s="27" t="n"/>
      <c r="E284" s="27" t="n"/>
      <c r="F284" s="17" t="n"/>
      <c r="G284" s="17" t="n"/>
      <c r="H284" s="17" t="n"/>
      <c r="I284" s="17" t="n"/>
      <c r="J284" s="16" t="n"/>
      <c r="K284" s="17" t="n"/>
      <c r="L284" s="17" t="n"/>
      <c r="M284" s="10" t="n"/>
      <c r="N284" s="23" t="n"/>
      <c r="O284" s="17" t="n"/>
      <c r="P284" s="24" t="n"/>
      <c r="Q284" s="17" t="n"/>
      <c r="R284" s="20">
        <f>IF(OR(N284="",P284=""),"",N284*P284*(1-IF(Q284="",0,Q284)/100))</f>
        <v/>
      </c>
      <c r="S284" s="17" t="n"/>
      <c r="T284" s="17" t="n"/>
      <c r="U284" s="17" t="n"/>
      <c r="V284" s="17" t="n"/>
      <c r="W284" s="10" t="n"/>
    </row>
    <row r="285">
      <c r="A285" s="17" t="n"/>
      <c r="B285" s="17" t="n"/>
      <c r="C285" s="17" t="n"/>
      <c r="D285" s="27" t="n"/>
      <c r="E285" s="27" t="n"/>
      <c r="F285" s="17" t="n"/>
      <c r="G285" s="17" t="n"/>
      <c r="H285" s="17" t="n"/>
      <c r="I285" s="17" t="n"/>
      <c r="J285" s="16" t="n"/>
      <c r="K285" s="17" t="n"/>
      <c r="L285" s="17" t="n"/>
      <c r="M285" s="10" t="n"/>
      <c r="N285" s="23" t="n"/>
      <c r="O285" s="17" t="n"/>
      <c r="P285" s="24" t="n"/>
      <c r="Q285" s="17" t="n"/>
      <c r="R285" s="20">
        <f>IF(OR(N285="",P285=""),"",N285*P285*(1-IF(Q285="",0,Q285)/100))</f>
        <v/>
      </c>
      <c r="S285" s="17" t="n"/>
      <c r="T285" s="17" t="n"/>
      <c r="U285" s="17" t="n"/>
      <c r="V285" s="17" t="n"/>
      <c r="W285" s="10" t="n"/>
    </row>
    <row r="286">
      <c r="A286" s="17" t="n"/>
      <c r="B286" s="17" t="n"/>
      <c r="C286" s="17" t="n"/>
      <c r="D286" s="27" t="n"/>
      <c r="E286" s="27" t="n"/>
      <c r="F286" s="17" t="n"/>
      <c r="G286" s="17" t="n"/>
      <c r="H286" s="17" t="n"/>
      <c r="I286" s="17" t="n"/>
      <c r="J286" s="16" t="n"/>
      <c r="K286" s="17" t="n"/>
      <c r="L286" s="17" t="n"/>
      <c r="M286" s="10" t="n"/>
      <c r="N286" s="23" t="n"/>
      <c r="O286" s="17" t="n"/>
      <c r="P286" s="24" t="n"/>
      <c r="Q286" s="17" t="n"/>
      <c r="R286" s="20">
        <f>IF(OR(N286="",P286=""),"",N286*P286*(1-IF(Q286="",0,Q286)/100))</f>
        <v/>
      </c>
      <c r="S286" s="17" t="n"/>
      <c r="T286" s="17" t="n"/>
      <c r="U286" s="17" t="n"/>
      <c r="V286" s="17" t="n"/>
      <c r="W286" s="10" t="n"/>
    </row>
    <row r="287">
      <c r="A287" s="17" t="n"/>
      <c r="B287" s="17" t="n"/>
      <c r="C287" s="17" t="n"/>
      <c r="D287" s="27" t="n"/>
      <c r="E287" s="27" t="n"/>
      <c r="F287" s="17" t="n"/>
      <c r="G287" s="17" t="n"/>
      <c r="H287" s="17" t="n"/>
      <c r="I287" s="17" t="n"/>
      <c r="J287" s="16" t="n"/>
      <c r="K287" s="17" t="n"/>
      <c r="L287" s="17" t="n"/>
      <c r="M287" s="10" t="n"/>
      <c r="N287" s="23" t="n"/>
      <c r="O287" s="17" t="n"/>
      <c r="P287" s="24" t="n"/>
      <c r="Q287" s="17" t="n"/>
      <c r="R287" s="20">
        <f>IF(OR(N287="",P287=""),"",N287*P287*(1-IF(Q287="",0,Q287)/100))</f>
        <v/>
      </c>
      <c r="S287" s="17" t="n"/>
      <c r="T287" s="17" t="n"/>
      <c r="U287" s="17" t="n"/>
      <c r="V287" s="17" t="n"/>
      <c r="W287" s="10" t="n"/>
    </row>
    <row r="288">
      <c r="A288" s="17" t="n"/>
      <c r="B288" s="17" t="n"/>
      <c r="C288" s="17" t="n"/>
      <c r="D288" s="27" t="n"/>
      <c r="E288" s="27" t="n"/>
      <c r="F288" s="17" t="n"/>
      <c r="G288" s="17" t="n"/>
      <c r="H288" s="17" t="n"/>
      <c r="I288" s="17" t="n"/>
      <c r="J288" s="16" t="n"/>
      <c r="K288" s="17" t="n"/>
      <c r="L288" s="17" t="n"/>
      <c r="M288" s="10" t="n"/>
      <c r="N288" s="23" t="n"/>
      <c r="O288" s="17" t="n"/>
      <c r="P288" s="24" t="n"/>
      <c r="Q288" s="17" t="n"/>
      <c r="R288" s="20">
        <f>IF(OR(N288="",P288=""),"",N288*P288*(1-IF(Q288="",0,Q288)/100))</f>
        <v/>
      </c>
      <c r="S288" s="17" t="n"/>
      <c r="T288" s="17" t="n"/>
      <c r="U288" s="17" t="n"/>
      <c r="V288" s="17" t="n"/>
      <c r="W288" s="10" t="n"/>
    </row>
    <row r="289">
      <c r="A289" s="17" t="n"/>
      <c r="B289" s="17" t="n"/>
      <c r="C289" s="17" t="n"/>
      <c r="D289" s="27" t="n"/>
      <c r="E289" s="27" t="n"/>
      <c r="F289" s="17" t="n"/>
      <c r="G289" s="17" t="n"/>
      <c r="H289" s="17" t="n"/>
      <c r="I289" s="17" t="n"/>
      <c r="J289" s="16" t="n"/>
      <c r="K289" s="17" t="n"/>
      <c r="L289" s="17" t="n"/>
      <c r="M289" s="10" t="n"/>
      <c r="N289" s="23" t="n"/>
      <c r="O289" s="17" t="n"/>
      <c r="P289" s="24" t="n"/>
      <c r="Q289" s="17" t="n"/>
      <c r="R289" s="20">
        <f>IF(OR(N289="",P289=""),"",N289*P289*(1-IF(Q289="",0,Q289)/100))</f>
        <v/>
      </c>
      <c r="S289" s="17" t="n"/>
      <c r="T289" s="17" t="n"/>
      <c r="U289" s="17" t="n"/>
      <c r="V289" s="17" t="n"/>
      <c r="W289" s="10" t="n"/>
    </row>
    <row r="290">
      <c r="A290" s="17" t="n"/>
      <c r="B290" s="17" t="n"/>
      <c r="C290" s="17" t="n"/>
      <c r="D290" s="27" t="n"/>
      <c r="E290" s="27" t="n"/>
      <c r="F290" s="17" t="n"/>
      <c r="G290" s="17" t="n"/>
      <c r="H290" s="17" t="n"/>
      <c r="I290" s="17" t="n"/>
      <c r="J290" s="16" t="n"/>
      <c r="K290" s="17" t="n"/>
      <c r="L290" s="17" t="n"/>
      <c r="M290" s="10" t="n"/>
      <c r="N290" s="23" t="n"/>
      <c r="O290" s="17" t="n"/>
      <c r="P290" s="24" t="n"/>
      <c r="Q290" s="17" t="n"/>
      <c r="R290" s="20">
        <f>IF(OR(N290="",P290=""),"",N290*P290*(1-IF(Q290="",0,Q290)/100))</f>
        <v/>
      </c>
      <c r="S290" s="17" t="n"/>
      <c r="T290" s="17" t="n"/>
      <c r="U290" s="17" t="n"/>
      <c r="V290" s="17" t="n"/>
      <c r="W290" s="10" t="n"/>
    </row>
    <row r="291">
      <c r="A291" s="17" t="n"/>
      <c r="B291" s="17" t="n"/>
      <c r="C291" s="17" t="n"/>
      <c r="D291" s="27" t="n"/>
      <c r="E291" s="27" t="n"/>
      <c r="F291" s="17" t="n"/>
      <c r="G291" s="17" t="n"/>
      <c r="H291" s="17" t="n"/>
      <c r="I291" s="17" t="n"/>
      <c r="J291" s="16" t="n"/>
      <c r="K291" s="17" t="n"/>
      <c r="L291" s="17" t="n"/>
      <c r="M291" s="10" t="n"/>
      <c r="N291" s="23" t="n"/>
      <c r="O291" s="17" t="n"/>
      <c r="P291" s="24" t="n"/>
      <c r="Q291" s="17" t="n"/>
      <c r="R291" s="20">
        <f>IF(OR(N291="",P291=""),"",N291*P291*(1-IF(Q291="",0,Q291)/100))</f>
        <v/>
      </c>
      <c r="S291" s="17" t="n"/>
      <c r="T291" s="17" t="n"/>
      <c r="U291" s="17" t="n"/>
      <c r="V291" s="17" t="n"/>
      <c r="W291" s="10" t="n"/>
    </row>
    <row r="292">
      <c r="A292" s="17" t="n"/>
      <c r="B292" s="17" t="n"/>
      <c r="C292" s="17" t="n"/>
      <c r="D292" s="27" t="n"/>
      <c r="E292" s="27" t="n"/>
      <c r="F292" s="17" t="n"/>
      <c r="G292" s="17" t="n"/>
      <c r="H292" s="17" t="n"/>
      <c r="I292" s="17" t="n"/>
      <c r="J292" s="16" t="n"/>
      <c r="K292" s="17" t="n"/>
      <c r="L292" s="17" t="n"/>
      <c r="M292" s="10" t="n"/>
      <c r="N292" s="23" t="n"/>
      <c r="O292" s="17" t="n"/>
      <c r="P292" s="24" t="n"/>
      <c r="Q292" s="17" t="n"/>
      <c r="R292" s="20">
        <f>IF(OR(N292="",P292=""),"",N292*P292*(1-IF(Q292="",0,Q292)/100))</f>
        <v/>
      </c>
      <c r="S292" s="17" t="n"/>
      <c r="T292" s="17" t="n"/>
      <c r="U292" s="17" t="n"/>
      <c r="V292" s="17" t="n"/>
      <c r="W292" s="10" t="n"/>
    </row>
    <row r="293">
      <c r="A293" s="17" t="n"/>
      <c r="B293" s="17" t="n"/>
      <c r="C293" s="17" t="n"/>
      <c r="D293" s="27" t="n"/>
      <c r="E293" s="27" t="n"/>
      <c r="F293" s="17" t="n"/>
      <c r="G293" s="17" t="n"/>
      <c r="H293" s="17" t="n"/>
      <c r="I293" s="17" t="n"/>
      <c r="J293" s="16" t="n"/>
      <c r="K293" s="17" t="n"/>
      <c r="L293" s="17" t="n"/>
      <c r="M293" s="10" t="n"/>
      <c r="N293" s="23" t="n"/>
      <c r="O293" s="17" t="n"/>
      <c r="P293" s="24" t="n"/>
      <c r="Q293" s="17" t="n"/>
      <c r="R293" s="20">
        <f>IF(OR(N293="",P293=""),"",N293*P293*(1-IF(Q293="",0,Q293)/100))</f>
        <v/>
      </c>
      <c r="S293" s="17" t="n"/>
      <c r="T293" s="17" t="n"/>
      <c r="U293" s="17" t="n"/>
      <c r="V293" s="17" t="n"/>
      <c r="W293" s="10" t="n"/>
    </row>
    <row r="294">
      <c r="A294" s="17" t="n"/>
      <c r="B294" s="17" t="n"/>
      <c r="C294" s="17" t="n"/>
      <c r="D294" s="27" t="n"/>
      <c r="E294" s="27" t="n"/>
      <c r="F294" s="17" t="n"/>
      <c r="G294" s="17" t="n"/>
      <c r="H294" s="17" t="n"/>
      <c r="I294" s="17" t="n"/>
      <c r="J294" s="16" t="n"/>
      <c r="K294" s="17" t="n"/>
      <c r="L294" s="17" t="n"/>
      <c r="M294" s="10" t="n"/>
      <c r="N294" s="23" t="n"/>
      <c r="O294" s="17" t="n"/>
      <c r="P294" s="24" t="n"/>
      <c r="Q294" s="17" t="n"/>
      <c r="R294" s="20">
        <f>IF(OR(N294="",P294=""),"",N294*P294*(1-IF(Q294="",0,Q294)/100))</f>
        <v/>
      </c>
      <c r="S294" s="17" t="n"/>
      <c r="T294" s="17" t="n"/>
      <c r="U294" s="17" t="n"/>
      <c r="V294" s="17" t="n"/>
      <c r="W294" s="10" t="n"/>
    </row>
    <row r="295">
      <c r="A295" s="17" t="n"/>
      <c r="B295" s="17" t="n"/>
      <c r="C295" s="17" t="n"/>
      <c r="D295" s="27" t="n"/>
      <c r="E295" s="27" t="n"/>
      <c r="F295" s="17" t="n"/>
      <c r="G295" s="17" t="n"/>
      <c r="H295" s="17" t="n"/>
      <c r="I295" s="17" t="n"/>
      <c r="J295" s="16" t="n"/>
      <c r="K295" s="17" t="n"/>
      <c r="L295" s="17" t="n"/>
      <c r="M295" s="10" t="n"/>
      <c r="N295" s="23" t="n"/>
      <c r="O295" s="17" t="n"/>
      <c r="P295" s="24" t="n"/>
      <c r="Q295" s="17" t="n"/>
      <c r="R295" s="20">
        <f>IF(OR(N295="",P295=""),"",N295*P295*(1-IF(Q295="",0,Q295)/100))</f>
        <v/>
      </c>
      <c r="S295" s="17" t="n"/>
      <c r="T295" s="17" t="n"/>
      <c r="U295" s="17" t="n"/>
      <c r="V295" s="17" t="n"/>
      <c r="W295" s="10" t="n"/>
    </row>
    <row r="296">
      <c r="A296" s="17" t="n"/>
      <c r="B296" s="17" t="n"/>
      <c r="C296" s="17" t="n"/>
      <c r="D296" s="27" t="n"/>
      <c r="E296" s="27" t="n"/>
      <c r="F296" s="17" t="n"/>
      <c r="G296" s="17" t="n"/>
      <c r="H296" s="17" t="n"/>
      <c r="I296" s="17" t="n"/>
      <c r="J296" s="16" t="n"/>
      <c r="K296" s="17" t="n"/>
      <c r="L296" s="17" t="n"/>
      <c r="M296" s="10" t="n"/>
      <c r="N296" s="23" t="n"/>
      <c r="O296" s="17" t="n"/>
      <c r="P296" s="24" t="n"/>
      <c r="Q296" s="17" t="n"/>
      <c r="R296" s="20">
        <f>IF(OR(N296="",P296=""),"",N296*P296*(1-IF(Q296="",0,Q296)/100))</f>
        <v/>
      </c>
      <c r="S296" s="17" t="n"/>
      <c r="T296" s="17" t="n"/>
      <c r="U296" s="17" t="n"/>
      <c r="V296" s="17" t="n"/>
      <c r="W296" s="10" t="n"/>
    </row>
    <row r="297">
      <c r="A297" s="17" t="n"/>
      <c r="B297" s="17" t="n"/>
      <c r="C297" s="17" t="n"/>
      <c r="D297" s="27" t="n"/>
      <c r="E297" s="27" t="n"/>
      <c r="F297" s="17" t="n"/>
      <c r="G297" s="17" t="n"/>
      <c r="H297" s="17" t="n"/>
      <c r="I297" s="17" t="n"/>
      <c r="J297" s="16" t="n"/>
      <c r="K297" s="17" t="n"/>
      <c r="L297" s="17" t="n"/>
      <c r="M297" s="10" t="n"/>
      <c r="N297" s="23" t="n"/>
      <c r="O297" s="17" t="n"/>
      <c r="P297" s="24" t="n"/>
      <c r="Q297" s="17" t="n"/>
      <c r="R297" s="20">
        <f>IF(OR(N297="",P297=""),"",N297*P297*(1-IF(Q297="",0,Q297)/100))</f>
        <v/>
      </c>
      <c r="S297" s="17" t="n"/>
      <c r="T297" s="17" t="n"/>
      <c r="U297" s="17" t="n"/>
      <c r="V297" s="17" t="n"/>
      <c r="W297" s="10" t="n"/>
    </row>
    <row r="298">
      <c r="A298" s="17" t="n"/>
      <c r="B298" s="17" t="n"/>
      <c r="C298" s="17" t="n"/>
      <c r="D298" s="27" t="n"/>
      <c r="E298" s="27" t="n"/>
      <c r="F298" s="17" t="n"/>
      <c r="G298" s="17" t="n"/>
      <c r="H298" s="17" t="n"/>
      <c r="I298" s="17" t="n"/>
      <c r="J298" s="16" t="n"/>
      <c r="K298" s="17" t="n"/>
      <c r="L298" s="17" t="n"/>
      <c r="M298" s="10" t="n"/>
      <c r="N298" s="23" t="n"/>
      <c r="O298" s="17" t="n"/>
      <c r="P298" s="24" t="n"/>
      <c r="Q298" s="17" t="n"/>
      <c r="R298" s="20">
        <f>IF(OR(N298="",P298=""),"",N298*P298*(1-IF(Q298="",0,Q298)/100))</f>
        <v/>
      </c>
      <c r="S298" s="17" t="n"/>
      <c r="T298" s="17" t="n"/>
      <c r="U298" s="17" t="n"/>
      <c r="V298" s="17" t="n"/>
      <c r="W298" s="10" t="n"/>
    </row>
    <row r="299">
      <c r="A299" s="17" t="n"/>
      <c r="B299" s="17" t="n"/>
      <c r="C299" s="17" t="n"/>
      <c r="D299" s="27" t="n"/>
      <c r="E299" s="27" t="n"/>
      <c r="F299" s="17" t="n"/>
      <c r="G299" s="17" t="n"/>
      <c r="H299" s="17" t="n"/>
      <c r="I299" s="17" t="n"/>
      <c r="J299" s="16" t="n"/>
      <c r="K299" s="17" t="n"/>
      <c r="L299" s="17" t="n"/>
      <c r="M299" s="10" t="n"/>
      <c r="N299" s="23" t="n"/>
      <c r="O299" s="17" t="n"/>
      <c r="P299" s="24" t="n"/>
      <c r="Q299" s="17" t="n"/>
      <c r="R299" s="20">
        <f>IF(OR(N299="",P299=""),"",N299*P299*(1-IF(Q299="",0,Q299)/100))</f>
        <v/>
      </c>
      <c r="S299" s="17" t="n"/>
      <c r="T299" s="17" t="n"/>
      <c r="U299" s="17" t="n"/>
      <c r="V299" s="17" t="n"/>
      <c r="W299" s="10" t="n"/>
    </row>
    <row r="300">
      <c r="A300" s="17" t="n"/>
      <c r="B300" s="17" t="n"/>
      <c r="C300" s="17" t="n"/>
      <c r="D300" s="27" t="n"/>
      <c r="E300" s="27" t="n"/>
      <c r="F300" s="17" t="n"/>
      <c r="G300" s="17" t="n"/>
      <c r="H300" s="17" t="n"/>
      <c r="I300" s="17" t="n"/>
      <c r="J300" s="16" t="n"/>
      <c r="K300" s="17" t="n"/>
      <c r="L300" s="17" t="n"/>
      <c r="M300" s="10" t="n"/>
      <c r="N300" s="23" t="n"/>
      <c r="O300" s="17" t="n"/>
      <c r="P300" s="24" t="n"/>
      <c r="Q300" s="17" t="n"/>
      <c r="R300" s="20">
        <f>IF(OR(N300="",P300=""),"",N300*P300*(1-IF(Q300="",0,Q300)/100))</f>
        <v/>
      </c>
      <c r="S300" s="17" t="n"/>
      <c r="T300" s="17" t="n"/>
      <c r="U300" s="17" t="n"/>
      <c r="V300" s="17" t="n"/>
      <c r="W300" s="10" t="n"/>
    </row>
    <row r="301">
      <c r="A301" s="17" t="n"/>
      <c r="B301" s="17" t="n"/>
      <c r="C301" s="17" t="n"/>
      <c r="D301" s="27" t="n"/>
      <c r="E301" s="27" t="n"/>
      <c r="F301" s="17" t="n"/>
      <c r="G301" s="17" t="n"/>
      <c r="H301" s="17" t="n"/>
      <c r="I301" s="17" t="n"/>
      <c r="J301" s="16" t="n"/>
      <c r="K301" s="17" t="n"/>
      <c r="L301" s="17" t="n"/>
      <c r="M301" s="10" t="n"/>
      <c r="N301" s="23" t="n"/>
      <c r="O301" s="17" t="n"/>
      <c r="P301" s="24" t="n"/>
      <c r="Q301" s="17" t="n"/>
      <c r="R301" s="20">
        <f>IF(OR(N301="",P301=""),"",N301*P301*(1-IF(Q301="",0,Q301)/100))</f>
        <v/>
      </c>
      <c r="S301" s="17" t="n"/>
      <c r="T301" s="17" t="n"/>
      <c r="U301" s="17" t="n"/>
      <c r="V301" s="17" t="n"/>
      <c r="W301" s="10" t="n"/>
    </row>
    <row r="302">
      <c r="A302" s="17" t="n"/>
      <c r="B302" s="17" t="n"/>
      <c r="C302" s="17" t="n"/>
      <c r="D302" s="27" t="n"/>
      <c r="E302" s="27" t="n"/>
      <c r="F302" s="17" t="n"/>
      <c r="G302" s="17" t="n"/>
      <c r="H302" s="17" t="n"/>
      <c r="I302" s="17" t="n"/>
      <c r="J302" s="16" t="n"/>
      <c r="K302" s="17" t="n"/>
      <c r="L302" s="17" t="n"/>
      <c r="M302" s="10" t="n"/>
      <c r="N302" s="23" t="n"/>
      <c r="O302" s="17" t="n"/>
      <c r="P302" s="24" t="n"/>
      <c r="Q302" s="17" t="n"/>
      <c r="R302" s="20">
        <f>IF(OR(N302="",P302=""),"",N302*P302*(1-IF(Q302="",0,Q302)/100))</f>
        <v/>
      </c>
      <c r="S302" s="17" t="n"/>
      <c r="T302" s="17" t="n"/>
      <c r="U302" s="17" t="n"/>
      <c r="V302" s="17" t="n"/>
      <c r="W302" s="10" t="n"/>
    </row>
    <row r="303">
      <c r="A303" s="17" t="n"/>
      <c r="B303" s="17" t="n"/>
      <c r="C303" s="17" t="n"/>
      <c r="D303" s="27" t="n"/>
      <c r="E303" s="27" t="n"/>
      <c r="F303" s="17" t="n"/>
      <c r="G303" s="17" t="n"/>
      <c r="H303" s="17" t="n"/>
      <c r="I303" s="17" t="n"/>
      <c r="J303" s="16" t="n"/>
      <c r="K303" s="17" t="n"/>
      <c r="L303" s="17" t="n"/>
      <c r="M303" s="10" t="n"/>
      <c r="N303" s="23" t="n"/>
      <c r="O303" s="17" t="n"/>
      <c r="P303" s="24" t="n"/>
      <c r="Q303" s="17" t="n"/>
      <c r="R303" s="20">
        <f>IF(OR(N303="",P303=""),"",N303*P303*(1-IF(Q303="",0,Q303)/100))</f>
        <v/>
      </c>
      <c r="S303" s="17" t="n"/>
      <c r="T303" s="17" t="n"/>
      <c r="U303" s="17" t="n"/>
      <c r="V303" s="17" t="n"/>
      <c r="W303" s="10" t="n"/>
    </row>
    <row r="304">
      <c r="A304" s="17" t="n"/>
      <c r="B304" s="17" t="n"/>
      <c r="C304" s="17" t="n"/>
      <c r="D304" s="27" t="n"/>
      <c r="E304" s="27" t="n"/>
      <c r="F304" s="17" t="n"/>
      <c r="G304" s="17" t="n"/>
      <c r="H304" s="17" t="n"/>
      <c r="I304" s="17" t="n"/>
      <c r="J304" s="16" t="n"/>
      <c r="K304" s="17" t="n"/>
      <c r="L304" s="17" t="n"/>
      <c r="M304" s="10" t="n"/>
      <c r="N304" s="23" t="n"/>
      <c r="O304" s="17" t="n"/>
      <c r="P304" s="24" t="n"/>
      <c r="Q304" s="17" t="n"/>
      <c r="R304" s="20">
        <f>IF(OR(N304="",P304=""),"",N304*P304*(1-IF(Q304="",0,Q304)/100))</f>
        <v/>
      </c>
      <c r="S304" s="17" t="n"/>
      <c r="T304" s="17" t="n"/>
      <c r="U304" s="17" t="n"/>
      <c r="V304" s="17" t="n"/>
      <c r="W304" s="10" t="n"/>
    </row>
    <row r="305">
      <c r="A305" s="17" t="n"/>
      <c r="B305" s="17" t="n"/>
      <c r="C305" s="17" t="n"/>
      <c r="D305" s="27" t="n"/>
      <c r="E305" s="27" t="n"/>
      <c r="F305" s="17" t="n"/>
      <c r="G305" s="17" t="n"/>
      <c r="H305" s="17" t="n"/>
      <c r="I305" s="17" t="n"/>
      <c r="J305" s="16" t="n"/>
      <c r="K305" s="17" t="n"/>
      <c r="L305" s="17" t="n"/>
      <c r="M305" s="10" t="n"/>
      <c r="N305" s="23" t="n"/>
      <c r="O305" s="17" t="n"/>
      <c r="P305" s="24" t="n"/>
      <c r="Q305" s="17" t="n"/>
      <c r="R305" s="20">
        <f>IF(OR(N305="",P305=""),"",N305*P305*(1-IF(Q305="",0,Q305)/100))</f>
        <v/>
      </c>
      <c r="S305" s="17" t="n"/>
      <c r="T305" s="17" t="n"/>
      <c r="U305" s="17" t="n"/>
      <c r="V305" s="17" t="n"/>
      <c r="W305" s="10" t="n"/>
    </row>
    <row r="307">
      <c r="A307" s="8" t="inlineStr">
        <is>
          <t>TOTAL</t>
        </is>
      </c>
      <c r="R307" s="22">
        <f>SUM(R6:R305)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W305"/>
  <mergeCells count="1">
    <mergeCell ref="A2:W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4">
    <dataValidation sqref="G6:G306" showDropDown="0" showInputMessage="0" showErrorMessage="1" allowBlank="1" errorTitle="Invalid value" error="Pick a value from the list." type="list">
      <formula1>=Lists!$R$2:$R$60</formula1>
    </dataValidation>
    <dataValidation sqref="S6:S306" showDropDown="0" showInputMessage="0" showErrorMessage="1" allowBlank="1" errorTitle="Invalid value" error="Pick a value from the list." type="list">
      <formula1>=Lists!$E$2:$E$60</formula1>
    </dataValidation>
    <dataValidation sqref="T6:T306" showDropDown="0" showInputMessage="0" showErrorMessage="1" allowBlank="1" errorTitle="Invalid value" error="Pick a value from the list." type="list">
      <formula1>=Lists!$E$2:$E$60</formula1>
    </dataValidation>
    <dataValidation sqref="V6:V306" showDropDown="0" showInputMessage="0" showErrorMessage="1" allowBlank="1" errorTitle="Invalid value" error="Pick a value from the list." type="list">
      <formula1>=Lists!$P$2:$P$60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P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2" customWidth="1" min="4" max="4"/>
    <col width="10" customWidth="1" min="5" max="5"/>
    <col width="18" customWidth="1" min="6" max="6"/>
    <col width="8" customWidth="1" min="7" max="7"/>
    <col width="16" customWidth="1" min="8" max="8"/>
    <col width="20" customWidth="1" min="9" max="9"/>
    <col width="16" customWidth="1" min="10" max="10"/>
    <col width="10" customWidth="1" min="11" max="11"/>
    <col width="9" customWidth="1" min="12" max="12"/>
    <col width="20" customWidth="1" min="13" max="13"/>
    <col width="30" customWidth="1" min="14" max="14"/>
    <col width="26" customWidth="1" min="15" max="15"/>
    <col width="36" customWidth="1" min="16" max="16"/>
  </cols>
  <sheetData>
    <row r="1">
      <c r="A1" s="4" t="inlineStr">
        <is>
          <t>Quote Comparison (levelled)</t>
        </is>
      </c>
    </row>
    <row r="2" ht="48" customHeight="1">
      <c r="A2" s="3" t="inlineStr">
        <is>
          <t>Actual quoted prices and the normalised comparison value are shown separately. Normalised = required qty x rate x (1-disc) x FX / tax divisor + APPROVED adjustments only. The cheapest quotation is never auto-awarded.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package_id</t>
        </is>
      </c>
      <c r="B4" t="inlineStr">
        <is>
          <t>quotation_id</t>
        </is>
      </c>
      <c r="C4" t="inlineStr">
        <is>
          <t>supplier</t>
        </is>
      </c>
      <c r="D4" t="inlineStr">
        <is>
          <t>validity</t>
        </is>
      </c>
      <c r="E4" t="inlineStr">
        <is>
          <t>coverage</t>
        </is>
      </c>
      <c r="F4" t="inlineStr">
        <is>
          <t>quoted_total</t>
        </is>
      </c>
      <c r="G4" t="inlineStr">
        <is>
          <t>currency</t>
        </is>
      </c>
      <c r="H4" t="inlineStr">
        <is>
          <t>approved_adjustments</t>
        </is>
      </c>
      <c r="I4" t="inlineStr">
        <is>
          <t>normalised_total</t>
        </is>
      </c>
      <c r="J4" t="inlineStr">
        <is>
          <t>difference_vs_lowest</t>
        </is>
      </c>
      <c r="K4" t="inlineStr">
        <is>
          <t>like_for_like</t>
        </is>
      </c>
      <c r="L4" t="inlineStr">
        <is>
          <t>lead_time_days</t>
        </is>
      </c>
      <c r="M4" t="inlineStr">
        <is>
          <t>payment_terms</t>
        </is>
      </c>
      <c r="N4" t="inlineStr">
        <is>
          <t>exclusions</t>
        </is>
      </c>
      <c r="O4" t="inlineStr">
        <is>
          <t>missing_items</t>
        </is>
      </c>
      <c r="P4" t="inlineStr">
        <is>
          <t>notes</t>
        </is>
      </c>
    </row>
    <row r="5" ht="34" customHeight="1">
      <c r="A5" s="15" t="inlineStr">
        <is>
          <t>Package</t>
        </is>
      </c>
      <c r="B5" s="15" t="inlineStr">
        <is>
          <t>Quotation</t>
        </is>
      </c>
      <c r="C5" s="15" t="inlineStr">
        <is>
          <t>Supplier</t>
        </is>
      </c>
      <c r="D5" s="15" t="inlineStr">
        <is>
          <t>Validity</t>
        </is>
      </c>
      <c r="E5" s="15" t="inlineStr">
        <is>
          <t>Coverage</t>
        </is>
      </c>
      <c r="F5" s="15" t="inlineStr">
        <is>
          <t>Quoted total (as quoted)</t>
        </is>
      </c>
      <c r="G5" s="15" t="inlineStr">
        <is>
          <t>Currency</t>
        </is>
      </c>
      <c r="H5" s="15" t="inlineStr">
        <is>
          <t>Approved adjustments (SAR)</t>
        </is>
      </c>
      <c r="I5" s="15" t="inlineStr">
        <is>
          <t>Normalised comparison value (SAR, pre-tax)</t>
        </is>
      </c>
      <c r="J5" s="15" t="inlineStr">
        <is>
          <t>Diff vs lowest like-for-like</t>
        </is>
      </c>
      <c r="K5" s="15" t="inlineStr">
        <is>
          <t>Like-for-like</t>
        </is>
      </c>
      <c r="L5" s="15" t="inlineStr">
        <is>
          <t>Lead time</t>
        </is>
      </c>
      <c r="M5" s="15" t="inlineStr">
        <is>
          <t>Payment terms</t>
        </is>
      </c>
      <c r="N5" s="15" t="inlineStr">
        <is>
          <t>Exclusions</t>
        </is>
      </c>
      <c r="O5" s="15" t="inlineStr">
        <is>
          <t>Missing items</t>
        </is>
      </c>
      <c r="P5" s="15" t="inlineStr">
        <is>
          <t>Notes</t>
        </is>
      </c>
    </row>
    <row r="6">
      <c r="A6" s="16" t="n"/>
      <c r="B6" s="16" t="n"/>
      <c r="C6" s="16" t="n"/>
      <c r="D6" s="16" t="n"/>
      <c r="E6" s="16" t="n"/>
      <c r="F6" s="19" t="n"/>
      <c r="G6" s="16" t="n"/>
      <c r="H6" s="19" t="n"/>
      <c r="I6" s="19" t="n"/>
      <c r="J6" s="20">
        <f>IF(OR(I6="",K6&lt;&gt;"Yes"),"",I6-MINIFS($I$6:$I$500,$K$6:$K$500,"Yes"))</f>
        <v/>
      </c>
      <c r="K6" s="16" t="n"/>
      <c r="L6" s="16" t="n"/>
      <c r="M6" s="16" t="n"/>
      <c r="N6" s="9" t="n"/>
      <c r="O6" s="9" t="n"/>
      <c r="P6" s="9" t="n"/>
    </row>
    <row r="7">
      <c r="A7" s="16" t="n"/>
      <c r="B7" s="16" t="n"/>
      <c r="C7" s="16" t="n"/>
      <c r="D7" s="16" t="n"/>
      <c r="E7" s="16" t="n"/>
      <c r="F7" s="19" t="n"/>
      <c r="G7" s="16" t="n"/>
      <c r="H7" s="19" t="n"/>
      <c r="I7" s="19" t="n"/>
      <c r="J7" s="20">
        <f>IF(OR(I7="",K7&lt;&gt;"Yes"),"",I7-MINIFS($I$6:$I$500,$K$6:$K$500,"Yes"))</f>
        <v/>
      </c>
      <c r="K7" s="16" t="n"/>
      <c r="L7" s="16" t="n"/>
      <c r="M7" s="16" t="n"/>
      <c r="N7" s="9" t="n"/>
      <c r="O7" s="9" t="n"/>
      <c r="P7" s="9" t="n"/>
    </row>
    <row r="8">
      <c r="A8" s="16" t="n"/>
      <c r="B8" s="16" t="n"/>
      <c r="C8" s="16" t="n"/>
      <c r="D8" s="16" t="n"/>
      <c r="E8" s="16" t="n"/>
      <c r="F8" s="19" t="n"/>
      <c r="G8" s="16" t="n"/>
      <c r="H8" s="19" t="n"/>
      <c r="I8" s="19" t="n"/>
      <c r="J8" s="20">
        <f>IF(OR(I8="",K8&lt;&gt;"Yes"),"",I8-MINIFS($I$6:$I$500,$K$6:$K$500,"Yes"))</f>
        <v/>
      </c>
      <c r="K8" s="16" t="n"/>
      <c r="L8" s="16" t="n"/>
      <c r="M8" s="16" t="n"/>
      <c r="N8" s="9" t="n"/>
      <c r="O8" s="9" t="n"/>
      <c r="P8" s="9" t="n"/>
    </row>
    <row r="9">
      <c r="A9" s="16" t="n"/>
      <c r="B9" s="16" t="n"/>
      <c r="C9" s="16" t="n"/>
      <c r="D9" s="16" t="n"/>
      <c r="E9" s="16" t="n"/>
      <c r="F9" s="19" t="n"/>
      <c r="G9" s="16" t="n"/>
      <c r="H9" s="19" t="n"/>
      <c r="I9" s="19" t="n"/>
      <c r="J9" s="20">
        <f>IF(OR(I9="",K9&lt;&gt;"Yes"),"",I9-MINIFS($I$6:$I$500,$K$6:$K$500,"Yes"))</f>
        <v/>
      </c>
      <c r="K9" s="16" t="n"/>
      <c r="L9" s="16" t="n"/>
      <c r="M9" s="16" t="n"/>
      <c r="N9" s="9" t="n"/>
      <c r="O9" s="9" t="n"/>
      <c r="P9" s="9" t="n"/>
    </row>
    <row r="10">
      <c r="A10" s="16" t="n"/>
      <c r="B10" s="16" t="n"/>
      <c r="C10" s="16" t="n"/>
      <c r="D10" s="16" t="n"/>
      <c r="E10" s="16" t="n"/>
      <c r="F10" s="19" t="n"/>
      <c r="G10" s="16" t="n"/>
      <c r="H10" s="19" t="n"/>
      <c r="I10" s="19" t="n"/>
      <c r="J10" s="20">
        <f>IF(OR(I10="",K10&lt;&gt;"Yes"),"",I10-MINIFS($I$6:$I$500,$K$6:$K$500,"Yes"))</f>
        <v/>
      </c>
      <c r="K10" s="16" t="n"/>
      <c r="L10" s="16" t="n"/>
      <c r="M10" s="16" t="n"/>
      <c r="N10" s="9" t="n"/>
      <c r="O10" s="9" t="n"/>
      <c r="P10" s="9" t="n"/>
    </row>
    <row r="11">
      <c r="A11" s="16" t="n"/>
      <c r="B11" s="16" t="n"/>
      <c r="C11" s="16" t="n"/>
      <c r="D11" s="16" t="n"/>
      <c r="E11" s="16" t="n"/>
      <c r="F11" s="19" t="n"/>
      <c r="G11" s="16" t="n"/>
      <c r="H11" s="19" t="n"/>
      <c r="I11" s="19" t="n"/>
      <c r="J11" s="20">
        <f>IF(OR(I11="",K11&lt;&gt;"Yes"),"",I11-MINIFS($I$6:$I$500,$K$6:$K$500,"Yes"))</f>
        <v/>
      </c>
      <c r="K11" s="16" t="n"/>
      <c r="L11" s="16" t="n"/>
      <c r="M11" s="16" t="n"/>
      <c r="N11" s="9" t="n"/>
      <c r="O11" s="9" t="n"/>
      <c r="P11" s="9" t="n"/>
    </row>
    <row r="12">
      <c r="A12" s="16" t="n"/>
      <c r="B12" s="16" t="n"/>
      <c r="C12" s="16" t="n"/>
      <c r="D12" s="16" t="n"/>
      <c r="E12" s="16" t="n"/>
      <c r="F12" s="19" t="n"/>
      <c r="G12" s="16" t="n"/>
      <c r="H12" s="19" t="n"/>
      <c r="I12" s="19" t="n"/>
      <c r="J12" s="20">
        <f>IF(OR(I12="",K12&lt;&gt;"Yes"),"",I12-MINIFS($I$6:$I$500,$K$6:$K$500,"Yes"))</f>
        <v/>
      </c>
      <c r="K12" s="16" t="n"/>
      <c r="L12" s="16" t="n"/>
      <c r="M12" s="16" t="n"/>
      <c r="N12" s="9" t="n"/>
      <c r="O12" s="9" t="n"/>
      <c r="P12" s="9" t="n"/>
    </row>
    <row r="13">
      <c r="A13" s="16" t="n"/>
      <c r="B13" s="16" t="n"/>
      <c r="C13" s="16" t="n"/>
      <c r="D13" s="16" t="n"/>
      <c r="E13" s="16" t="n"/>
      <c r="F13" s="19" t="n"/>
      <c r="G13" s="16" t="n"/>
      <c r="H13" s="19" t="n"/>
      <c r="I13" s="19" t="n"/>
      <c r="J13" s="20">
        <f>IF(OR(I13="",K13&lt;&gt;"Yes"),"",I13-MINIFS($I$6:$I$500,$K$6:$K$500,"Yes"))</f>
        <v/>
      </c>
      <c r="K13" s="16" t="n"/>
      <c r="L13" s="16" t="n"/>
      <c r="M13" s="16" t="n"/>
      <c r="N13" s="9" t="n"/>
      <c r="O13" s="9" t="n"/>
      <c r="P13" s="9" t="n"/>
    </row>
    <row r="14">
      <c r="A14" s="16" t="n"/>
      <c r="B14" s="16" t="n"/>
      <c r="C14" s="16" t="n"/>
      <c r="D14" s="16" t="n"/>
      <c r="E14" s="16" t="n"/>
      <c r="F14" s="19" t="n"/>
      <c r="G14" s="16" t="n"/>
      <c r="H14" s="19" t="n"/>
      <c r="I14" s="19" t="n"/>
      <c r="J14" s="20">
        <f>IF(OR(I14="",K14&lt;&gt;"Yes"),"",I14-MINIFS($I$6:$I$500,$K$6:$K$500,"Yes"))</f>
        <v/>
      </c>
      <c r="K14" s="16" t="n"/>
      <c r="L14" s="16" t="n"/>
      <c r="M14" s="16" t="n"/>
      <c r="N14" s="9" t="n"/>
      <c r="O14" s="9" t="n"/>
      <c r="P14" s="9" t="n"/>
    </row>
    <row r="15">
      <c r="A15" s="16" t="n"/>
      <c r="B15" s="16" t="n"/>
      <c r="C15" s="16" t="n"/>
      <c r="D15" s="16" t="n"/>
      <c r="E15" s="16" t="n"/>
      <c r="F15" s="19" t="n"/>
      <c r="G15" s="16" t="n"/>
      <c r="H15" s="19" t="n"/>
      <c r="I15" s="19" t="n"/>
      <c r="J15" s="20">
        <f>IF(OR(I15="",K15&lt;&gt;"Yes"),"",I15-MINIFS($I$6:$I$500,$K$6:$K$500,"Yes"))</f>
        <v/>
      </c>
      <c r="K15" s="16" t="n"/>
      <c r="L15" s="16" t="n"/>
      <c r="M15" s="16" t="n"/>
      <c r="N15" s="9" t="n"/>
      <c r="O15" s="9" t="n"/>
      <c r="P15" s="9" t="n"/>
    </row>
    <row r="16">
      <c r="A16" s="16" t="n"/>
      <c r="B16" s="16" t="n"/>
      <c r="C16" s="16" t="n"/>
      <c r="D16" s="16" t="n"/>
      <c r="E16" s="16" t="n"/>
      <c r="F16" s="19" t="n"/>
      <c r="G16" s="16" t="n"/>
      <c r="H16" s="19" t="n"/>
      <c r="I16" s="19" t="n"/>
      <c r="J16" s="20">
        <f>IF(OR(I16="",K16&lt;&gt;"Yes"),"",I16-MINIFS($I$6:$I$500,$K$6:$K$500,"Yes"))</f>
        <v/>
      </c>
      <c r="K16" s="16" t="n"/>
      <c r="L16" s="16" t="n"/>
      <c r="M16" s="16" t="n"/>
      <c r="N16" s="9" t="n"/>
      <c r="O16" s="9" t="n"/>
      <c r="P16" s="9" t="n"/>
    </row>
    <row r="17">
      <c r="A17" s="16" t="n"/>
      <c r="B17" s="16" t="n"/>
      <c r="C17" s="16" t="n"/>
      <c r="D17" s="16" t="n"/>
      <c r="E17" s="16" t="n"/>
      <c r="F17" s="19" t="n"/>
      <c r="G17" s="16" t="n"/>
      <c r="H17" s="19" t="n"/>
      <c r="I17" s="19" t="n"/>
      <c r="J17" s="20">
        <f>IF(OR(I17="",K17&lt;&gt;"Yes"),"",I17-MINIFS($I$6:$I$500,$K$6:$K$500,"Yes"))</f>
        <v/>
      </c>
      <c r="K17" s="16" t="n"/>
      <c r="L17" s="16" t="n"/>
      <c r="M17" s="16" t="n"/>
      <c r="N17" s="9" t="n"/>
      <c r="O17" s="9" t="n"/>
      <c r="P17" s="9" t="n"/>
    </row>
    <row r="18">
      <c r="A18" s="16" t="n"/>
      <c r="B18" s="16" t="n"/>
      <c r="C18" s="16" t="n"/>
      <c r="D18" s="16" t="n"/>
      <c r="E18" s="16" t="n"/>
      <c r="F18" s="19" t="n"/>
      <c r="G18" s="16" t="n"/>
      <c r="H18" s="19" t="n"/>
      <c r="I18" s="19" t="n"/>
      <c r="J18" s="20">
        <f>IF(OR(I18="",K18&lt;&gt;"Yes"),"",I18-MINIFS($I$6:$I$500,$K$6:$K$500,"Yes"))</f>
        <v/>
      </c>
      <c r="K18" s="16" t="n"/>
      <c r="L18" s="16" t="n"/>
      <c r="M18" s="16" t="n"/>
      <c r="N18" s="9" t="n"/>
      <c r="O18" s="9" t="n"/>
      <c r="P18" s="9" t="n"/>
    </row>
    <row r="19">
      <c r="A19" s="16" t="n"/>
      <c r="B19" s="16" t="n"/>
      <c r="C19" s="16" t="n"/>
      <c r="D19" s="16" t="n"/>
      <c r="E19" s="16" t="n"/>
      <c r="F19" s="19" t="n"/>
      <c r="G19" s="16" t="n"/>
      <c r="H19" s="19" t="n"/>
      <c r="I19" s="19" t="n"/>
      <c r="J19" s="20">
        <f>IF(OR(I19="",K19&lt;&gt;"Yes"),"",I19-MINIFS($I$6:$I$500,$K$6:$K$500,"Yes"))</f>
        <v/>
      </c>
      <c r="K19" s="16" t="n"/>
      <c r="L19" s="16" t="n"/>
      <c r="M19" s="16" t="n"/>
      <c r="N19" s="9" t="n"/>
      <c r="O19" s="9" t="n"/>
      <c r="P19" s="9" t="n"/>
    </row>
    <row r="20">
      <c r="A20" s="16" t="n"/>
      <c r="B20" s="16" t="n"/>
      <c r="C20" s="16" t="n"/>
      <c r="D20" s="16" t="n"/>
      <c r="E20" s="16" t="n"/>
      <c r="F20" s="19" t="n"/>
      <c r="G20" s="16" t="n"/>
      <c r="H20" s="19" t="n"/>
      <c r="I20" s="19" t="n"/>
      <c r="J20" s="20">
        <f>IF(OR(I20="",K20&lt;&gt;"Yes"),"",I20-MINIFS($I$6:$I$500,$K$6:$K$500,"Yes"))</f>
        <v/>
      </c>
      <c r="K20" s="16" t="n"/>
      <c r="L20" s="16" t="n"/>
      <c r="M20" s="16" t="n"/>
      <c r="N20" s="9" t="n"/>
      <c r="O20" s="9" t="n"/>
      <c r="P20" s="9" t="n"/>
    </row>
    <row r="21">
      <c r="A21" s="16" t="n"/>
      <c r="B21" s="16" t="n"/>
      <c r="C21" s="16" t="n"/>
      <c r="D21" s="16" t="n"/>
      <c r="E21" s="16" t="n"/>
      <c r="F21" s="19" t="n"/>
      <c r="G21" s="16" t="n"/>
      <c r="H21" s="19" t="n"/>
      <c r="I21" s="19" t="n"/>
      <c r="J21" s="20">
        <f>IF(OR(I21="",K21&lt;&gt;"Yes"),"",I21-MINIFS($I$6:$I$500,$K$6:$K$500,"Yes"))</f>
        <v/>
      </c>
      <c r="K21" s="16" t="n"/>
      <c r="L21" s="16" t="n"/>
      <c r="M21" s="16" t="n"/>
      <c r="N21" s="9" t="n"/>
      <c r="O21" s="9" t="n"/>
      <c r="P21" s="9" t="n"/>
    </row>
    <row r="22">
      <c r="A22" s="16" t="n"/>
      <c r="B22" s="16" t="n"/>
      <c r="C22" s="16" t="n"/>
      <c r="D22" s="16" t="n"/>
      <c r="E22" s="16" t="n"/>
      <c r="F22" s="19" t="n"/>
      <c r="G22" s="16" t="n"/>
      <c r="H22" s="19" t="n"/>
      <c r="I22" s="19" t="n"/>
      <c r="J22" s="20">
        <f>IF(OR(I22="",K22&lt;&gt;"Yes"),"",I22-MINIFS($I$6:$I$500,$K$6:$K$500,"Yes"))</f>
        <v/>
      </c>
      <c r="K22" s="16" t="n"/>
      <c r="L22" s="16" t="n"/>
      <c r="M22" s="16" t="n"/>
      <c r="N22" s="9" t="n"/>
      <c r="O22" s="9" t="n"/>
      <c r="P22" s="9" t="n"/>
    </row>
    <row r="23">
      <c r="A23" s="16" t="n"/>
      <c r="B23" s="16" t="n"/>
      <c r="C23" s="16" t="n"/>
      <c r="D23" s="16" t="n"/>
      <c r="E23" s="16" t="n"/>
      <c r="F23" s="19" t="n"/>
      <c r="G23" s="16" t="n"/>
      <c r="H23" s="19" t="n"/>
      <c r="I23" s="19" t="n"/>
      <c r="J23" s="20">
        <f>IF(OR(I23="",K23&lt;&gt;"Yes"),"",I23-MINIFS($I$6:$I$500,$K$6:$K$500,"Yes"))</f>
        <v/>
      </c>
      <c r="K23" s="16" t="n"/>
      <c r="L23" s="16" t="n"/>
      <c r="M23" s="16" t="n"/>
      <c r="N23" s="9" t="n"/>
      <c r="O23" s="9" t="n"/>
      <c r="P23" s="9" t="n"/>
    </row>
    <row r="24">
      <c r="A24" s="16" t="n"/>
      <c r="B24" s="16" t="n"/>
      <c r="C24" s="16" t="n"/>
      <c r="D24" s="16" t="n"/>
      <c r="E24" s="16" t="n"/>
      <c r="F24" s="19" t="n"/>
      <c r="G24" s="16" t="n"/>
      <c r="H24" s="19" t="n"/>
      <c r="I24" s="19" t="n"/>
      <c r="J24" s="20">
        <f>IF(OR(I24="",K24&lt;&gt;"Yes"),"",I24-MINIFS($I$6:$I$500,$K$6:$K$500,"Yes"))</f>
        <v/>
      </c>
      <c r="K24" s="16" t="n"/>
      <c r="L24" s="16" t="n"/>
      <c r="M24" s="16" t="n"/>
      <c r="N24" s="9" t="n"/>
      <c r="O24" s="9" t="n"/>
      <c r="P24" s="9" t="n"/>
    </row>
    <row r="25">
      <c r="A25" s="16" t="n"/>
      <c r="B25" s="16" t="n"/>
      <c r="C25" s="16" t="n"/>
      <c r="D25" s="16" t="n"/>
      <c r="E25" s="16" t="n"/>
      <c r="F25" s="19" t="n"/>
      <c r="G25" s="16" t="n"/>
      <c r="H25" s="19" t="n"/>
      <c r="I25" s="19" t="n"/>
      <c r="J25" s="20">
        <f>IF(OR(I25="",K25&lt;&gt;"Yes"),"",I25-MINIFS($I$6:$I$500,$K$6:$K$500,"Yes"))</f>
        <v/>
      </c>
      <c r="K25" s="16" t="n"/>
      <c r="L25" s="16" t="n"/>
      <c r="M25" s="16" t="n"/>
      <c r="N25" s="9" t="n"/>
      <c r="O25" s="9" t="n"/>
      <c r="P25" s="9" t="n"/>
    </row>
    <row r="26">
      <c r="A26" s="16" t="n"/>
      <c r="B26" s="16" t="n"/>
      <c r="C26" s="16" t="n"/>
      <c r="D26" s="16" t="n"/>
      <c r="E26" s="16" t="n"/>
      <c r="F26" s="19" t="n"/>
      <c r="G26" s="16" t="n"/>
      <c r="H26" s="19" t="n"/>
      <c r="I26" s="19" t="n"/>
      <c r="J26" s="20">
        <f>IF(OR(I26="",K26&lt;&gt;"Yes"),"",I26-MINIFS($I$6:$I$500,$K$6:$K$500,"Yes"))</f>
        <v/>
      </c>
      <c r="K26" s="16" t="n"/>
      <c r="L26" s="16" t="n"/>
      <c r="M26" s="16" t="n"/>
      <c r="N26" s="9" t="n"/>
      <c r="O26" s="9" t="n"/>
      <c r="P26" s="9" t="n"/>
    </row>
    <row r="27">
      <c r="A27" s="16" t="n"/>
      <c r="B27" s="16" t="n"/>
      <c r="C27" s="16" t="n"/>
      <c r="D27" s="16" t="n"/>
      <c r="E27" s="16" t="n"/>
      <c r="F27" s="19" t="n"/>
      <c r="G27" s="16" t="n"/>
      <c r="H27" s="19" t="n"/>
      <c r="I27" s="19" t="n"/>
      <c r="J27" s="20">
        <f>IF(OR(I27="",K27&lt;&gt;"Yes"),"",I27-MINIFS($I$6:$I$500,$K$6:$K$500,"Yes"))</f>
        <v/>
      </c>
      <c r="K27" s="16" t="n"/>
      <c r="L27" s="16" t="n"/>
      <c r="M27" s="16" t="n"/>
      <c r="N27" s="9" t="n"/>
      <c r="O27" s="9" t="n"/>
      <c r="P27" s="9" t="n"/>
    </row>
    <row r="28">
      <c r="A28" s="16" t="n"/>
      <c r="B28" s="16" t="n"/>
      <c r="C28" s="16" t="n"/>
      <c r="D28" s="16" t="n"/>
      <c r="E28" s="16" t="n"/>
      <c r="F28" s="19" t="n"/>
      <c r="G28" s="16" t="n"/>
      <c r="H28" s="19" t="n"/>
      <c r="I28" s="19" t="n"/>
      <c r="J28" s="20">
        <f>IF(OR(I28="",K28&lt;&gt;"Yes"),"",I28-MINIFS($I$6:$I$500,$K$6:$K$500,"Yes"))</f>
        <v/>
      </c>
      <c r="K28" s="16" t="n"/>
      <c r="L28" s="16" t="n"/>
      <c r="M28" s="16" t="n"/>
      <c r="N28" s="9" t="n"/>
      <c r="O28" s="9" t="n"/>
      <c r="P28" s="9" t="n"/>
    </row>
    <row r="29">
      <c r="A29" s="16" t="n"/>
      <c r="B29" s="16" t="n"/>
      <c r="C29" s="16" t="n"/>
      <c r="D29" s="16" t="n"/>
      <c r="E29" s="16" t="n"/>
      <c r="F29" s="19" t="n"/>
      <c r="G29" s="16" t="n"/>
      <c r="H29" s="19" t="n"/>
      <c r="I29" s="19" t="n"/>
      <c r="J29" s="20">
        <f>IF(OR(I29="",K29&lt;&gt;"Yes"),"",I29-MINIFS($I$6:$I$500,$K$6:$K$500,"Yes"))</f>
        <v/>
      </c>
      <c r="K29" s="16" t="n"/>
      <c r="L29" s="16" t="n"/>
      <c r="M29" s="16" t="n"/>
      <c r="N29" s="9" t="n"/>
      <c r="O29" s="9" t="n"/>
      <c r="P29" s="9" t="n"/>
    </row>
    <row r="30">
      <c r="A30" s="16" t="n"/>
      <c r="B30" s="16" t="n"/>
      <c r="C30" s="16" t="n"/>
      <c r="D30" s="16" t="n"/>
      <c r="E30" s="16" t="n"/>
      <c r="F30" s="19" t="n"/>
      <c r="G30" s="16" t="n"/>
      <c r="H30" s="19" t="n"/>
      <c r="I30" s="19" t="n"/>
      <c r="J30" s="20">
        <f>IF(OR(I30="",K30&lt;&gt;"Yes"),"",I30-MINIFS($I$6:$I$500,$K$6:$K$500,"Yes"))</f>
        <v/>
      </c>
      <c r="K30" s="16" t="n"/>
      <c r="L30" s="16" t="n"/>
      <c r="M30" s="16" t="n"/>
      <c r="N30" s="9" t="n"/>
      <c r="O30" s="9" t="n"/>
      <c r="P30" s="9" t="n"/>
    </row>
    <row r="31">
      <c r="A31" s="16" t="n"/>
      <c r="B31" s="16" t="n"/>
      <c r="C31" s="16" t="n"/>
      <c r="D31" s="16" t="n"/>
      <c r="E31" s="16" t="n"/>
      <c r="F31" s="19" t="n"/>
      <c r="G31" s="16" t="n"/>
      <c r="H31" s="19" t="n"/>
      <c r="I31" s="19" t="n"/>
      <c r="J31" s="20">
        <f>IF(OR(I31="",K31&lt;&gt;"Yes"),"",I31-MINIFS($I$6:$I$500,$K$6:$K$500,"Yes"))</f>
        <v/>
      </c>
      <c r="K31" s="16" t="n"/>
      <c r="L31" s="16" t="n"/>
      <c r="M31" s="16" t="n"/>
      <c r="N31" s="9" t="n"/>
      <c r="O31" s="9" t="n"/>
      <c r="P31" s="9" t="n"/>
    </row>
    <row r="32">
      <c r="A32" s="16" t="n"/>
      <c r="B32" s="16" t="n"/>
      <c r="C32" s="16" t="n"/>
      <c r="D32" s="16" t="n"/>
      <c r="E32" s="16" t="n"/>
      <c r="F32" s="19" t="n"/>
      <c r="G32" s="16" t="n"/>
      <c r="H32" s="19" t="n"/>
      <c r="I32" s="19" t="n"/>
      <c r="J32" s="20">
        <f>IF(OR(I32="",K32&lt;&gt;"Yes"),"",I32-MINIFS($I$6:$I$500,$K$6:$K$500,"Yes"))</f>
        <v/>
      </c>
      <c r="K32" s="16" t="n"/>
      <c r="L32" s="16" t="n"/>
      <c r="M32" s="16" t="n"/>
      <c r="N32" s="9" t="n"/>
      <c r="O32" s="9" t="n"/>
      <c r="P32" s="9" t="n"/>
    </row>
    <row r="33">
      <c r="A33" s="16" t="n"/>
      <c r="B33" s="16" t="n"/>
      <c r="C33" s="16" t="n"/>
      <c r="D33" s="16" t="n"/>
      <c r="E33" s="16" t="n"/>
      <c r="F33" s="19" t="n"/>
      <c r="G33" s="16" t="n"/>
      <c r="H33" s="19" t="n"/>
      <c r="I33" s="19" t="n"/>
      <c r="J33" s="20">
        <f>IF(OR(I33="",K33&lt;&gt;"Yes"),"",I33-MINIFS($I$6:$I$500,$K$6:$K$500,"Yes"))</f>
        <v/>
      </c>
      <c r="K33" s="16" t="n"/>
      <c r="L33" s="16" t="n"/>
      <c r="M33" s="16" t="n"/>
      <c r="N33" s="9" t="n"/>
      <c r="O33" s="9" t="n"/>
      <c r="P33" s="9" t="n"/>
    </row>
    <row r="34">
      <c r="A34" s="16" t="n"/>
      <c r="B34" s="16" t="n"/>
      <c r="C34" s="16" t="n"/>
      <c r="D34" s="16" t="n"/>
      <c r="E34" s="16" t="n"/>
      <c r="F34" s="19" t="n"/>
      <c r="G34" s="16" t="n"/>
      <c r="H34" s="19" t="n"/>
      <c r="I34" s="19" t="n"/>
      <c r="J34" s="20">
        <f>IF(OR(I34="",K34&lt;&gt;"Yes"),"",I34-MINIFS($I$6:$I$500,$K$6:$K$500,"Yes"))</f>
        <v/>
      </c>
      <c r="K34" s="16" t="n"/>
      <c r="L34" s="16" t="n"/>
      <c r="M34" s="16" t="n"/>
      <c r="N34" s="9" t="n"/>
      <c r="O34" s="9" t="n"/>
      <c r="P34" s="9" t="n"/>
    </row>
    <row r="35">
      <c r="A35" s="16" t="n"/>
      <c r="B35" s="16" t="n"/>
      <c r="C35" s="16" t="n"/>
      <c r="D35" s="16" t="n"/>
      <c r="E35" s="16" t="n"/>
      <c r="F35" s="19" t="n"/>
      <c r="G35" s="16" t="n"/>
      <c r="H35" s="19" t="n"/>
      <c r="I35" s="19" t="n"/>
      <c r="J35" s="20">
        <f>IF(OR(I35="",K35&lt;&gt;"Yes"),"",I35-MINIFS($I$6:$I$500,$K$6:$K$500,"Yes"))</f>
        <v/>
      </c>
      <c r="K35" s="16" t="n"/>
      <c r="L35" s="16" t="n"/>
      <c r="M35" s="16" t="n"/>
      <c r="N35" s="9" t="n"/>
      <c r="O35" s="9" t="n"/>
      <c r="P35" s="9" t="n"/>
    </row>
    <row r="36">
      <c r="A36" s="16" t="n"/>
      <c r="B36" s="16" t="n"/>
      <c r="C36" s="16" t="n"/>
      <c r="D36" s="16" t="n"/>
      <c r="E36" s="16" t="n"/>
      <c r="F36" s="19" t="n"/>
      <c r="G36" s="16" t="n"/>
      <c r="H36" s="19" t="n"/>
      <c r="I36" s="19" t="n"/>
      <c r="J36" s="20">
        <f>IF(OR(I36="",K36&lt;&gt;"Yes"),"",I36-MINIFS($I$6:$I$500,$K$6:$K$500,"Yes"))</f>
        <v/>
      </c>
      <c r="K36" s="16" t="n"/>
      <c r="L36" s="16" t="n"/>
      <c r="M36" s="16" t="n"/>
      <c r="N36" s="9" t="n"/>
      <c r="O36" s="9" t="n"/>
      <c r="P36" s="9" t="n"/>
    </row>
    <row r="37">
      <c r="A37" s="16" t="n"/>
      <c r="B37" s="16" t="n"/>
      <c r="C37" s="16" t="n"/>
      <c r="D37" s="16" t="n"/>
      <c r="E37" s="16" t="n"/>
      <c r="F37" s="19" t="n"/>
      <c r="G37" s="16" t="n"/>
      <c r="H37" s="19" t="n"/>
      <c r="I37" s="19" t="n"/>
      <c r="J37" s="20">
        <f>IF(OR(I37="",K37&lt;&gt;"Yes"),"",I37-MINIFS($I$6:$I$500,$K$6:$K$500,"Yes"))</f>
        <v/>
      </c>
      <c r="K37" s="16" t="n"/>
      <c r="L37" s="16" t="n"/>
      <c r="M37" s="16" t="n"/>
      <c r="N37" s="9" t="n"/>
      <c r="O37" s="9" t="n"/>
      <c r="P37" s="9" t="n"/>
    </row>
    <row r="38">
      <c r="A38" s="16" t="n"/>
      <c r="B38" s="16" t="n"/>
      <c r="C38" s="16" t="n"/>
      <c r="D38" s="16" t="n"/>
      <c r="E38" s="16" t="n"/>
      <c r="F38" s="19" t="n"/>
      <c r="G38" s="16" t="n"/>
      <c r="H38" s="19" t="n"/>
      <c r="I38" s="19" t="n"/>
      <c r="J38" s="20">
        <f>IF(OR(I38="",K38&lt;&gt;"Yes"),"",I38-MINIFS($I$6:$I$500,$K$6:$K$500,"Yes"))</f>
        <v/>
      </c>
      <c r="K38" s="16" t="n"/>
      <c r="L38" s="16" t="n"/>
      <c r="M38" s="16" t="n"/>
      <c r="N38" s="9" t="n"/>
      <c r="O38" s="9" t="n"/>
      <c r="P38" s="9" t="n"/>
    </row>
    <row r="39">
      <c r="A39" s="16" t="n"/>
      <c r="B39" s="16" t="n"/>
      <c r="C39" s="16" t="n"/>
      <c r="D39" s="16" t="n"/>
      <c r="E39" s="16" t="n"/>
      <c r="F39" s="19" t="n"/>
      <c r="G39" s="16" t="n"/>
      <c r="H39" s="19" t="n"/>
      <c r="I39" s="19" t="n"/>
      <c r="J39" s="20">
        <f>IF(OR(I39="",K39&lt;&gt;"Yes"),"",I39-MINIFS($I$6:$I$500,$K$6:$K$500,"Yes"))</f>
        <v/>
      </c>
      <c r="K39" s="16" t="n"/>
      <c r="L39" s="16" t="n"/>
      <c r="M39" s="16" t="n"/>
      <c r="N39" s="9" t="n"/>
      <c r="O39" s="9" t="n"/>
      <c r="P39" s="9" t="n"/>
    </row>
    <row r="40">
      <c r="A40" s="16" t="n"/>
      <c r="B40" s="16" t="n"/>
      <c r="C40" s="16" t="n"/>
      <c r="D40" s="16" t="n"/>
      <c r="E40" s="16" t="n"/>
      <c r="F40" s="19" t="n"/>
      <c r="G40" s="16" t="n"/>
      <c r="H40" s="19" t="n"/>
      <c r="I40" s="19" t="n"/>
      <c r="J40" s="20">
        <f>IF(OR(I40="",K40&lt;&gt;"Yes"),"",I40-MINIFS($I$6:$I$500,$K$6:$K$500,"Yes"))</f>
        <v/>
      </c>
      <c r="K40" s="16" t="n"/>
      <c r="L40" s="16" t="n"/>
      <c r="M40" s="16" t="n"/>
      <c r="N40" s="9" t="n"/>
      <c r="O40" s="9" t="n"/>
      <c r="P40" s="9" t="n"/>
    </row>
    <row r="41">
      <c r="A41" s="16" t="n"/>
      <c r="B41" s="16" t="n"/>
      <c r="C41" s="16" t="n"/>
      <c r="D41" s="16" t="n"/>
      <c r="E41" s="16" t="n"/>
      <c r="F41" s="19" t="n"/>
      <c r="G41" s="16" t="n"/>
      <c r="H41" s="19" t="n"/>
      <c r="I41" s="19" t="n"/>
      <c r="J41" s="20">
        <f>IF(OR(I41="",K41&lt;&gt;"Yes"),"",I41-MINIFS($I$6:$I$500,$K$6:$K$500,"Yes"))</f>
        <v/>
      </c>
      <c r="K41" s="16" t="n"/>
      <c r="L41" s="16" t="n"/>
      <c r="M41" s="16" t="n"/>
      <c r="N41" s="9" t="n"/>
      <c r="O41" s="9" t="n"/>
      <c r="P41" s="9" t="n"/>
    </row>
    <row r="42">
      <c r="A42" s="16" t="n"/>
      <c r="B42" s="16" t="n"/>
      <c r="C42" s="16" t="n"/>
      <c r="D42" s="16" t="n"/>
      <c r="E42" s="16" t="n"/>
      <c r="F42" s="19" t="n"/>
      <c r="G42" s="16" t="n"/>
      <c r="H42" s="19" t="n"/>
      <c r="I42" s="19" t="n"/>
      <c r="J42" s="20">
        <f>IF(OR(I42="",K42&lt;&gt;"Yes"),"",I42-MINIFS($I$6:$I$500,$K$6:$K$500,"Yes"))</f>
        <v/>
      </c>
      <c r="K42" s="16" t="n"/>
      <c r="L42" s="16" t="n"/>
      <c r="M42" s="16" t="n"/>
      <c r="N42" s="9" t="n"/>
      <c r="O42" s="9" t="n"/>
      <c r="P42" s="9" t="n"/>
    </row>
    <row r="43">
      <c r="A43" s="16" t="n"/>
      <c r="B43" s="16" t="n"/>
      <c r="C43" s="16" t="n"/>
      <c r="D43" s="16" t="n"/>
      <c r="E43" s="16" t="n"/>
      <c r="F43" s="19" t="n"/>
      <c r="G43" s="16" t="n"/>
      <c r="H43" s="19" t="n"/>
      <c r="I43" s="19" t="n"/>
      <c r="J43" s="20">
        <f>IF(OR(I43="",K43&lt;&gt;"Yes"),"",I43-MINIFS($I$6:$I$500,$K$6:$K$500,"Yes"))</f>
        <v/>
      </c>
      <c r="K43" s="16" t="n"/>
      <c r="L43" s="16" t="n"/>
      <c r="M43" s="16" t="n"/>
      <c r="N43" s="9" t="n"/>
      <c r="O43" s="9" t="n"/>
      <c r="P43" s="9" t="n"/>
    </row>
    <row r="44">
      <c r="A44" s="16" t="n"/>
      <c r="B44" s="16" t="n"/>
      <c r="C44" s="16" t="n"/>
      <c r="D44" s="16" t="n"/>
      <c r="E44" s="16" t="n"/>
      <c r="F44" s="19" t="n"/>
      <c r="G44" s="16" t="n"/>
      <c r="H44" s="19" t="n"/>
      <c r="I44" s="19" t="n"/>
      <c r="J44" s="20">
        <f>IF(OR(I44="",K44&lt;&gt;"Yes"),"",I44-MINIFS($I$6:$I$500,$K$6:$K$500,"Yes"))</f>
        <v/>
      </c>
      <c r="K44" s="16" t="n"/>
      <c r="L44" s="16" t="n"/>
      <c r="M44" s="16" t="n"/>
      <c r="N44" s="9" t="n"/>
      <c r="O44" s="9" t="n"/>
      <c r="P44" s="9" t="n"/>
    </row>
    <row r="45">
      <c r="A45" s="16" t="n"/>
      <c r="B45" s="16" t="n"/>
      <c r="C45" s="16" t="n"/>
      <c r="D45" s="16" t="n"/>
      <c r="E45" s="16" t="n"/>
      <c r="F45" s="19" t="n"/>
      <c r="G45" s="16" t="n"/>
      <c r="H45" s="19" t="n"/>
      <c r="I45" s="19" t="n"/>
      <c r="J45" s="20">
        <f>IF(OR(I45="",K45&lt;&gt;"Yes"),"",I45-MINIFS($I$6:$I$500,$K$6:$K$500,"Yes"))</f>
        <v/>
      </c>
      <c r="K45" s="16" t="n"/>
      <c r="L45" s="16" t="n"/>
      <c r="M45" s="16" t="n"/>
      <c r="N45" s="9" t="n"/>
      <c r="O45" s="9" t="n"/>
      <c r="P45" s="9" t="n"/>
    </row>
    <row r="46">
      <c r="A46" s="16" t="n"/>
      <c r="B46" s="16" t="n"/>
      <c r="C46" s="16" t="n"/>
      <c r="D46" s="16" t="n"/>
      <c r="E46" s="16" t="n"/>
      <c r="F46" s="19" t="n"/>
      <c r="G46" s="16" t="n"/>
      <c r="H46" s="19" t="n"/>
      <c r="I46" s="19" t="n"/>
      <c r="J46" s="20">
        <f>IF(OR(I46="",K46&lt;&gt;"Yes"),"",I46-MINIFS($I$6:$I$500,$K$6:$K$500,"Yes"))</f>
        <v/>
      </c>
      <c r="K46" s="16" t="n"/>
      <c r="L46" s="16" t="n"/>
      <c r="M46" s="16" t="n"/>
      <c r="N46" s="9" t="n"/>
      <c r="O46" s="9" t="n"/>
      <c r="P46" s="9" t="n"/>
    </row>
    <row r="47">
      <c r="A47" s="16" t="n"/>
      <c r="B47" s="16" t="n"/>
      <c r="C47" s="16" t="n"/>
      <c r="D47" s="16" t="n"/>
      <c r="E47" s="16" t="n"/>
      <c r="F47" s="19" t="n"/>
      <c r="G47" s="16" t="n"/>
      <c r="H47" s="19" t="n"/>
      <c r="I47" s="19" t="n"/>
      <c r="J47" s="20">
        <f>IF(OR(I47="",K47&lt;&gt;"Yes"),"",I47-MINIFS($I$6:$I$500,$K$6:$K$500,"Yes"))</f>
        <v/>
      </c>
      <c r="K47" s="16" t="n"/>
      <c r="L47" s="16" t="n"/>
      <c r="M47" s="16" t="n"/>
      <c r="N47" s="9" t="n"/>
      <c r="O47" s="9" t="n"/>
      <c r="P47" s="9" t="n"/>
    </row>
    <row r="48">
      <c r="A48" s="16" t="n"/>
      <c r="B48" s="16" t="n"/>
      <c r="C48" s="16" t="n"/>
      <c r="D48" s="16" t="n"/>
      <c r="E48" s="16" t="n"/>
      <c r="F48" s="19" t="n"/>
      <c r="G48" s="16" t="n"/>
      <c r="H48" s="19" t="n"/>
      <c r="I48" s="19" t="n"/>
      <c r="J48" s="20">
        <f>IF(OR(I48="",K48&lt;&gt;"Yes"),"",I48-MINIFS($I$6:$I$500,$K$6:$K$500,"Yes"))</f>
        <v/>
      </c>
      <c r="K48" s="16" t="n"/>
      <c r="L48" s="16" t="n"/>
      <c r="M48" s="16" t="n"/>
      <c r="N48" s="9" t="n"/>
      <c r="O48" s="9" t="n"/>
      <c r="P48" s="9" t="n"/>
    </row>
    <row r="49">
      <c r="A49" s="16" t="n"/>
      <c r="B49" s="16" t="n"/>
      <c r="C49" s="16" t="n"/>
      <c r="D49" s="16" t="n"/>
      <c r="E49" s="16" t="n"/>
      <c r="F49" s="19" t="n"/>
      <c r="G49" s="16" t="n"/>
      <c r="H49" s="19" t="n"/>
      <c r="I49" s="19" t="n"/>
      <c r="J49" s="20">
        <f>IF(OR(I49="",K49&lt;&gt;"Yes"),"",I49-MINIFS($I$6:$I$500,$K$6:$K$500,"Yes"))</f>
        <v/>
      </c>
      <c r="K49" s="16" t="n"/>
      <c r="L49" s="16" t="n"/>
      <c r="M49" s="16" t="n"/>
      <c r="N49" s="9" t="n"/>
      <c r="O49" s="9" t="n"/>
      <c r="P49" s="9" t="n"/>
    </row>
    <row r="50">
      <c r="A50" s="16" t="n"/>
      <c r="B50" s="16" t="n"/>
      <c r="C50" s="16" t="n"/>
      <c r="D50" s="16" t="n"/>
      <c r="E50" s="16" t="n"/>
      <c r="F50" s="19" t="n"/>
      <c r="G50" s="16" t="n"/>
      <c r="H50" s="19" t="n"/>
      <c r="I50" s="19" t="n"/>
      <c r="J50" s="20">
        <f>IF(OR(I50="",K50&lt;&gt;"Yes"),"",I50-MINIFS($I$6:$I$500,$K$6:$K$500,"Yes"))</f>
        <v/>
      </c>
      <c r="K50" s="16" t="n"/>
      <c r="L50" s="16" t="n"/>
      <c r="M50" s="16" t="n"/>
      <c r="N50" s="9" t="n"/>
      <c r="O50" s="9" t="n"/>
      <c r="P50" s="9" t="n"/>
    </row>
    <row r="51">
      <c r="A51" s="16" t="n"/>
      <c r="B51" s="16" t="n"/>
      <c r="C51" s="16" t="n"/>
      <c r="D51" s="16" t="n"/>
      <c r="E51" s="16" t="n"/>
      <c r="F51" s="19" t="n"/>
      <c r="G51" s="16" t="n"/>
      <c r="H51" s="19" t="n"/>
      <c r="I51" s="19" t="n"/>
      <c r="J51" s="20">
        <f>IF(OR(I51="",K51&lt;&gt;"Yes"),"",I51-MINIFS($I$6:$I$500,$K$6:$K$500,"Yes"))</f>
        <v/>
      </c>
      <c r="K51" s="16" t="n"/>
      <c r="L51" s="16" t="n"/>
      <c r="M51" s="16" t="n"/>
      <c r="N51" s="9" t="n"/>
      <c r="O51" s="9" t="n"/>
      <c r="P51" s="9" t="n"/>
    </row>
    <row r="52">
      <c r="A52" s="16" t="n"/>
      <c r="B52" s="16" t="n"/>
      <c r="C52" s="16" t="n"/>
      <c r="D52" s="16" t="n"/>
      <c r="E52" s="16" t="n"/>
      <c r="F52" s="19" t="n"/>
      <c r="G52" s="16" t="n"/>
      <c r="H52" s="19" t="n"/>
      <c r="I52" s="19" t="n"/>
      <c r="J52" s="20">
        <f>IF(OR(I52="",K52&lt;&gt;"Yes"),"",I52-MINIFS($I$6:$I$500,$K$6:$K$500,"Yes"))</f>
        <v/>
      </c>
      <c r="K52" s="16" t="n"/>
      <c r="L52" s="16" t="n"/>
      <c r="M52" s="16" t="n"/>
      <c r="N52" s="9" t="n"/>
      <c r="O52" s="9" t="n"/>
      <c r="P52" s="9" t="n"/>
    </row>
    <row r="53">
      <c r="A53" s="16" t="n"/>
      <c r="B53" s="16" t="n"/>
      <c r="C53" s="16" t="n"/>
      <c r="D53" s="16" t="n"/>
      <c r="E53" s="16" t="n"/>
      <c r="F53" s="19" t="n"/>
      <c r="G53" s="16" t="n"/>
      <c r="H53" s="19" t="n"/>
      <c r="I53" s="19" t="n"/>
      <c r="J53" s="20">
        <f>IF(OR(I53="",K53&lt;&gt;"Yes"),"",I53-MINIFS($I$6:$I$500,$K$6:$K$500,"Yes"))</f>
        <v/>
      </c>
      <c r="K53" s="16" t="n"/>
      <c r="L53" s="16" t="n"/>
      <c r="M53" s="16" t="n"/>
      <c r="N53" s="9" t="n"/>
      <c r="O53" s="9" t="n"/>
      <c r="P53" s="9" t="n"/>
    </row>
    <row r="54">
      <c r="A54" s="16" t="n"/>
      <c r="B54" s="16" t="n"/>
      <c r="C54" s="16" t="n"/>
      <c r="D54" s="16" t="n"/>
      <c r="E54" s="16" t="n"/>
      <c r="F54" s="19" t="n"/>
      <c r="G54" s="16" t="n"/>
      <c r="H54" s="19" t="n"/>
      <c r="I54" s="19" t="n"/>
      <c r="J54" s="20">
        <f>IF(OR(I54="",K54&lt;&gt;"Yes"),"",I54-MINIFS($I$6:$I$500,$K$6:$K$500,"Yes"))</f>
        <v/>
      </c>
      <c r="K54" s="16" t="n"/>
      <c r="L54" s="16" t="n"/>
      <c r="M54" s="16" t="n"/>
      <c r="N54" s="9" t="n"/>
      <c r="O54" s="9" t="n"/>
      <c r="P54" s="9" t="n"/>
    </row>
    <row r="55">
      <c r="A55" s="16" t="n"/>
      <c r="B55" s="16" t="n"/>
      <c r="C55" s="16" t="n"/>
      <c r="D55" s="16" t="n"/>
      <c r="E55" s="16" t="n"/>
      <c r="F55" s="19" t="n"/>
      <c r="G55" s="16" t="n"/>
      <c r="H55" s="19" t="n"/>
      <c r="I55" s="19" t="n"/>
      <c r="J55" s="20">
        <f>IF(OR(I55="",K55&lt;&gt;"Yes"),"",I55-MINIFS($I$6:$I$500,$K$6:$K$500,"Yes"))</f>
        <v/>
      </c>
      <c r="K55" s="16" t="n"/>
      <c r="L55" s="16" t="n"/>
      <c r="M55" s="16" t="n"/>
      <c r="N55" s="9" t="n"/>
      <c r="O55" s="9" t="n"/>
      <c r="P55" s="9" t="n"/>
    </row>
    <row r="56">
      <c r="A56" s="16" t="n"/>
      <c r="B56" s="16" t="n"/>
      <c r="C56" s="16" t="n"/>
      <c r="D56" s="16" t="n"/>
      <c r="E56" s="16" t="n"/>
      <c r="F56" s="19" t="n"/>
      <c r="G56" s="16" t="n"/>
      <c r="H56" s="19" t="n"/>
      <c r="I56" s="19" t="n"/>
      <c r="J56" s="20">
        <f>IF(OR(I56="",K56&lt;&gt;"Yes"),"",I56-MINIFS($I$6:$I$500,$K$6:$K$500,"Yes"))</f>
        <v/>
      </c>
      <c r="K56" s="16" t="n"/>
      <c r="L56" s="16" t="n"/>
      <c r="M56" s="16" t="n"/>
      <c r="N56" s="9" t="n"/>
      <c r="O56" s="9" t="n"/>
      <c r="P56" s="9" t="n"/>
    </row>
    <row r="57">
      <c r="A57" s="16" t="n"/>
      <c r="B57" s="16" t="n"/>
      <c r="C57" s="16" t="n"/>
      <c r="D57" s="16" t="n"/>
      <c r="E57" s="16" t="n"/>
      <c r="F57" s="19" t="n"/>
      <c r="G57" s="16" t="n"/>
      <c r="H57" s="19" t="n"/>
      <c r="I57" s="19" t="n"/>
      <c r="J57" s="20">
        <f>IF(OR(I57="",K57&lt;&gt;"Yes"),"",I57-MINIFS($I$6:$I$500,$K$6:$K$500,"Yes"))</f>
        <v/>
      </c>
      <c r="K57" s="16" t="n"/>
      <c r="L57" s="16" t="n"/>
      <c r="M57" s="16" t="n"/>
      <c r="N57" s="9" t="n"/>
      <c r="O57" s="9" t="n"/>
      <c r="P57" s="9" t="n"/>
    </row>
    <row r="58">
      <c r="A58" s="16" t="n"/>
      <c r="B58" s="16" t="n"/>
      <c r="C58" s="16" t="n"/>
      <c r="D58" s="16" t="n"/>
      <c r="E58" s="16" t="n"/>
      <c r="F58" s="19" t="n"/>
      <c r="G58" s="16" t="n"/>
      <c r="H58" s="19" t="n"/>
      <c r="I58" s="19" t="n"/>
      <c r="J58" s="20">
        <f>IF(OR(I58="",K58&lt;&gt;"Yes"),"",I58-MINIFS($I$6:$I$500,$K$6:$K$500,"Yes"))</f>
        <v/>
      </c>
      <c r="K58" s="16" t="n"/>
      <c r="L58" s="16" t="n"/>
      <c r="M58" s="16" t="n"/>
      <c r="N58" s="9" t="n"/>
      <c r="O58" s="9" t="n"/>
      <c r="P58" s="9" t="n"/>
    </row>
    <row r="59">
      <c r="A59" s="16" t="n"/>
      <c r="B59" s="16" t="n"/>
      <c r="C59" s="16" t="n"/>
      <c r="D59" s="16" t="n"/>
      <c r="E59" s="16" t="n"/>
      <c r="F59" s="19" t="n"/>
      <c r="G59" s="16" t="n"/>
      <c r="H59" s="19" t="n"/>
      <c r="I59" s="19" t="n"/>
      <c r="J59" s="20">
        <f>IF(OR(I59="",K59&lt;&gt;"Yes"),"",I59-MINIFS($I$6:$I$500,$K$6:$K$500,"Yes"))</f>
        <v/>
      </c>
      <c r="K59" s="16" t="n"/>
      <c r="L59" s="16" t="n"/>
      <c r="M59" s="16" t="n"/>
      <c r="N59" s="9" t="n"/>
      <c r="O59" s="9" t="n"/>
      <c r="P59" s="9" t="n"/>
    </row>
    <row r="60">
      <c r="A60" s="16" t="n"/>
      <c r="B60" s="16" t="n"/>
      <c r="C60" s="16" t="n"/>
      <c r="D60" s="16" t="n"/>
      <c r="E60" s="16" t="n"/>
      <c r="F60" s="19" t="n"/>
      <c r="G60" s="16" t="n"/>
      <c r="H60" s="19" t="n"/>
      <c r="I60" s="19" t="n"/>
      <c r="J60" s="20">
        <f>IF(OR(I60="",K60&lt;&gt;"Yes"),"",I60-MINIFS($I$6:$I$500,$K$6:$K$500,"Yes"))</f>
        <v/>
      </c>
      <c r="K60" s="16" t="n"/>
      <c r="L60" s="16" t="n"/>
      <c r="M60" s="16" t="n"/>
      <c r="N60" s="9" t="n"/>
      <c r="O60" s="9" t="n"/>
      <c r="P60" s="9" t="n"/>
    </row>
    <row r="61">
      <c r="A61" s="16" t="n"/>
      <c r="B61" s="16" t="n"/>
      <c r="C61" s="16" t="n"/>
      <c r="D61" s="16" t="n"/>
      <c r="E61" s="16" t="n"/>
      <c r="F61" s="19" t="n"/>
      <c r="G61" s="16" t="n"/>
      <c r="H61" s="19" t="n"/>
      <c r="I61" s="19" t="n"/>
      <c r="J61" s="20">
        <f>IF(OR(I61="",K61&lt;&gt;"Yes"),"",I61-MINIFS($I$6:$I$500,$K$6:$K$500,"Yes"))</f>
        <v/>
      </c>
      <c r="K61" s="16" t="n"/>
      <c r="L61" s="16" t="n"/>
      <c r="M61" s="16" t="n"/>
      <c r="N61" s="9" t="n"/>
      <c r="O61" s="9" t="n"/>
      <c r="P61" s="9" t="n"/>
    </row>
    <row r="62">
      <c r="A62" s="16" t="n"/>
      <c r="B62" s="16" t="n"/>
      <c r="C62" s="16" t="n"/>
      <c r="D62" s="16" t="n"/>
      <c r="E62" s="16" t="n"/>
      <c r="F62" s="19" t="n"/>
      <c r="G62" s="16" t="n"/>
      <c r="H62" s="19" t="n"/>
      <c r="I62" s="19" t="n"/>
      <c r="J62" s="20">
        <f>IF(OR(I62="",K62&lt;&gt;"Yes"),"",I62-MINIFS($I$6:$I$500,$K$6:$K$500,"Yes"))</f>
        <v/>
      </c>
      <c r="K62" s="16" t="n"/>
      <c r="L62" s="16" t="n"/>
      <c r="M62" s="16" t="n"/>
      <c r="N62" s="9" t="n"/>
      <c r="O62" s="9" t="n"/>
      <c r="P62" s="9" t="n"/>
    </row>
    <row r="63">
      <c r="A63" s="16" t="n"/>
      <c r="B63" s="16" t="n"/>
      <c r="C63" s="16" t="n"/>
      <c r="D63" s="16" t="n"/>
      <c r="E63" s="16" t="n"/>
      <c r="F63" s="19" t="n"/>
      <c r="G63" s="16" t="n"/>
      <c r="H63" s="19" t="n"/>
      <c r="I63" s="19" t="n"/>
      <c r="J63" s="20">
        <f>IF(OR(I63="",K63&lt;&gt;"Yes"),"",I63-MINIFS($I$6:$I$500,$K$6:$K$500,"Yes"))</f>
        <v/>
      </c>
      <c r="K63" s="16" t="n"/>
      <c r="L63" s="16" t="n"/>
      <c r="M63" s="16" t="n"/>
      <c r="N63" s="9" t="n"/>
      <c r="O63" s="9" t="n"/>
      <c r="P63" s="9" t="n"/>
    </row>
    <row r="64">
      <c r="A64" s="16" t="n"/>
      <c r="B64" s="16" t="n"/>
      <c r="C64" s="16" t="n"/>
      <c r="D64" s="16" t="n"/>
      <c r="E64" s="16" t="n"/>
      <c r="F64" s="19" t="n"/>
      <c r="G64" s="16" t="n"/>
      <c r="H64" s="19" t="n"/>
      <c r="I64" s="19" t="n"/>
      <c r="J64" s="20">
        <f>IF(OR(I64="",K64&lt;&gt;"Yes"),"",I64-MINIFS($I$6:$I$500,$K$6:$K$500,"Yes"))</f>
        <v/>
      </c>
      <c r="K64" s="16" t="n"/>
      <c r="L64" s="16" t="n"/>
      <c r="M64" s="16" t="n"/>
      <c r="N64" s="9" t="n"/>
      <c r="O64" s="9" t="n"/>
      <c r="P64" s="9" t="n"/>
    </row>
    <row r="65">
      <c r="A65" s="16" t="n"/>
      <c r="B65" s="16" t="n"/>
      <c r="C65" s="16" t="n"/>
      <c r="D65" s="16" t="n"/>
      <c r="E65" s="16" t="n"/>
      <c r="F65" s="19" t="n"/>
      <c r="G65" s="16" t="n"/>
      <c r="H65" s="19" t="n"/>
      <c r="I65" s="19" t="n"/>
      <c r="J65" s="20">
        <f>IF(OR(I65="",K65&lt;&gt;"Yes"),"",I65-MINIFS($I$6:$I$500,$K$6:$K$500,"Yes"))</f>
        <v/>
      </c>
      <c r="K65" s="16" t="n"/>
      <c r="L65" s="16" t="n"/>
      <c r="M65" s="16" t="n"/>
      <c r="N65" s="9" t="n"/>
      <c r="O65" s="9" t="n"/>
      <c r="P65" s="9" t="n"/>
    </row>
    <row r="66">
      <c r="A66" s="16" t="n"/>
      <c r="B66" s="16" t="n"/>
      <c r="C66" s="16" t="n"/>
      <c r="D66" s="16" t="n"/>
      <c r="E66" s="16" t="n"/>
      <c r="F66" s="19" t="n"/>
      <c r="G66" s="16" t="n"/>
      <c r="H66" s="19" t="n"/>
      <c r="I66" s="19" t="n"/>
      <c r="J66" s="20">
        <f>IF(OR(I66="",K66&lt;&gt;"Yes"),"",I66-MINIFS($I$6:$I$500,$K$6:$K$500,"Yes"))</f>
        <v/>
      </c>
      <c r="K66" s="16" t="n"/>
      <c r="L66" s="16" t="n"/>
      <c r="M66" s="16" t="n"/>
      <c r="N66" s="9" t="n"/>
      <c r="O66" s="9" t="n"/>
      <c r="P66" s="9" t="n"/>
    </row>
    <row r="67">
      <c r="A67" s="16" t="n"/>
      <c r="B67" s="16" t="n"/>
      <c r="C67" s="16" t="n"/>
      <c r="D67" s="16" t="n"/>
      <c r="E67" s="16" t="n"/>
      <c r="F67" s="19" t="n"/>
      <c r="G67" s="16" t="n"/>
      <c r="H67" s="19" t="n"/>
      <c r="I67" s="19" t="n"/>
      <c r="J67" s="20">
        <f>IF(OR(I67="",K67&lt;&gt;"Yes"),"",I67-MINIFS($I$6:$I$500,$K$6:$K$500,"Yes"))</f>
        <v/>
      </c>
      <c r="K67" s="16" t="n"/>
      <c r="L67" s="16" t="n"/>
      <c r="M67" s="16" t="n"/>
      <c r="N67" s="9" t="n"/>
      <c r="O67" s="9" t="n"/>
      <c r="P67" s="9" t="n"/>
    </row>
    <row r="68">
      <c r="A68" s="16" t="n"/>
      <c r="B68" s="16" t="n"/>
      <c r="C68" s="16" t="n"/>
      <c r="D68" s="16" t="n"/>
      <c r="E68" s="16" t="n"/>
      <c r="F68" s="19" t="n"/>
      <c r="G68" s="16" t="n"/>
      <c r="H68" s="19" t="n"/>
      <c r="I68" s="19" t="n"/>
      <c r="J68" s="20">
        <f>IF(OR(I68="",K68&lt;&gt;"Yes"),"",I68-MINIFS($I$6:$I$500,$K$6:$K$500,"Yes"))</f>
        <v/>
      </c>
      <c r="K68" s="16" t="n"/>
      <c r="L68" s="16" t="n"/>
      <c r="M68" s="16" t="n"/>
      <c r="N68" s="9" t="n"/>
      <c r="O68" s="9" t="n"/>
      <c r="P68" s="9" t="n"/>
    </row>
    <row r="69">
      <c r="A69" s="16" t="n"/>
      <c r="B69" s="16" t="n"/>
      <c r="C69" s="16" t="n"/>
      <c r="D69" s="16" t="n"/>
      <c r="E69" s="16" t="n"/>
      <c r="F69" s="19" t="n"/>
      <c r="G69" s="16" t="n"/>
      <c r="H69" s="19" t="n"/>
      <c r="I69" s="19" t="n"/>
      <c r="J69" s="20">
        <f>IF(OR(I69="",K69&lt;&gt;"Yes"),"",I69-MINIFS($I$6:$I$500,$K$6:$K$500,"Yes"))</f>
        <v/>
      </c>
      <c r="K69" s="16" t="n"/>
      <c r="L69" s="16" t="n"/>
      <c r="M69" s="16" t="n"/>
      <c r="N69" s="9" t="n"/>
      <c r="O69" s="9" t="n"/>
      <c r="P69" s="9" t="n"/>
    </row>
    <row r="70">
      <c r="A70" s="16" t="n"/>
      <c r="B70" s="16" t="n"/>
      <c r="C70" s="16" t="n"/>
      <c r="D70" s="16" t="n"/>
      <c r="E70" s="16" t="n"/>
      <c r="F70" s="19" t="n"/>
      <c r="G70" s="16" t="n"/>
      <c r="H70" s="19" t="n"/>
      <c r="I70" s="19" t="n"/>
      <c r="J70" s="20">
        <f>IF(OR(I70="",K70&lt;&gt;"Yes"),"",I70-MINIFS($I$6:$I$500,$K$6:$K$500,"Yes"))</f>
        <v/>
      </c>
      <c r="K70" s="16" t="n"/>
      <c r="L70" s="16" t="n"/>
      <c r="M70" s="16" t="n"/>
      <c r="N70" s="9" t="n"/>
      <c r="O70" s="9" t="n"/>
      <c r="P70" s="9" t="n"/>
    </row>
    <row r="71">
      <c r="A71" s="16" t="n"/>
      <c r="B71" s="16" t="n"/>
      <c r="C71" s="16" t="n"/>
      <c r="D71" s="16" t="n"/>
      <c r="E71" s="16" t="n"/>
      <c r="F71" s="19" t="n"/>
      <c r="G71" s="16" t="n"/>
      <c r="H71" s="19" t="n"/>
      <c r="I71" s="19" t="n"/>
      <c r="J71" s="20">
        <f>IF(OR(I71="",K71&lt;&gt;"Yes"),"",I71-MINIFS($I$6:$I$500,$K$6:$K$500,"Yes"))</f>
        <v/>
      </c>
      <c r="K71" s="16" t="n"/>
      <c r="L71" s="16" t="n"/>
      <c r="M71" s="16" t="n"/>
      <c r="N71" s="9" t="n"/>
      <c r="O71" s="9" t="n"/>
      <c r="P71" s="9" t="n"/>
    </row>
    <row r="72">
      <c r="A72" s="16" t="n"/>
      <c r="B72" s="16" t="n"/>
      <c r="C72" s="16" t="n"/>
      <c r="D72" s="16" t="n"/>
      <c r="E72" s="16" t="n"/>
      <c r="F72" s="19" t="n"/>
      <c r="G72" s="16" t="n"/>
      <c r="H72" s="19" t="n"/>
      <c r="I72" s="19" t="n"/>
      <c r="J72" s="20">
        <f>IF(OR(I72="",K72&lt;&gt;"Yes"),"",I72-MINIFS($I$6:$I$500,$K$6:$K$500,"Yes"))</f>
        <v/>
      </c>
      <c r="K72" s="16" t="n"/>
      <c r="L72" s="16" t="n"/>
      <c r="M72" s="16" t="n"/>
      <c r="N72" s="9" t="n"/>
      <c r="O72" s="9" t="n"/>
      <c r="P72" s="9" t="n"/>
    </row>
    <row r="73">
      <c r="A73" s="16" t="n"/>
      <c r="B73" s="16" t="n"/>
      <c r="C73" s="16" t="n"/>
      <c r="D73" s="16" t="n"/>
      <c r="E73" s="16" t="n"/>
      <c r="F73" s="19" t="n"/>
      <c r="G73" s="16" t="n"/>
      <c r="H73" s="19" t="n"/>
      <c r="I73" s="19" t="n"/>
      <c r="J73" s="20">
        <f>IF(OR(I73="",K73&lt;&gt;"Yes"),"",I73-MINIFS($I$6:$I$500,$K$6:$K$500,"Yes"))</f>
        <v/>
      </c>
      <c r="K73" s="16" t="n"/>
      <c r="L73" s="16" t="n"/>
      <c r="M73" s="16" t="n"/>
      <c r="N73" s="9" t="n"/>
      <c r="O73" s="9" t="n"/>
      <c r="P73" s="9" t="n"/>
    </row>
    <row r="74">
      <c r="A74" s="16" t="n"/>
      <c r="B74" s="16" t="n"/>
      <c r="C74" s="16" t="n"/>
      <c r="D74" s="16" t="n"/>
      <c r="E74" s="16" t="n"/>
      <c r="F74" s="19" t="n"/>
      <c r="G74" s="16" t="n"/>
      <c r="H74" s="19" t="n"/>
      <c r="I74" s="19" t="n"/>
      <c r="J74" s="20">
        <f>IF(OR(I74="",K74&lt;&gt;"Yes"),"",I74-MINIFS($I$6:$I$500,$K$6:$K$500,"Yes"))</f>
        <v/>
      </c>
      <c r="K74" s="16" t="n"/>
      <c r="L74" s="16" t="n"/>
      <c r="M74" s="16" t="n"/>
      <c r="N74" s="9" t="n"/>
      <c r="O74" s="9" t="n"/>
      <c r="P74" s="9" t="n"/>
    </row>
    <row r="75">
      <c r="A75" s="16" t="n"/>
      <c r="B75" s="16" t="n"/>
      <c r="C75" s="16" t="n"/>
      <c r="D75" s="16" t="n"/>
      <c r="E75" s="16" t="n"/>
      <c r="F75" s="19" t="n"/>
      <c r="G75" s="16" t="n"/>
      <c r="H75" s="19" t="n"/>
      <c r="I75" s="19" t="n"/>
      <c r="J75" s="20">
        <f>IF(OR(I75="",K75&lt;&gt;"Yes"),"",I75-MINIFS($I$6:$I$500,$K$6:$K$500,"Yes"))</f>
        <v/>
      </c>
      <c r="K75" s="16" t="n"/>
      <c r="L75" s="16" t="n"/>
      <c r="M75" s="16" t="n"/>
      <c r="N75" s="9" t="n"/>
      <c r="O75" s="9" t="n"/>
      <c r="P75" s="9" t="n"/>
    </row>
    <row r="76">
      <c r="A76" s="16" t="n"/>
      <c r="B76" s="16" t="n"/>
      <c r="C76" s="16" t="n"/>
      <c r="D76" s="16" t="n"/>
      <c r="E76" s="16" t="n"/>
      <c r="F76" s="19" t="n"/>
      <c r="G76" s="16" t="n"/>
      <c r="H76" s="19" t="n"/>
      <c r="I76" s="19" t="n"/>
      <c r="J76" s="20">
        <f>IF(OR(I76="",K76&lt;&gt;"Yes"),"",I76-MINIFS($I$6:$I$500,$K$6:$K$500,"Yes"))</f>
        <v/>
      </c>
      <c r="K76" s="16" t="n"/>
      <c r="L76" s="16" t="n"/>
      <c r="M76" s="16" t="n"/>
      <c r="N76" s="9" t="n"/>
      <c r="O76" s="9" t="n"/>
      <c r="P76" s="9" t="n"/>
    </row>
    <row r="77">
      <c r="A77" s="16" t="n"/>
      <c r="B77" s="16" t="n"/>
      <c r="C77" s="16" t="n"/>
      <c r="D77" s="16" t="n"/>
      <c r="E77" s="16" t="n"/>
      <c r="F77" s="19" t="n"/>
      <c r="G77" s="16" t="n"/>
      <c r="H77" s="19" t="n"/>
      <c r="I77" s="19" t="n"/>
      <c r="J77" s="20">
        <f>IF(OR(I77="",K77&lt;&gt;"Yes"),"",I77-MINIFS($I$6:$I$500,$K$6:$K$500,"Yes"))</f>
        <v/>
      </c>
      <c r="K77" s="16" t="n"/>
      <c r="L77" s="16" t="n"/>
      <c r="M77" s="16" t="n"/>
      <c r="N77" s="9" t="n"/>
      <c r="O77" s="9" t="n"/>
      <c r="P77" s="9" t="n"/>
    </row>
    <row r="78">
      <c r="A78" s="16" t="n"/>
      <c r="B78" s="16" t="n"/>
      <c r="C78" s="16" t="n"/>
      <c r="D78" s="16" t="n"/>
      <c r="E78" s="16" t="n"/>
      <c r="F78" s="19" t="n"/>
      <c r="G78" s="16" t="n"/>
      <c r="H78" s="19" t="n"/>
      <c r="I78" s="19" t="n"/>
      <c r="J78" s="20">
        <f>IF(OR(I78="",K78&lt;&gt;"Yes"),"",I78-MINIFS($I$6:$I$500,$K$6:$K$500,"Yes"))</f>
        <v/>
      </c>
      <c r="K78" s="16" t="n"/>
      <c r="L78" s="16" t="n"/>
      <c r="M78" s="16" t="n"/>
      <c r="N78" s="9" t="n"/>
      <c r="O78" s="9" t="n"/>
      <c r="P78" s="9" t="n"/>
    </row>
    <row r="79">
      <c r="A79" s="16" t="n"/>
      <c r="B79" s="16" t="n"/>
      <c r="C79" s="16" t="n"/>
      <c r="D79" s="16" t="n"/>
      <c r="E79" s="16" t="n"/>
      <c r="F79" s="19" t="n"/>
      <c r="G79" s="16" t="n"/>
      <c r="H79" s="19" t="n"/>
      <c r="I79" s="19" t="n"/>
      <c r="J79" s="20">
        <f>IF(OR(I79="",K79&lt;&gt;"Yes"),"",I79-MINIFS($I$6:$I$500,$K$6:$K$500,"Yes"))</f>
        <v/>
      </c>
      <c r="K79" s="16" t="n"/>
      <c r="L79" s="16" t="n"/>
      <c r="M79" s="16" t="n"/>
      <c r="N79" s="9" t="n"/>
      <c r="O79" s="9" t="n"/>
      <c r="P79" s="9" t="n"/>
    </row>
    <row r="80">
      <c r="A80" s="16" t="n"/>
      <c r="B80" s="16" t="n"/>
      <c r="C80" s="16" t="n"/>
      <c r="D80" s="16" t="n"/>
      <c r="E80" s="16" t="n"/>
      <c r="F80" s="19" t="n"/>
      <c r="G80" s="16" t="n"/>
      <c r="H80" s="19" t="n"/>
      <c r="I80" s="19" t="n"/>
      <c r="J80" s="20">
        <f>IF(OR(I80="",K80&lt;&gt;"Yes"),"",I80-MINIFS($I$6:$I$500,$K$6:$K$500,"Yes"))</f>
        <v/>
      </c>
      <c r="K80" s="16" t="n"/>
      <c r="L80" s="16" t="n"/>
      <c r="M80" s="16" t="n"/>
      <c r="N80" s="9" t="n"/>
      <c r="O80" s="9" t="n"/>
      <c r="P80" s="9" t="n"/>
    </row>
    <row r="81">
      <c r="A81" s="16" t="n"/>
      <c r="B81" s="16" t="n"/>
      <c r="C81" s="16" t="n"/>
      <c r="D81" s="16" t="n"/>
      <c r="E81" s="16" t="n"/>
      <c r="F81" s="19" t="n"/>
      <c r="G81" s="16" t="n"/>
      <c r="H81" s="19" t="n"/>
      <c r="I81" s="19" t="n"/>
      <c r="J81" s="20">
        <f>IF(OR(I81="",K81&lt;&gt;"Yes"),"",I81-MINIFS($I$6:$I$500,$K$6:$K$500,"Yes"))</f>
        <v/>
      </c>
      <c r="K81" s="16" t="n"/>
      <c r="L81" s="16" t="n"/>
      <c r="M81" s="16" t="n"/>
      <c r="N81" s="9" t="n"/>
      <c r="O81" s="9" t="n"/>
      <c r="P81" s="9" t="n"/>
    </row>
    <row r="82">
      <c r="A82" s="16" t="n"/>
      <c r="B82" s="16" t="n"/>
      <c r="C82" s="16" t="n"/>
      <c r="D82" s="16" t="n"/>
      <c r="E82" s="16" t="n"/>
      <c r="F82" s="19" t="n"/>
      <c r="G82" s="16" t="n"/>
      <c r="H82" s="19" t="n"/>
      <c r="I82" s="19" t="n"/>
      <c r="J82" s="20">
        <f>IF(OR(I82="",K82&lt;&gt;"Yes"),"",I82-MINIFS($I$6:$I$500,$K$6:$K$500,"Yes"))</f>
        <v/>
      </c>
      <c r="K82" s="16" t="n"/>
      <c r="L82" s="16" t="n"/>
      <c r="M82" s="16" t="n"/>
      <c r="N82" s="9" t="n"/>
      <c r="O82" s="9" t="n"/>
      <c r="P82" s="9" t="n"/>
    </row>
    <row r="83">
      <c r="A83" s="16" t="n"/>
      <c r="B83" s="16" t="n"/>
      <c r="C83" s="16" t="n"/>
      <c r="D83" s="16" t="n"/>
      <c r="E83" s="16" t="n"/>
      <c r="F83" s="19" t="n"/>
      <c r="G83" s="16" t="n"/>
      <c r="H83" s="19" t="n"/>
      <c r="I83" s="19" t="n"/>
      <c r="J83" s="20">
        <f>IF(OR(I83="",K83&lt;&gt;"Yes"),"",I83-MINIFS($I$6:$I$500,$K$6:$K$500,"Yes"))</f>
        <v/>
      </c>
      <c r="K83" s="16" t="n"/>
      <c r="L83" s="16" t="n"/>
      <c r="M83" s="16" t="n"/>
      <c r="N83" s="9" t="n"/>
      <c r="O83" s="9" t="n"/>
      <c r="P83" s="9" t="n"/>
    </row>
    <row r="84">
      <c r="A84" s="16" t="n"/>
      <c r="B84" s="16" t="n"/>
      <c r="C84" s="16" t="n"/>
      <c r="D84" s="16" t="n"/>
      <c r="E84" s="16" t="n"/>
      <c r="F84" s="19" t="n"/>
      <c r="G84" s="16" t="n"/>
      <c r="H84" s="19" t="n"/>
      <c r="I84" s="19" t="n"/>
      <c r="J84" s="20">
        <f>IF(OR(I84="",K84&lt;&gt;"Yes"),"",I84-MINIFS($I$6:$I$500,$K$6:$K$500,"Yes"))</f>
        <v/>
      </c>
      <c r="K84" s="16" t="n"/>
      <c r="L84" s="16" t="n"/>
      <c r="M84" s="16" t="n"/>
      <c r="N84" s="9" t="n"/>
      <c r="O84" s="9" t="n"/>
      <c r="P84" s="9" t="n"/>
    </row>
    <row r="85">
      <c r="A85" s="16" t="n"/>
      <c r="B85" s="16" t="n"/>
      <c r="C85" s="16" t="n"/>
      <c r="D85" s="16" t="n"/>
      <c r="E85" s="16" t="n"/>
      <c r="F85" s="19" t="n"/>
      <c r="G85" s="16" t="n"/>
      <c r="H85" s="19" t="n"/>
      <c r="I85" s="19" t="n"/>
      <c r="J85" s="20">
        <f>IF(OR(I85="",K85&lt;&gt;"Yes"),"",I85-MINIFS($I$6:$I$500,$K$6:$K$500,"Yes"))</f>
        <v/>
      </c>
      <c r="K85" s="16" t="n"/>
      <c r="L85" s="16" t="n"/>
      <c r="M85" s="16" t="n"/>
      <c r="N85" s="9" t="n"/>
      <c r="O85" s="9" t="n"/>
      <c r="P85" s="9" t="n"/>
    </row>
    <row r="86">
      <c r="A86" s="16" t="n"/>
      <c r="B86" s="16" t="n"/>
      <c r="C86" s="16" t="n"/>
      <c r="D86" s="16" t="n"/>
      <c r="E86" s="16" t="n"/>
      <c r="F86" s="19" t="n"/>
      <c r="G86" s="16" t="n"/>
      <c r="H86" s="19" t="n"/>
      <c r="I86" s="19" t="n"/>
      <c r="J86" s="20">
        <f>IF(OR(I86="",K86&lt;&gt;"Yes"),"",I86-MINIFS($I$6:$I$500,$K$6:$K$500,"Yes"))</f>
        <v/>
      </c>
      <c r="K86" s="16" t="n"/>
      <c r="L86" s="16" t="n"/>
      <c r="M86" s="16" t="n"/>
      <c r="N86" s="9" t="n"/>
      <c r="O86" s="9" t="n"/>
      <c r="P86" s="9" t="n"/>
    </row>
    <row r="87">
      <c r="A87" s="16" t="n"/>
      <c r="B87" s="16" t="n"/>
      <c r="C87" s="16" t="n"/>
      <c r="D87" s="16" t="n"/>
      <c r="E87" s="16" t="n"/>
      <c r="F87" s="19" t="n"/>
      <c r="G87" s="16" t="n"/>
      <c r="H87" s="19" t="n"/>
      <c r="I87" s="19" t="n"/>
      <c r="J87" s="20">
        <f>IF(OR(I87="",K87&lt;&gt;"Yes"),"",I87-MINIFS($I$6:$I$500,$K$6:$K$500,"Yes"))</f>
        <v/>
      </c>
      <c r="K87" s="16" t="n"/>
      <c r="L87" s="16" t="n"/>
      <c r="M87" s="16" t="n"/>
      <c r="N87" s="9" t="n"/>
      <c r="O87" s="9" t="n"/>
      <c r="P87" s="9" t="n"/>
    </row>
    <row r="88">
      <c r="A88" s="16" t="n"/>
      <c r="B88" s="16" t="n"/>
      <c r="C88" s="16" t="n"/>
      <c r="D88" s="16" t="n"/>
      <c r="E88" s="16" t="n"/>
      <c r="F88" s="19" t="n"/>
      <c r="G88" s="16" t="n"/>
      <c r="H88" s="19" t="n"/>
      <c r="I88" s="19" t="n"/>
      <c r="J88" s="20">
        <f>IF(OR(I88="",K88&lt;&gt;"Yes"),"",I88-MINIFS($I$6:$I$500,$K$6:$K$500,"Yes"))</f>
        <v/>
      </c>
      <c r="K88" s="16" t="n"/>
      <c r="L88" s="16" t="n"/>
      <c r="M88" s="16" t="n"/>
      <c r="N88" s="9" t="n"/>
      <c r="O88" s="9" t="n"/>
      <c r="P88" s="9" t="n"/>
    </row>
    <row r="89">
      <c r="A89" s="16" t="n"/>
      <c r="B89" s="16" t="n"/>
      <c r="C89" s="16" t="n"/>
      <c r="D89" s="16" t="n"/>
      <c r="E89" s="16" t="n"/>
      <c r="F89" s="19" t="n"/>
      <c r="G89" s="16" t="n"/>
      <c r="H89" s="19" t="n"/>
      <c r="I89" s="19" t="n"/>
      <c r="J89" s="20">
        <f>IF(OR(I89="",K89&lt;&gt;"Yes"),"",I89-MINIFS($I$6:$I$500,$K$6:$K$500,"Yes"))</f>
        <v/>
      </c>
      <c r="K89" s="16" t="n"/>
      <c r="L89" s="16" t="n"/>
      <c r="M89" s="16" t="n"/>
      <c r="N89" s="9" t="n"/>
      <c r="O89" s="9" t="n"/>
      <c r="P89" s="9" t="n"/>
    </row>
    <row r="90">
      <c r="A90" s="16" t="n"/>
      <c r="B90" s="16" t="n"/>
      <c r="C90" s="16" t="n"/>
      <c r="D90" s="16" t="n"/>
      <c r="E90" s="16" t="n"/>
      <c r="F90" s="19" t="n"/>
      <c r="G90" s="16" t="n"/>
      <c r="H90" s="19" t="n"/>
      <c r="I90" s="19" t="n"/>
      <c r="J90" s="20">
        <f>IF(OR(I90="",K90&lt;&gt;"Yes"),"",I90-MINIFS($I$6:$I$500,$K$6:$K$500,"Yes"))</f>
        <v/>
      </c>
      <c r="K90" s="16" t="n"/>
      <c r="L90" s="16" t="n"/>
      <c r="M90" s="16" t="n"/>
      <c r="N90" s="9" t="n"/>
      <c r="O90" s="9" t="n"/>
      <c r="P90" s="9" t="n"/>
    </row>
    <row r="91">
      <c r="A91" s="16" t="n"/>
      <c r="B91" s="16" t="n"/>
      <c r="C91" s="16" t="n"/>
      <c r="D91" s="16" t="n"/>
      <c r="E91" s="16" t="n"/>
      <c r="F91" s="19" t="n"/>
      <c r="G91" s="16" t="n"/>
      <c r="H91" s="19" t="n"/>
      <c r="I91" s="19" t="n"/>
      <c r="J91" s="20">
        <f>IF(OR(I91="",K91&lt;&gt;"Yes"),"",I91-MINIFS($I$6:$I$500,$K$6:$K$500,"Yes"))</f>
        <v/>
      </c>
      <c r="K91" s="16" t="n"/>
      <c r="L91" s="16" t="n"/>
      <c r="M91" s="16" t="n"/>
      <c r="N91" s="9" t="n"/>
      <c r="O91" s="9" t="n"/>
      <c r="P91" s="9" t="n"/>
    </row>
    <row r="92">
      <c r="A92" s="16" t="n"/>
      <c r="B92" s="16" t="n"/>
      <c r="C92" s="16" t="n"/>
      <c r="D92" s="16" t="n"/>
      <c r="E92" s="16" t="n"/>
      <c r="F92" s="19" t="n"/>
      <c r="G92" s="16" t="n"/>
      <c r="H92" s="19" t="n"/>
      <c r="I92" s="19" t="n"/>
      <c r="J92" s="20">
        <f>IF(OR(I92="",K92&lt;&gt;"Yes"),"",I92-MINIFS($I$6:$I$500,$K$6:$K$500,"Yes"))</f>
        <v/>
      </c>
      <c r="K92" s="16" t="n"/>
      <c r="L92" s="16" t="n"/>
      <c r="M92" s="16" t="n"/>
      <c r="N92" s="9" t="n"/>
      <c r="O92" s="9" t="n"/>
      <c r="P92" s="9" t="n"/>
    </row>
    <row r="93">
      <c r="A93" s="16" t="n"/>
      <c r="B93" s="16" t="n"/>
      <c r="C93" s="16" t="n"/>
      <c r="D93" s="16" t="n"/>
      <c r="E93" s="16" t="n"/>
      <c r="F93" s="19" t="n"/>
      <c r="G93" s="16" t="n"/>
      <c r="H93" s="19" t="n"/>
      <c r="I93" s="19" t="n"/>
      <c r="J93" s="20">
        <f>IF(OR(I93="",K93&lt;&gt;"Yes"),"",I93-MINIFS($I$6:$I$500,$K$6:$K$500,"Yes"))</f>
        <v/>
      </c>
      <c r="K93" s="16" t="n"/>
      <c r="L93" s="16" t="n"/>
      <c r="M93" s="16" t="n"/>
      <c r="N93" s="9" t="n"/>
      <c r="O93" s="9" t="n"/>
      <c r="P93" s="9" t="n"/>
    </row>
    <row r="94">
      <c r="A94" s="16" t="n"/>
      <c r="B94" s="16" t="n"/>
      <c r="C94" s="16" t="n"/>
      <c r="D94" s="16" t="n"/>
      <c r="E94" s="16" t="n"/>
      <c r="F94" s="19" t="n"/>
      <c r="G94" s="16" t="n"/>
      <c r="H94" s="19" t="n"/>
      <c r="I94" s="19" t="n"/>
      <c r="J94" s="20">
        <f>IF(OR(I94="",K94&lt;&gt;"Yes"),"",I94-MINIFS($I$6:$I$500,$K$6:$K$500,"Yes"))</f>
        <v/>
      </c>
      <c r="K94" s="16" t="n"/>
      <c r="L94" s="16" t="n"/>
      <c r="M94" s="16" t="n"/>
      <c r="N94" s="9" t="n"/>
      <c r="O94" s="9" t="n"/>
      <c r="P94" s="9" t="n"/>
    </row>
    <row r="95">
      <c r="A95" s="16" t="n"/>
      <c r="B95" s="16" t="n"/>
      <c r="C95" s="16" t="n"/>
      <c r="D95" s="16" t="n"/>
      <c r="E95" s="16" t="n"/>
      <c r="F95" s="19" t="n"/>
      <c r="G95" s="16" t="n"/>
      <c r="H95" s="19" t="n"/>
      <c r="I95" s="19" t="n"/>
      <c r="J95" s="20">
        <f>IF(OR(I95="",K95&lt;&gt;"Yes"),"",I95-MINIFS($I$6:$I$500,$K$6:$K$500,"Yes"))</f>
        <v/>
      </c>
      <c r="K95" s="16" t="n"/>
      <c r="L95" s="16" t="n"/>
      <c r="M95" s="16" t="n"/>
      <c r="N95" s="9" t="n"/>
      <c r="O95" s="9" t="n"/>
      <c r="P95" s="9" t="n"/>
    </row>
    <row r="96">
      <c r="A96" s="16" t="n"/>
      <c r="B96" s="16" t="n"/>
      <c r="C96" s="16" t="n"/>
      <c r="D96" s="16" t="n"/>
      <c r="E96" s="16" t="n"/>
      <c r="F96" s="19" t="n"/>
      <c r="G96" s="16" t="n"/>
      <c r="H96" s="19" t="n"/>
      <c r="I96" s="19" t="n"/>
      <c r="J96" s="20">
        <f>IF(OR(I96="",K96&lt;&gt;"Yes"),"",I96-MINIFS($I$6:$I$500,$K$6:$K$500,"Yes"))</f>
        <v/>
      </c>
      <c r="K96" s="16" t="n"/>
      <c r="L96" s="16" t="n"/>
      <c r="M96" s="16" t="n"/>
      <c r="N96" s="9" t="n"/>
      <c r="O96" s="9" t="n"/>
      <c r="P96" s="9" t="n"/>
    </row>
    <row r="97">
      <c r="A97" s="16" t="n"/>
      <c r="B97" s="16" t="n"/>
      <c r="C97" s="16" t="n"/>
      <c r="D97" s="16" t="n"/>
      <c r="E97" s="16" t="n"/>
      <c r="F97" s="19" t="n"/>
      <c r="G97" s="16" t="n"/>
      <c r="H97" s="19" t="n"/>
      <c r="I97" s="19" t="n"/>
      <c r="J97" s="20">
        <f>IF(OR(I97="",K97&lt;&gt;"Yes"),"",I97-MINIFS($I$6:$I$500,$K$6:$K$500,"Yes"))</f>
        <v/>
      </c>
      <c r="K97" s="16" t="n"/>
      <c r="L97" s="16" t="n"/>
      <c r="M97" s="16" t="n"/>
      <c r="N97" s="9" t="n"/>
      <c r="O97" s="9" t="n"/>
      <c r="P97" s="9" t="n"/>
    </row>
    <row r="98">
      <c r="A98" s="16" t="n"/>
      <c r="B98" s="16" t="n"/>
      <c r="C98" s="16" t="n"/>
      <c r="D98" s="16" t="n"/>
      <c r="E98" s="16" t="n"/>
      <c r="F98" s="19" t="n"/>
      <c r="G98" s="16" t="n"/>
      <c r="H98" s="19" t="n"/>
      <c r="I98" s="19" t="n"/>
      <c r="J98" s="20">
        <f>IF(OR(I98="",K98&lt;&gt;"Yes"),"",I98-MINIFS($I$6:$I$500,$K$6:$K$500,"Yes"))</f>
        <v/>
      </c>
      <c r="K98" s="16" t="n"/>
      <c r="L98" s="16" t="n"/>
      <c r="M98" s="16" t="n"/>
      <c r="N98" s="9" t="n"/>
      <c r="O98" s="9" t="n"/>
      <c r="P98" s="9" t="n"/>
    </row>
    <row r="99">
      <c r="A99" s="16" t="n"/>
      <c r="B99" s="16" t="n"/>
      <c r="C99" s="16" t="n"/>
      <c r="D99" s="16" t="n"/>
      <c r="E99" s="16" t="n"/>
      <c r="F99" s="19" t="n"/>
      <c r="G99" s="16" t="n"/>
      <c r="H99" s="19" t="n"/>
      <c r="I99" s="19" t="n"/>
      <c r="J99" s="20">
        <f>IF(OR(I99="",K99&lt;&gt;"Yes"),"",I99-MINIFS($I$6:$I$500,$K$6:$K$500,"Yes"))</f>
        <v/>
      </c>
      <c r="K99" s="16" t="n"/>
      <c r="L99" s="16" t="n"/>
      <c r="M99" s="16" t="n"/>
      <c r="N99" s="9" t="n"/>
      <c r="O99" s="9" t="n"/>
      <c r="P99" s="9" t="n"/>
    </row>
    <row r="100">
      <c r="A100" s="16" t="n"/>
      <c r="B100" s="16" t="n"/>
      <c r="C100" s="16" t="n"/>
      <c r="D100" s="16" t="n"/>
      <c r="E100" s="16" t="n"/>
      <c r="F100" s="19" t="n"/>
      <c r="G100" s="16" t="n"/>
      <c r="H100" s="19" t="n"/>
      <c r="I100" s="19" t="n"/>
      <c r="J100" s="20">
        <f>IF(OR(I100="",K100&lt;&gt;"Yes"),"",I100-MINIFS($I$6:$I$500,$K$6:$K$500,"Yes"))</f>
        <v/>
      </c>
      <c r="K100" s="16" t="n"/>
      <c r="L100" s="16" t="n"/>
      <c r="M100" s="16" t="n"/>
      <c r="N100" s="9" t="n"/>
      <c r="O100" s="9" t="n"/>
      <c r="P100" s="9" t="n"/>
    </row>
    <row r="101">
      <c r="A101" s="16" t="n"/>
      <c r="B101" s="16" t="n"/>
      <c r="C101" s="16" t="n"/>
      <c r="D101" s="16" t="n"/>
      <c r="E101" s="16" t="n"/>
      <c r="F101" s="19" t="n"/>
      <c r="G101" s="16" t="n"/>
      <c r="H101" s="19" t="n"/>
      <c r="I101" s="19" t="n"/>
      <c r="J101" s="20">
        <f>IF(OR(I101="",K101&lt;&gt;"Yes"),"",I101-MINIFS($I$6:$I$500,$K$6:$K$500,"Yes"))</f>
        <v/>
      </c>
      <c r="K101" s="16" t="n"/>
      <c r="L101" s="16" t="n"/>
      <c r="M101" s="16" t="n"/>
      <c r="N101" s="9" t="n"/>
      <c r="O101" s="9" t="n"/>
      <c r="P101" s="9" t="n"/>
    </row>
    <row r="102">
      <c r="A102" s="16" t="n"/>
      <c r="B102" s="16" t="n"/>
      <c r="C102" s="16" t="n"/>
      <c r="D102" s="16" t="n"/>
      <c r="E102" s="16" t="n"/>
      <c r="F102" s="19" t="n"/>
      <c r="G102" s="16" t="n"/>
      <c r="H102" s="19" t="n"/>
      <c r="I102" s="19" t="n"/>
      <c r="J102" s="20">
        <f>IF(OR(I102="",K102&lt;&gt;"Yes"),"",I102-MINIFS($I$6:$I$500,$K$6:$K$500,"Yes"))</f>
        <v/>
      </c>
      <c r="K102" s="16" t="n"/>
      <c r="L102" s="16" t="n"/>
      <c r="M102" s="16" t="n"/>
      <c r="N102" s="9" t="n"/>
      <c r="O102" s="9" t="n"/>
      <c r="P102" s="9" t="n"/>
    </row>
    <row r="103">
      <c r="A103" s="16" t="n"/>
      <c r="B103" s="16" t="n"/>
      <c r="C103" s="16" t="n"/>
      <c r="D103" s="16" t="n"/>
      <c r="E103" s="16" t="n"/>
      <c r="F103" s="19" t="n"/>
      <c r="G103" s="16" t="n"/>
      <c r="H103" s="19" t="n"/>
      <c r="I103" s="19" t="n"/>
      <c r="J103" s="20">
        <f>IF(OR(I103="",K103&lt;&gt;"Yes"),"",I103-MINIFS($I$6:$I$500,$K$6:$K$500,"Yes"))</f>
        <v/>
      </c>
      <c r="K103" s="16" t="n"/>
      <c r="L103" s="16" t="n"/>
      <c r="M103" s="16" t="n"/>
      <c r="N103" s="9" t="n"/>
      <c r="O103" s="9" t="n"/>
      <c r="P103" s="9" t="n"/>
    </row>
    <row r="104">
      <c r="A104" s="16" t="n"/>
      <c r="B104" s="16" t="n"/>
      <c r="C104" s="16" t="n"/>
      <c r="D104" s="16" t="n"/>
      <c r="E104" s="16" t="n"/>
      <c r="F104" s="19" t="n"/>
      <c r="G104" s="16" t="n"/>
      <c r="H104" s="19" t="n"/>
      <c r="I104" s="19" t="n"/>
      <c r="J104" s="20">
        <f>IF(OR(I104="",K104&lt;&gt;"Yes"),"",I104-MINIFS($I$6:$I$500,$K$6:$K$500,"Yes"))</f>
        <v/>
      </c>
      <c r="K104" s="16" t="n"/>
      <c r="L104" s="16" t="n"/>
      <c r="M104" s="16" t="n"/>
      <c r="N104" s="9" t="n"/>
      <c r="O104" s="9" t="n"/>
      <c r="P104" s="9" t="n"/>
    </row>
    <row r="105">
      <c r="A105" s="16" t="n"/>
      <c r="B105" s="16" t="n"/>
      <c r="C105" s="16" t="n"/>
      <c r="D105" s="16" t="n"/>
      <c r="E105" s="16" t="n"/>
      <c r="F105" s="19" t="n"/>
      <c r="G105" s="16" t="n"/>
      <c r="H105" s="19" t="n"/>
      <c r="I105" s="19" t="n"/>
      <c r="J105" s="20">
        <f>IF(OR(I105="",K105&lt;&gt;"Yes"),"",I105-MINIFS($I$6:$I$500,$K$6:$K$500,"Yes"))</f>
        <v/>
      </c>
      <c r="K105" s="16" t="n"/>
      <c r="L105" s="16" t="n"/>
      <c r="M105" s="16" t="n"/>
      <c r="N105" s="9" t="n"/>
      <c r="O105" s="9" t="n"/>
      <c r="P105" s="9" t="n"/>
    </row>
    <row r="106">
      <c r="A106" s="16" t="n"/>
      <c r="B106" s="16" t="n"/>
      <c r="C106" s="16" t="n"/>
      <c r="D106" s="16" t="n"/>
      <c r="E106" s="16" t="n"/>
      <c r="F106" s="19" t="n"/>
      <c r="G106" s="16" t="n"/>
      <c r="H106" s="19" t="n"/>
      <c r="I106" s="19" t="n"/>
      <c r="J106" s="20">
        <f>IF(OR(I106="",K106&lt;&gt;"Yes"),"",I106-MINIFS($I$6:$I$500,$K$6:$K$500,"Yes"))</f>
        <v/>
      </c>
      <c r="K106" s="16" t="n"/>
      <c r="L106" s="16" t="n"/>
      <c r="M106" s="16" t="n"/>
      <c r="N106" s="9" t="n"/>
      <c r="O106" s="9" t="n"/>
      <c r="P106" s="9" t="n"/>
    </row>
    <row r="107">
      <c r="A107" s="16" t="n"/>
      <c r="B107" s="16" t="n"/>
      <c r="C107" s="16" t="n"/>
      <c r="D107" s="16" t="n"/>
      <c r="E107" s="16" t="n"/>
      <c r="F107" s="19" t="n"/>
      <c r="G107" s="16" t="n"/>
      <c r="H107" s="19" t="n"/>
      <c r="I107" s="19" t="n"/>
      <c r="J107" s="20">
        <f>IF(OR(I107="",K107&lt;&gt;"Yes"),"",I107-MINIFS($I$6:$I$500,$K$6:$K$500,"Yes"))</f>
        <v/>
      </c>
      <c r="K107" s="16" t="n"/>
      <c r="L107" s="16" t="n"/>
      <c r="M107" s="16" t="n"/>
      <c r="N107" s="9" t="n"/>
      <c r="O107" s="9" t="n"/>
      <c r="P107" s="9" t="n"/>
    </row>
    <row r="108">
      <c r="A108" s="16" t="n"/>
      <c r="B108" s="16" t="n"/>
      <c r="C108" s="16" t="n"/>
      <c r="D108" s="16" t="n"/>
      <c r="E108" s="16" t="n"/>
      <c r="F108" s="19" t="n"/>
      <c r="G108" s="16" t="n"/>
      <c r="H108" s="19" t="n"/>
      <c r="I108" s="19" t="n"/>
      <c r="J108" s="20">
        <f>IF(OR(I108="",K108&lt;&gt;"Yes"),"",I108-MINIFS($I$6:$I$500,$K$6:$K$500,"Yes"))</f>
        <v/>
      </c>
      <c r="K108" s="16" t="n"/>
      <c r="L108" s="16" t="n"/>
      <c r="M108" s="16" t="n"/>
      <c r="N108" s="9" t="n"/>
      <c r="O108" s="9" t="n"/>
      <c r="P108" s="9" t="n"/>
    </row>
    <row r="109">
      <c r="A109" s="16" t="n"/>
      <c r="B109" s="16" t="n"/>
      <c r="C109" s="16" t="n"/>
      <c r="D109" s="16" t="n"/>
      <c r="E109" s="16" t="n"/>
      <c r="F109" s="19" t="n"/>
      <c r="G109" s="16" t="n"/>
      <c r="H109" s="19" t="n"/>
      <c r="I109" s="19" t="n"/>
      <c r="J109" s="20">
        <f>IF(OR(I109="",K109&lt;&gt;"Yes"),"",I109-MINIFS($I$6:$I$500,$K$6:$K$500,"Yes"))</f>
        <v/>
      </c>
      <c r="K109" s="16" t="n"/>
      <c r="L109" s="16" t="n"/>
      <c r="M109" s="16" t="n"/>
      <c r="N109" s="9" t="n"/>
      <c r="O109" s="9" t="n"/>
      <c r="P109" s="9" t="n"/>
    </row>
    <row r="110">
      <c r="A110" s="16" t="n"/>
      <c r="B110" s="16" t="n"/>
      <c r="C110" s="16" t="n"/>
      <c r="D110" s="16" t="n"/>
      <c r="E110" s="16" t="n"/>
      <c r="F110" s="19" t="n"/>
      <c r="G110" s="16" t="n"/>
      <c r="H110" s="19" t="n"/>
      <c r="I110" s="19" t="n"/>
      <c r="J110" s="20">
        <f>IF(OR(I110="",K110&lt;&gt;"Yes"),"",I110-MINIFS($I$6:$I$500,$K$6:$K$500,"Yes"))</f>
        <v/>
      </c>
      <c r="K110" s="16" t="n"/>
      <c r="L110" s="16" t="n"/>
      <c r="M110" s="16" t="n"/>
      <c r="N110" s="9" t="n"/>
      <c r="O110" s="9" t="n"/>
      <c r="P110" s="9" t="n"/>
    </row>
    <row r="111">
      <c r="A111" s="16" t="n"/>
      <c r="B111" s="16" t="n"/>
      <c r="C111" s="16" t="n"/>
      <c r="D111" s="16" t="n"/>
      <c r="E111" s="16" t="n"/>
      <c r="F111" s="19" t="n"/>
      <c r="G111" s="16" t="n"/>
      <c r="H111" s="19" t="n"/>
      <c r="I111" s="19" t="n"/>
      <c r="J111" s="20">
        <f>IF(OR(I111="",K111&lt;&gt;"Yes"),"",I111-MINIFS($I$6:$I$500,$K$6:$K$500,"Yes"))</f>
        <v/>
      </c>
      <c r="K111" s="16" t="n"/>
      <c r="L111" s="16" t="n"/>
      <c r="M111" s="16" t="n"/>
      <c r="N111" s="9" t="n"/>
      <c r="O111" s="9" t="n"/>
      <c r="P111" s="9" t="n"/>
    </row>
    <row r="112">
      <c r="A112" s="16" t="n"/>
      <c r="B112" s="16" t="n"/>
      <c r="C112" s="16" t="n"/>
      <c r="D112" s="16" t="n"/>
      <c r="E112" s="16" t="n"/>
      <c r="F112" s="19" t="n"/>
      <c r="G112" s="16" t="n"/>
      <c r="H112" s="19" t="n"/>
      <c r="I112" s="19" t="n"/>
      <c r="J112" s="20">
        <f>IF(OR(I112="",K112&lt;&gt;"Yes"),"",I112-MINIFS($I$6:$I$500,$K$6:$K$500,"Yes"))</f>
        <v/>
      </c>
      <c r="K112" s="16" t="n"/>
      <c r="L112" s="16" t="n"/>
      <c r="M112" s="16" t="n"/>
      <c r="N112" s="9" t="n"/>
      <c r="O112" s="9" t="n"/>
      <c r="P112" s="9" t="n"/>
    </row>
    <row r="113">
      <c r="A113" s="16" t="n"/>
      <c r="B113" s="16" t="n"/>
      <c r="C113" s="16" t="n"/>
      <c r="D113" s="16" t="n"/>
      <c r="E113" s="16" t="n"/>
      <c r="F113" s="19" t="n"/>
      <c r="G113" s="16" t="n"/>
      <c r="H113" s="19" t="n"/>
      <c r="I113" s="19" t="n"/>
      <c r="J113" s="20">
        <f>IF(OR(I113="",K113&lt;&gt;"Yes"),"",I113-MINIFS($I$6:$I$500,$K$6:$K$500,"Yes"))</f>
        <v/>
      </c>
      <c r="K113" s="16" t="n"/>
      <c r="L113" s="16" t="n"/>
      <c r="M113" s="16" t="n"/>
      <c r="N113" s="9" t="n"/>
      <c r="O113" s="9" t="n"/>
      <c r="P113" s="9" t="n"/>
    </row>
    <row r="114">
      <c r="A114" s="16" t="n"/>
      <c r="B114" s="16" t="n"/>
      <c r="C114" s="16" t="n"/>
      <c r="D114" s="16" t="n"/>
      <c r="E114" s="16" t="n"/>
      <c r="F114" s="19" t="n"/>
      <c r="G114" s="16" t="n"/>
      <c r="H114" s="19" t="n"/>
      <c r="I114" s="19" t="n"/>
      <c r="J114" s="20">
        <f>IF(OR(I114="",K114&lt;&gt;"Yes"),"",I114-MINIFS($I$6:$I$500,$K$6:$K$500,"Yes"))</f>
        <v/>
      </c>
      <c r="K114" s="16" t="n"/>
      <c r="L114" s="16" t="n"/>
      <c r="M114" s="16" t="n"/>
      <c r="N114" s="9" t="n"/>
      <c r="O114" s="9" t="n"/>
      <c r="P114" s="9" t="n"/>
    </row>
    <row r="115">
      <c r="A115" s="16" t="n"/>
      <c r="B115" s="16" t="n"/>
      <c r="C115" s="16" t="n"/>
      <c r="D115" s="16" t="n"/>
      <c r="E115" s="16" t="n"/>
      <c r="F115" s="19" t="n"/>
      <c r="G115" s="16" t="n"/>
      <c r="H115" s="19" t="n"/>
      <c r="I115" s="19" t="n"/>
      <c r="J115" s="20">
        <f>IF(OR(I115="",K115&lt;&gt;"Yes"),"",I115-MINIFS($I$6:$I$500,$K$6:$K$500,"Yes"))</f>
        <v/>
      </c>
      <c r="K115" s="16" t="n"/>
      <c r="L115" s="16" t="n"/>
      <c r="M115" s="16" t="n"/>
      <c r="N115" s="9" t="n"/>
      <c r="O115" s="9" t="n"/>
      <c r="P115" s="9" t="n"/>
    </row>
    <row r="116">
      <c r="A116" s="16" t="n"/>
      <c r="B116" s="16" t="n"/>
      <c r="C116" s="16" t="n"/>
      <c r="D116" s="16" t="n"/>
      <c r="E116" s="16" t="n"/>
      <c r="F116" s="19" t="n"/>
      <c r="G116" s="16" t="n"/>
      <c r="H116" s="19" t="n"/>
      <c r="I116" s="19" t="n"/>
      <c r="J116" s="20">
        <f>IF(OR(I116="",K116&lt;&gt;"Yes"),"",I116-MINIFS($I$6:$I$500,$K$6:$K$500,"Yes"))</f>
        <v/>
      </c>
      <c r="K116" s="16" t="n"/>
      <c r="L116" s="16" t="n"/>
      <c r="M116" s="16" t="n"/>
      <c r="N116" s="9" t="n"/>
      <c r="O116" s="9" t="n"/>
      <c r="P116" s="9" t="n"/>
    </row>
    <row r="117">
      <c r="A117" s="16" t="n"/>
      <c r="B117" s="16" t="n"/>
      <c r="C117" s="16" t="n"/>
      <c r="D117" s="16" t="n"/>
      <c r="E117" s="16" t="n"/>
      <c r="F117" s="19" t="n"/>
      <c r="G117" s="16" t="n"/>
      <c r="H117" s="19" t="n"/>
      <c r="I117" s="19" t="n"/>
      <c r="J117" s="20">
        <f>IF(OR(I117="",K117&lt;&gt;"Yes"),"",I117-MINIFS($I$6:$I$500,$K$6:$K$500,"Yes"))</f>
        <v/>
      </c>
      <c r="K117" s="16" t="n"/>
      <c r="L117" s="16" t="n"/>
      <c r="M117" s="16" t="n"/>
      <c r="N117" s="9" t="n"/>
      <c r="O117" s="9" t="n"/>
      <c r="P117" s="9" t="n"/>
    </row>
    <row r="118">
      <c r="A118" s="16" t="n"/>
      <c r="B118" s="16" t="n"/>
      <c r="C118" s="16" t="n"/>
      <c r="D118" s="16" t="n"/>
      <c r="E118" s="16" t="n"/>
      <c r="F118" s="19" t="n"/>
      <c r="G118" s="16" t="n"/>
      <c r="H118" s="19" t="n"/>
      <c r="I118" s="19" t="n"/>
      <c r="J118" s="20">
        <f>IF(OR(I118="",K118&lt;&gt;"Yes"),"",I118-MINIFS($I$6:$I$500,$K$6:$K$500,"Yes"))</f>
        <v/>
      </c>
      <c r="K118" s="16" t="n"/>
      <c r="L118" s="16" t="n"/>
      <c r="M118" s="16" t="n"/>
      <c r="N118" s="9" t="n"/>
      <c r="O118" s="9" t="n"/>
      <c r="P118" s="9" t="n"/>
    </row>
    <row r="119">
      <c r="A119" s="16" t="n"/>
      <c r="B119" s="16" t="n"/>
      <c r="C119" s="16" t="n"/>
      <c r="D119" s="16" t="n"/>
      <c r="E119" s="16" t="n"/>
      <c r="F119" s="19" t="n"/>
      <c r="G119" s="16" t="n"/>
      <c r="H119" s="19" t="n"/>
      <c r="I119" s="19" t="n"/>
      <c r="J119" s="20">
        <f>IF(OR(I119="",K119&lt;&gt;"Yes"),"",I119-MINIFS($I$6:$I$500,$K$6:$K$500,"Yes"))</f>
        <v/>
      </c>
      <c r="K119" s="16" t="n"/>
      <c r="L119" s="16" t="n"/>
      <c r="M119" s="16" t="n"/>
      <c r="N119" s="9" t="n"/>
      <c r="O119" s="9" t="n"/>
      <c r="P119" s="9" t="n"/>
    </row>
    <row r="120">
      <c r="A120" s="16" t="n"/>
      <c r="B120" s="16" t="n"/>
      <c r="C120" s="16" t="n"/>
      <c r="D120" s="16" t="n"/>
      <c r="E120" s="16" t="n"/>
      <c r="F120" s="19" t="n"/>
      <c r="G120" s="16" t="n"/>
      <c r="H120" s="19" t="n"/>
      <c r="I120" s="19" t="n"/>
      <c r="J120" s="20">
        <f>IF(OR(I120="",K120&lt;&gt;"Yes"),"",I120-MINIFS($I$6:$I$500,$K$6:$K$500,"Yes"))</f>
        <v/>
      </c>
      <c r="K120" s="16" t="n"/>
      <c r="L120" s="16" t="n"/>
      <c r="M120" s="16" t="n"/>
      <c r="N120" s="9" t="n"/>
      <c r="O120" s="9" t="n"/>
      <c r="P120" s="9" t="n"/>
    </row>
    <row r="121">
      <c r="A121" s="16" t="n"/>
      <c r="B121" s="16" t="n"/>
      <c r="C121" s="16" t="n"/>
      <c r="D121" s="16" t="n"/>
      <c r="E121" s="16" t="n"/>
      <c r="F121" s="19" t="n"/>
      <c r="G121" s="16" t="n"/>
      <c r="H121" s="19" t="n"/>
      <c r="I121" s="19" t="n"/>
      <c r="J121" s="20">
        <f>IF(OR(I121="",K121&lt;&gt;"Yes"),"",I121-MINIFS($I$6:$I$500,$K$6:$K$500,"Yes"))</f>
        <v/>
      </c>
      <c r="K121" s="16" t="n"/>
      <c r="L121" s="16" t="n"/>
      <c r="M121" s="16" t="n"/>
      <c r="N121" s="9" t="n"/>
      <c r="O121" s="9" t="n"/>
      <c r="P121" s="9" t="n"/>
    </row>
    <row r="122">
      <c r="A122" s="16" t="n"/>
      <c r="B122" s="16" t="n"/>
      <c r="C122" s="16" t="n"/>
      <c r="D122" s="16" t="n"/>
      <c r="E122" s="16" t="n"/>
      <c r="F122" s="19" t="n"/>
      <c r="G122" s="16" t="n"/>
      <c r="H122" s="19" t="n"/>
      <c r="I122" s="19" t="n"/>
      <c r="J122" s="20">
        <f>IF(OR(I122="",K122&lt;&gt;"Yes"),"",I122-MINIFS($I$6:$I$500,$K$6:$K$500,"Yes"))</f>
        <v/>
      </c>
      <c r="K122" s="16" t="n"/>
      <c r="L122" s="16" t="n"/>
      <c r="M122" s="16" t="n"/>
      <c r="N122" s="9" t="n"/>
      <c r="O122" s="9" t="n"/>
      <c r="P122" s="9" t="n"/>
    </row>
    <row r="123">
      <c r="A123" s="16" t="n"/>
      <c r="B123" s="16" t="n"/>
      <c r="C123" s="16" t="n"/>
      <c r="D123" s="16" t="n"/>
      <c r="E123" s="16" t="n"/>
      <c r="F123" s="19" t="n"/>
      <c r="G123" s="16" t="n"/>
      <c r="H123" s="19" t="n"/>
      <c r="I123" s="19" t="n"/>
      <c r="J123" s="20">
        <f>IF(OR(I123="",K123&lt;&gt;"Yes"),"",I123-MINIFS($I$6:$I$500,$K$6:$K$500,"Yes"))</f>
        <v/>
      </c>
      <c r="K123" s="16" t="n"/>
      <c r="L123" s="16" t="n"/>
      <c r="M123" s="16" t="n"/>
      <c r="N123" s="9" t="n"/>
      <c r="O123" s="9" t="n"/>
      <c r="P123" s="9" t="n"/>
    </row>
    <row r="124">
      <c r="A124" s="16" t="n"/>
      <c r="B124" s="16" t="n"/>
      <c r="C124" s="16" t="n"/>
      <c r="D124" s="16" t="n"/>
      <c r="E124" s="16" t="n"/>
      <c r="F124" s="19" t="n"/>
      <c r="G124" s="16" t="n"/>
      <c r="H124" s="19" t="n"/>
      <c r="I124" s="19" t="n"/>
      <c r="J124" s="20">
        <f>IF(OR(I124="",K124&lt;&gt;"Yes"),"",I124-MINIFS($I$6:$I$500,$K$6:$K$500,"Yes"))</f>
        <v/>
      </c>
      <c r="K124" s="16" t="n"/>
      <c r="L124" s="16" t="n"/>
      <c r="M124" s="16" t="n"/>
      <c r="N124" s="9" t="n"/>
      <c r="O124" s="9" t="n"/>
      <c r="P124" s="9" t="n"/>
    </row>
    <row r="125">
      <c r="A125" s="16" t="n"/>
      <c r="B125" s="16" t="n"/>
      <c r="C125" s="16" t="n"/>
      <c r="D125" s="16" t="n"/>
      <c r="E125" s="16" t="n"/>
      <c r="F125" s="19" t="n"/>
      <c r="G125" s="16" t="n"/>
      <c r="H125" s="19" t="n"/>
      <c r="I125" s="19" t="n"/>
      <c r="J125" s="20">
        <f>IF(OR(I125="",K125&lt;&gt;"Yes"),"",I125-MINIFS($I$6:$I$500,$K$6:$K$500,"Yes"))</f>
        <v/>
      </c>
      <c r="K125" s="16" t="n"/>
      <c r="L125" s="16" t="n"/>
      <c r="M125" s="16" t="n"/>
      <c r="N125" s="9" t="n"/>
      <c r="O125" s="9" t="n"/>
      <c r="P125" s="9" t="n"/>
    </row>
    <row r="126">
      <c r="A126" s="16" t="n"/>
      <c r="B126" s="16" t="n"/>
      <c r="C126" s="16" t="n"/>
      <c r="D126" s="16" t="n"/>
      <c r="E126" s="16" t="n"/>
      <c r="F126" s="19" t="n"/>
      <c r="G126" s="16" t="n"/>
      <c r="H126" s="19" t="n"/>
      <c r="I126" s="19" t="n"/>
      <c r="J126" s="20">
        <f>IF(OR(I126="",K126&lt;&gt;"Yes"),"",I126-MINIFS($I$6:$I$500,$K$6:$K$500,"Yes"))</f>
        <v/>
      </c>
      <c r="K126" s="16" t="n"/>
      <c r="L126" s="16" t="n"/>
      <c r="M126" s="16" t="n"/>
      <c r="N126" s="9" t="n"/>
      <c r="O126" s="9" t="n"/>
      <c r="P126" s="9" t="n"/>
    </row>
    <row r="127">
      <c r="A127" s="16" t="n"/>
      <c r="B127" s="16" t="n"/>
      <c r="C127" s="16" t="n"/>
      <c r="D127" s="16" t="n"/>
      <c r="E127" s="16" t="n"/>
      <c r="F127" s="19" t="n"/>
      <c r="G127" s="16" t="n"/>
      <c r="H127" s="19" t="n"/>
      <c r="I127" s="19" t="n"/>
      <c r="J127" s="20">
        <f>IF(OR(I127="",K127&lt;&gt;"Yes"),"",I127-MINIFS($I$6:$I$500,$K$6:$K$500,"Yes"))</f>
        <v/>
      </c>
      <c r="K127" s="16" t="n"/>
      <c r="L127" s="16" t="n"/>
      <c r="M127" s="16" t="n"/>
      <c r="N127" s="9" t="n"/>
      <c r="O127" s="9" t="n"/>
      <c r="P127" s="9" t="n"/>
    </row>
    <row r="128">
      <c r="A128" s="16" t="n"/>
      <c r="B128" s="16" t="n"/>
      <c r="C128" s="16" t="n"/>
      <c r="D128" s="16" t="n"/>
      <c r="E128" s="16" t="n"/>
      <c r="F128" s="19" t="n"/>
      <c r="G128" s="16" t="n"/>
      <c r="H128" s="19" t="n"/>
      <c r="I128" s="19" t="n"/>
      <c r="J128" s="20">
        <f>IF(OR(I128="",K128&lt;&gt;"Yes"),"",I128-MINIFS($I$6:$I$500,$K$6:$K$500,"Yes"))</f>
        <v/>
      </c>
      <c r="K128" s="16" t="n"/>
      <c r="L128" s="16" t="n"/>
      <c r="M128" s="16" t="n"/>
      <c r="N128" s="9" t="n"/>
      <c r="O128" s="9" t="n"/>
      <c r="P128" s="9" t="n"/>
    </row>
    <row r="129">
      <c r="A129" s="16" t="n"/>
      <c r="B129" s="16" t="n"/>
      <c r="C129" s="16" t="n"/>
      <c r="D129" s="16" t="n"/>
      <c r="E129" s="16" t="n"/>
      <c r="F129" s="19" t="n"/>
      <c r="G129" s="16" t="n"/>
      <c r="H129" s="19" t="n"/>
      <c r="I129" s="19" t="n"/>
      <c r="J129" s="20">
        <f>IF(OR(I129="",K129&lt;&gt;"Yes"),"",I129-MINIFS($I$6:$I$500,$K$6:$K$500,"Yes"))</f>
        <v/>
      </c>
      <c r="K129" s="16" t="n"/>
      <c r="L129" s="16" t="n"/>
      <c r="M129" s="16" t="n"/>
      <c r="N129" s="9" t="n"/>
      <c r="O129" s="9" t="n"/>
      <c r="P129" s="9" t="n"/>
    </row>
    <row r="130">
      <c r="A130" s="16" t="n"/>
      <c r="B130" s="16" t="n"/>
      <c r="C130" s="16" t="n"/>
      <c r="D130" s="16" t="n"/>
      <c r="E130" s="16" t="n"/>
      <c r="F130" s="19" t="n"/>
      <c r="G130" s="16" t="n"/>
      <c r="H130" s="19" t="n"/>
      <c r="I130" s="19" t="n"/>
      <c r="J130" s="20">
        <f>IF(OR(I130="",K130&lt;&gt;"Yes"),"",I130-MINIFS($I$6:$I$500,$K$6:$K$500,"Yes"))</f>
        <v/>
      </c>
      <c r="K130" s="16" t="n"/>
      <c r="L130" s="16" t="n"/>
      <c r="M130" s="16" t="n"/>
      <c r="N130" s="9" t="n"/>
      <c r="O130" s="9" t="n"/>
      <c r="P130" s="9" t="n"/>
    </row>
    <row r="131">
      <c r="A131" s="16" t="n"/>
      <c r="B131" s="16" t="n"/>
      <c r="C131" s="16" t="n"/>
      <c r="D131" s="16" t="n"/>
      <c r="E131" s="16" t="n"/>
      <c r="F131" s="19" t="n"/>
      <c r="G131" s="16" t="n"/>
      <c r="H131" s="19" t="n"/>
      <c r="I131" s="19" t="n"/>
      <c r="J131" s="20">
        <f>IF(OR(I131="",K131&lt;&gt;"Yes"),"",I131-MINIFS($I$6:$I$500,$K$6:$K$500,"Yes"))</f>
        <v/>
      </c>
      <c r="K131" s="16" t="n"/>
      <c r="L131" s="16" t="n"/>
      <c r="M131" s="16" t="n"/>
      <c r="N131" s="9" t="n"/>
      <c r="O131" s="9" t="n"/>
      <c r="P131" s="9" t="n"/>
    </row>
    <row r="132">
      <c r="A132" s="16" t="n"/>
      <c r="B132" s="16" t="n"/>
      <c r="C132" s="16" t="n"/>
      <c r="D132" s="16" t="n"/>
      <c r="E132" s="16" t="n"/>
      <c r="F132" s="19" t="n"/>
      <c r="G132" s="16" t="n"/>
      <c r="H132" s="19" t="n"/>
      <c r="I132" s="19" t="n"/>
      <c r="J132" s="20">
        <f>IF(OR(I132="",K132&lt;&gt;"Yes"),"",I132-MINIFS($I$6:$I$500,$K$6:$K$500,"Yes"))</f>
        <v/>
      </c>
      <c r="K132" s="16" t="n"/>
      <c r="L132" s="16" t="n"/>
      <c r="M132" s="16" t="n"/>
      <c r="N132" s="9" t="n"/>
      <c r="O132" s="9" t="n"/>
      <c r="P132" s="9" t="n"/>
    </row>
    <row r="133">
      <c r="A133" s="16" t="n"/>
      <c r="B133" s="16" t="n"/>
      <c r="C133" s="16" t="n"/>
      <c r="D133" s="16" t="n"/>
      <c r="E133" s="16" t="n"/>
      <c r="F133" s="19" t="n"/>
      <c r="G133" s="16" t="n"/>
      <c r="H133" s="19" t="n"/>
      <c r="I133" s="19" t="n"/>
      <c r="J133" s="20">
        <f>IF(OR(I133="",K133&lt;&gt;"Yes"),"",I133-MINIFS($I$6:$I$500,$K$6:$K$500,"Yes"))</f>
        <v/>
      </c>
      <c r="K133" s="16" t="n"/>
      <c r="L133" s="16" t="n"/>
      <c r="M133" s="16" t="n"/>
      <c r="N133" s="9" t="n"/>
      <c r="O133" s="9" t="n"/>
      <c r="P133" s="9" t="n"/>
    </row>
    <row r="134">
      <c r="A134" s="16" t="n"/>
      <c r="B134" s="16" t="n"/>
      <c r="C134" s="16" t="n"/>
      <c r="D134" s="16" t="n"/>
      <c r="E134" s="16" t="n"/>
      <c r="F134" s="19" t="n"/>
      <c r="G134" s="16" t="n"/>
      <c r="H134" s="19" t="n"/>
      <c r="I134" s="19" t="n"/>
      <c r="J134" s="20">
        <f>IF(OR(I134="",K134&lt;&gt;"Yes"),"",I134-MINIFS($I$6:$I$500,$K$6:$K$500,"Yes"))</f>
        <v/>
      </c>
      <c r="K134" s="16" t="n"/>
      <c r="L134" s="16" t="n"/>
      <c r="M134" s="16" t="n"/>
      <c r="N134" s="9" t="n"/>
      <c r="O134" s="9" t="n"/>
      <c r="P134" s="9" t="n"/>
    </row>
    <row r="135">
      <c r="A135" s="16" t="n"/>
      <c r="B135" s="16" t="n"/>
      <c r="C135" s="16" t="n"/>
      <c r="D135" s="16" t="n"/>
      <c r="E135" s="16" t="n"/>
      <c r="F135" s="19" t="n"/>
      <c r="G135" s="16" t="n"/>
      <c r="H135" s="19" t="n"/>
      <c r="I135" s="19" t="n"/>
      <c r="J135" s="20">
        <f>IF(OR(I135="",K135&lt;&gt;"Yes"),"",I135-MINIFS($I$6:$I$500,$K$6:$K$500,"Yes"))</f>
        <v/>
      </c>
      <c r="K135" s="16" t="n"/>
      <c r="L135" s="16" t="n"/>
      <c r="M135" s="16" t="n"/>
      <c r="N135" s="9" t="n"/>
      <c r="O135" s="9" t="n"/>
      <c r="P135" s="9" t="n"/>
    </row>
    <row r="136">
      <c r="A136" s="16" t="n"/>
      <c r="B136" s="16" t="n"/>
      <c r="C136" s="16" t="n"/>
      <c r="D136" s="16" t="n"/>
      <c r="E136" s="16" t="n"/>
      <c r="F136" s="19" t="n"/>
      <c r="G136" s="16" t="n"/>
      <c r="H136" s="19" t="n"/>
      <c r="I136" s="19" t="n"/>
      <c r="J136" s="20">
        <f>IF(OR(I136="",K136&lt;&gt;"Yes"),"",I136-MINIFS($I$6:$I$500,$K$6:$K$500,"Yes"))</f>
        <v/>
      </c>
      <c r="K136" s="16" t="n"/>
      <c r="L136" s="16" t="n"/>
      <c r="M136" s="16" t="n"/>
      <c r="N136" s="9" t="n"/>
      <c r="O136" s="9" t="n"/>
      <c r="P136" s="9" t="n"/>
    </row>
    <row r="137">
      <c r="A137" s="16" t="n"/>
      <c r="B137" s="16" t="n"/>
      <c r="C137" s="16" t="n"/>
      <c r="D137" s="16" t="n"/>
      <c r="E137" s="16" t="n"/>
      <c r="F137" s="19" t="n"/>
      <c r="G137" s="16" t="n"/>
      <c r="H137" s="19" t="n"/>
      <c r="I137" s="19" t="n"/>
      <c r="J137" s="20">
        <f>IF(OR(I137="",K137&lt;&gt;"Yes"),"",I137-MINIFS($I$6:$I$500,$K$6:$K$500,"Yes"))</f>
        <v/>
      </c>
      <c r="K137" s="16" t="n"/>
      <c r="L137" s="16" t="n"/>
      <c r="M137" s="16" t="n"/>
      <c r="N137" s="9" t="n"/>
      <c r="O137" s="9" t="n"/>
      <c r="P137" s="9" t="n"/>
    </row>
    <row r="138">
      <c r="A138" s="16" t="n"/>
      <c r="B138" s="16" t="n"/>
      <c r="C138" s="16" t="n"/>
      <c r="D138" s="16" t="n"/>
      <c r="E138" s="16" t="n"/>
      <c r="F138" s="19" t="n"/>
      <c r="G138" s="16" t="n"/>
      <c r="H138" s="19" t="n"/>
      <c r="I138" s="19" t="n"/>
      <c r="J138" s="20">
        <f>IF(OR(I138="",K138&lt;&gt;"Yes"),"",I138-MINIFS($I$6:$I$500,$K$6:$K$500,"Yes"))</f>
        <v/>
      </c>
      <c r="K138" s="16" t="n"/>
      <c r="L138" s="16" t="n"/>
      <c r="M138" s="16" t="n"/>
      <c r="N138" s="9" t="n"/>
      <c r="O138" s="9" t="n"/>
      <c r="P138" s="9" t="n"/>
    </row>
    <row r="139">
      <c r="A139" s="16" t="n"/>
      <c r="B139" s="16" t="n"/>
      <c r="C139" s="16" t="n"/>
      <c r="D139" s="16" t="n"/>
      <c r="E139" s="16" t="n"/>
      <c r="F139" s="19" t="n"/>
      <c r="G139" s="16" t="n"/>
      <c r="H139" s="19" t="n"/>
      <c r="I139" s="19" t="n"/>
      <c r="J139" s="20">
        <f>IF(OR(I139="",K139&lt;&gt;"Yes"),"",I139-MINIFS($I$6:$I$500,$K$6:$K$500,"Yes"))</f>
        <v/>
      </c>
      <c r="K139" s="16" t="n"/>
      <c r="L139" s="16" t="n"/>
      <c r="M139" s="16" t="n"/>
      <c r="N139" s="9" t="n"/>
      <c r="O139" s="9" t="n"/>
      <c r="P139" s="9" t="n"/>
    </row>
    <row r="140">
      <c r="A140" s="16" t="n"/>
      <c r="B140" s="16" t="n"/>
      <c r="C140" s="16" t="n"/>
      <c r="D140" s="16" t="n"/>
      <c r="E140" s="16" t="n"/>
      <c r="F140" s="19" t="n"/>
      <c r="G140" s="16" t="n"/>
      <c r="H140" s="19" t="n"/>
      <c r="I140" s="19" t="n"/>
      <c r="J140" s="20">
        <f>IF(OR(I140="",K140&lt;&gt;"Yes"),"",I140-MINIFS($I$6:$I$500,$K$6:$K$500,"Yes"))</f>
        <v/>
      </c>
      <c r="K140" s="16" t="n"/>
      <c r="L140" s="16" t="n"/>
      <c r="M140" s="16" t="n"/>
      <c r="N140" s="9" t="n"/>
      <c r="O140" s="9" t="n"/>
      <c r="P140" s="9" t="n"/>
    </row>
    <row r="141">
      <c r="A141" s="16" t="n"/>
      <c r="B141" s="16" t="n"/>
      <c r="C141" s="16" t="n"/>
      <c r="D141" s="16" t="n"/>
      <c r="E141" s="16" t="n"/>
      <c r="F141" s="19" t="n"/>
      <c r="G141" s="16" t="n"/>
      <c r="H141" s="19" t="n"/>
      <c r="I141" s="19" t="n"/>
      <c r="J141" s="20">
        <f>IF(OR(I141="",K141&lt;&gt;"Yes"),"",I141-MINIFS($I$6:$I$500,$K$6:$K$500,"Yes"))</f>
        <v/>
      </c>
      <c r="K141" s="16" t="n"/>
      <c r="L141" s="16" t="n"/>
      <c r="M141" s="16" t="n"/>
      <c r="N141" s="9" t="n"/>
      <c r="O141" s="9" t="n"/>
      <c r="P141" s="9" t="n"/>
    </row>
    <row r="142">
      <c r="A142" s="16" t="n"/>
      <c r="B142" s="16" t="n"/>
      <c r="C142" s="16" t="n"/>
      <c r="D142" s="16" t="n"/>
      <c r="E142" s="16" t="n"/>
      <c r="F142" s="19" t="n"/>
      <c r="G142" s="16" t="n"/>
      <c r="H142" s="19" t="n"/>
      <c r="I142" s="19" t="n"/>
      <c r="J142" s="20">
        <f>IF(OR(I142="",K142&lt;&gt;"Yes"),"",I142-MINIFS($I$6:$I$500,$K$6:$K$500,"Yes"))</f>
        <v/>
      </c>
      <c r="K142" s="16" t="n"/>
      <c r="L142" s="16" t="n"/>
      <c r="M142" s="16" t="n"/>
      <c r="N142" s="9" t="n"/>
      <c r="O142" s="9" t="n"/>
      <c r="P142" s="9" t="n"/>
    </row>
    <row r="143">
      <c r="A143" s="16" t="n"/>
      <c r="B143" s="16" t="n"/>
      <c r="C143" s="16" t="n"/>
      <c r="D143" s="16" t="n"/>
      <c r="E143" s="16" t="n"/>
      <c r="F143" s="19" t="n"/>
      <c r="G143" s="16" t="n"/>
      <c r="H143" s="19" t="n"/>
      <c r="I143" s="19" t="n"/>
      <c r="J143" s="20">
        <f>IF(OR(I143="",K143&lt;&gt;"Yes"),"",I143-MINIFS($I$6:$I$500,$K$6:$K$500,"Yes"))</f>
        <v/>
      </c>
      <c r="K143" s="16" t="n"/>
      <c r="L143" s="16" t="n"/>
      <c r="M143" s="16" t="n"/>
      <c r="N143" s="9" t="n"/>
      <c r="O143" s="9" t="n"/>
      <c r="P143" s="9" t="n"/>
    </row>
    <row r="144">
      <c r="A144" s="16" t="n"/>
      <c r="B144" s="16" t="n"/>
      <c r="C144" s="16" t="n"/>
      <c r="D144" s="16" t="n"/>
      <c r="E144" s="16" t="n"/>
      <c r="F144" s="19" t="n"/>
      <c r="G144" s="16" t="n"/>
      <c r="H144" s="19" t="n"/>
      <c r="I144" s="19" t="n"/>
      <c r="J144" s="20">
        <f>IF(OR(I144="",K144&lt;&gt;"Yes"),"",I144-MINIFS($I$6:$I$500,$K$6:$K$500,"Yes"))</f>
        <v/>
      </c>
      <c r="K144" s="16" t="n"/>
      <c r="L144" s="16" t="n"/>
      <c r="M144" s="16" t="n"/>
      <c r="N144" s="9" t="n"/>
      <c r="O144" s="9" t="n"/>
      <c r="P144" s="9" t="n"/>
    </row>
    <row r="145">
      <c r="A145" s="16" t="n"/>
      <c r="B145" s="16" t="n"/>
      <c r="C145" s="16" t="n"/>
      <c r="D145" s="16" t="n"/>
      <c r="E145" s="16" t="n"/>
      <c r="F145" s="19" t="n"/>
      <c r="G145" s="16" t="n"/>
      <c r="H145" s="19" t="n"/>
      <c r="I145" s="19" t="n"/>
      <c r="J145" s="20">
        <f>IF(OR(I145="",K145&lt;&gt;"Yes"),"",I145-MINIFS($I$6:$I$500,$K$6:$K$500,"Yes"))</f>
        <v/>
      </c>
      <c r="K145" s="16" t="n"/>
      <c r="L145" s="16" t="n"/>
      <c r="M145" s="16" t="n"/>
      <c r="N145" s="9" t="n"/>
      <c r="O145" s="9" t="n"/>
      <c r="P145" s="9" t="n"/>
    </row>
    <row r="146">
      <c r="A146" s="16" t="n"/>
      <c r="B146" s="16" t="n"/>
      <c r="C146" s="16" t="n"/>
      <c r="D146" s="16" t="n"/>
      <c r="E146" s="16" t="n"/>
      <c r="F146" s="19" t="n"/>
      <c r="G146" s="16" t="n"/>
      <c r="H146" s="19" t="n"/>
      <c r="I146" s="19" t="n"/>
      <c r="J146" s="20">
        <f>IF(OR(I146="",K146&lt;&gt;"Yes"),"",I146-MINIFS($I$6:$I$500,$K$6:$K$500,"Yes"))</f>
        <v/>
      </c>
      <c r="K146" s="16" t="n"/>
      <c r="L146" s="16" t="n"/>
      <c r="M146" s="16" t="n"/>
      <c r="N146" s="9" t="n"/>
      <c r="O146" s="9" t="n"/>
      <c r="P146" s="9" t="n"/>
    </row>
    <row r="147">
      <c r="A147" s="16" t="n"/>
      <c r="B147" s="16" t="n"/>
      <c r="C147" s="16" t="n"/>
      <c r="D147" s="16" t="n"/>
      <c r="E147" s="16" t="n"/>
      <c r="F147" s="19" t="n"/>
      <c r="G147" s="16" t="n"/>
      <c r="H147" s="19" t="n"/>
      <c r="I147" s="19" t="n"/>
      <c r="J147" s="20">
        <f>IF(OR(I147="",K147&lt;&gt;"Yes"),"",I147-MINIFS($I$6:$I$500,$K$6:$K$500,"Yes"))</f>
        <v/>
      </c>
      <c r="K147" s="16" t="n"/>
      <c r="L147" s="16" t="n"/>
      <c r="M147" s="16" t="n"/>
      <c r="N147" s="9" t="n"/>
      <c r="O147" s="9" t="n"/>
      <c r="P147" s="9" t="n"/>
    </row>
    <row r="148">
      <c r="A148" s="16" t="n"/>
      <c r="B148" s="16" t="n"/>
      <c r="C148" s="16" t="n"/>
      <c r="D148" s="16" t="n"/>
      <c r="E148" s="16" t="n"/>
      <c r="F148" s="19" t="n"/>
      <c r="G148" s="16" t="n"/>
      <c r="H148" s="19" t="n"/>
      <c r="I148" s="19" t="n"/>
      <c r="J148" s="20">
        <f>IF(OR(I148="",K148&lt;&gt;"Yes"),"",I148-MINIFS($I$6:$I$500,$K$6:$K$500,"Yes"))</f>
        <v/>
      </c>
      <c r="K148" s="16" t="n"/>
      <c r="L148" s="16" t="n"/>
      <c r="M148" s="16" t="n"/>
      <c r="N148" s="9" t="n"/>
      <c r="O148" s="9" t="n"/>
      <c r="P148" s="9" t="n"/>
    </row>
    <row r="149">
      <c r="A149" s="16" t="n"/>
      <c r="B149" s="16" t="n"/>
      <c r="C149" s="16" t="n"/>
      <c r="D149" s="16" t="n"/>
      <c r="E149" s="16" t="n"/>
      <c r="F149" s="19" t="n"/>
      <c r="G149" s="16" t="n"/>
      <c r="H149" s="19" t="n"/>
      <c r="I149" s="19" t="n"/>
      <c r="J149" s="20">
        <f>IF(OR(I149="",K149&lt;&gt;"Yes"),"",I149-MINIFS($I$6:$I$500,$K$6:$K$500,"Yes"))</f>
        <v/>
      </c>
      <c r="K149" s="16" t="n"/>
      <c r="L149" s="16" t="n"/>
      <c r="M149" s="16" t="n"/>
      <c r="N149" s="9" t="n"/>
      <c r="O149" s="9" t="n"/>
      <c r="P149" s="9" t="n"/>
    </row>
    <row r="150">
      <c r="A150" s="16" t="n"/>
      <c r="B150" s="16" t="n"/>
      <c r="C150" s="16" t="n"/>
      <c r="D150" s="16" t="n"/>
      <c r="E150" s="16" t="n"/>
      <c r="F150" s="19" t="n"/>
      <c r="G150" s="16" t="n"/>
      <c r="H150" s="19" t="n"/>
      <c r="I150" s="19" t="n"/>
      <c r="J150" s="20">
        <f>IF(OR(I150="",K150&lt;&gt;"Yes"),"",I150-MINIFS($I$6:$I$500,$K$6:$K$500,"Yes"))</f>
        <v/>
      </c>
      <c r="K150" s="16" t="n"/>
      <c r="L150" s="16" t="n"/>
      <c r="M150" s="16" t="n"/>
      <c r="N150" s="9" t="n"/>
      <c r="O150" s="9" t="n"/>
      <c r="P150" s="9" t="n"/>
    </row>
    <row r="151">
      <c r="A151" s="16" t="n"/>
      <c r="B151" s="16" t="n"/>
      <c r="C151" s="16" t="n"/>
      <c r="D151" s="16" t="n"/>
      <c r="E151" s="16" t="n"/>
      <c r="F151" s="19" t="n"/>
      <c r="G151" s="16" t="n"/>
      <c r="H151" s="19" t="n"/>
      <c r="I151" s="19" t="n"/>
      <c r="J151" s="20">
        <f>IF(OR(I151="",K151&lt;&gt;"Yes"),"",I151-MINIFS($I$6:$I$500,$K$6:$K$500,"Yes"))</f>
        <v/>
      </c>
      <c r="K151" s="16" t="n"/>
      <c r="L151" s="16" t="n"/>
      <c r="M151" s="16" t="n"/>
      <c r="N151" s="9" t="n"/>
      <c r="O151" s="9" t="n"/>
      <c r="P151" s="9" t="n"/>
    </row>
    <row r="152">
      <c r="A152" s="16" t="n"/>
      <c r="B152" s="16" t="n"/>
      <c r="C152" s="16" t="n"/>
      <c r="D152" s="16" t="n"/>
      <c r="E152" s="16" t="n"/>
      <c r="F152" s="19" t="n"/>
      <c r="G152" s="16" t="n"/>
      <c r="H152" s="19" t="n"/>
      <c r="I152" s="19" t="n"/>
      <c r="J152" s="20">
        <f>IF(OR(I152="",K152&lt;&gt;"Yes"),"",I152-MINIFS($I$6:$I$500,$K$6:$K$500,"Yes"))</f>
        <v/>
      </c>
      <c r="K152" s="16" t="n"/>
      <c r="L152" s="16" t="n"/>
      <c r="M152" s="16" t="n"/>
      <c r="N152" s="9" t="n"/>
      <c r="O152" s="9" t="n"/>
      <c r="P152" s="9" t="n"/>
    </row>
    <row r="153">
      <c r="A153" s="16" t="n"/>
      <c r="B153" s="16" t="n"/>
      <c r="C153" s="16" t="n"/>
      <c r="D153" s="16" t="n"/>
      <c r="E153" s="16" t="n"/>
      <c r="F153" s="19" t="n"/>
      <c r="G153" s="16" t="n"/>
      <c r="H153" s="19" t="n"/>
      <c r="I153" s="19" t="n"/>
      <c r="J153" s="20">
        <f>IF(OR(I153="",K153&lt;&gt;"Yes"),"",I153-MINIFS($I$6:$I$500,$K$6:$K$500,"Yes"))</f>
        <v/>
      </c>
      <c r="K153" s="16" t="n"/>
      <c r="L153" s="16" t="n"/>
      <c r="M153" s="16" t="n"/>
      <c r="N153" s="9" t="n"/>
      <c r="O153" s="9" t="n"/>
      <c r="P153" s="9" t="n"/>
    </row>
    <row r="154">
      <c r="A154" s="16" t="n"/>
      <c r="B154" s="16" t="n"/>
      <c r="C154" s="16" t="n"/>
      <c r="D154" s="16" t="n"/>
      <c r="E154" s="16" t="n"/>
      <c r="F154" s="19" t="n"/>
      <c r="G154" s="16" t="n"/>
      <c r="H154" s="19" t="n"/>
      <c r="I154" s="19" t="n"/>
      <c r="J154" s="20">
        <f>IF(OR(I154="",K154&lt;&gt;"Yes"),"",I154-MINIFS($I$6:$I$500,$K$6:$K$500,"Yes"))</f>
        <v/>
      </c>
      <c r="K154" s="16" t="n"/>
      <c r="L154" s="16" t="n"/>
      <c r="M154" s="16" t="n"/>
      <c r="N154" s="9" t="n"/>
      <c r="O154" s="9" t="n"/>
      <c r="P154" s="9" t="n"/>
    </row>
    <row r="155">
      <c r="A155" s="16" t="n"/>
      <c r="B155" s="16" t="n"/>
      <c r="C155" s="16" t="n"/>
      <c r="D155" s="16" t="n"/>
      <c r="E155" s="16" t="n"/>
      <c r="F155" s="19" t="n"/>
      <c r="G155" s="16" t="n"/>
      <c r="H155" s="19" t="n"/>
      <c r="I155" s="19" t="n"/>
      <c r="J155" s="20">
        <f>IF(OR(I155="",K155&lt;&gt;"Yes"),"",I155-MINIFS($I$6:$I$500,$K$6:$K$500,"Yes"))</f>
        <v/>
      </c>
      <c r="K155" s="16" t="n"/>
      <c r="L155" s="16" t="n"/>
      <c r="M155" s="16" t="n"/>
      <c r="N155" s="9" t="n"/>
      <c r="O155" s="9" t="n"/>
      <c r="P155" s="9" t="n"/>
    </row>
    <row r="156">
      <c r="A156" s="16" t="n"/>
      <c r="B156" s="16" t="n"/>
      <c r="C156" s="16" t="n"/>
      <c r="D156" s="16" t="n"/>
      <c r="E156" s="16" t="n"/>
      <c r="F156" s="19" t="n"/>
      <c r="G156" s="16" t="n"/>
      <c r="H156" s="19" t="n"/>
      <c r="I156" s="19" t="n"/>
      <c r="J156" s="20">
        <f>IF(OR(I156="",K156&lt;&gt;"Yes"),"",I156-MINIFS($I$6:$I$500,$K$6:$K$500,"Yes"))</f>
        <v/>
      </c>
      <c r="K156" s="16" t="n"/>
      <c r="L156" s="16" t="n"/>
      <c r="M156" s="16" t="n"/>
      <c r="N156" s="9" t="n"/>
      <c r="O156" s="9" t="n"/>
      <c r="P156" s="9" t="n"/>
    </row>
    <row r="157">
      <c r="A157" s="16" t="n"/>
      <c r="B157" s="16" t="n"/>
      <c r="C157" s="16" t="n"/>
      <c r="D157" s="16" t="n"/>
      <c r="E157" s="16" t="n"/>
      <c r="F157" s="19" t="n"/>
      <c r="G157" s="16" t="n"/>
      <c r="H157" s="19" t="n"/>
      <c r="I157" s="19" t="n"/>
      <c r="J157" s="20">
        <f>IF(OR(I157="",K157&lt;&gt;"Yes"),"",I157-MINIFS($I$6:$I$500,$K$6:$K$500,"Yes"))</f>
        <v/>
      </c>
      <c r="K157" s="16" t="n"/>
      <c r="L157" s="16" t="n"/>
      <c r="M157" s="16" t="n"/>
      <c r="N157" s="9" t="n"/>
      <c r="O157" s="9" t="n"/>
      <c r="P157" s="9" t="n"/>
    </row>
    <row r="158">
      <c r="A158" s="16" t="n"/>
      <c r="B158" s="16" t="n"/>
      <c r="C158" s="16" t="n"/>
      <c r="D158" s="16" t="n"/>
      <c r="E158" s="16" t="n"/>
      <c r="F158" s="19" t="n"/>
      <c r="G158" s="16" t="n"/>
      <c r="H158" s="19" t="n"/>
      <c r="I158" s="19" t="n"/>
      <c r="J158" s="20">
        <f>IF(OR(I158="",K158&lt;&gt;"Yes"),"",I158-MINIFS($I$6:$I$500,$K$6:$K$500,"Yes"))</f>
        <v/>
      </c>
      <c r="K158" s="16" t="n"/>
      <c r="L158" s="16" t="n"/>
      <c r="M158" s="16" t="n"/>
      <c r="N158" s="9" t="n"/>
      <c r="O158" s="9" t="n"/>
      <c r="P158" s="9" t="n"/>
    </row>
    <row r="159">
      <c r="A159" s="16" t="n"/>
      <c r="B159" s="16" t="n"/>
      <c r="C159" s="16" t="n"/>
      <c r="D159" s="16" t="n"/>
      <c r="E159" s="16" t="n"/>
      <c r="F159" s="19" t="n"/>
      <c r="G159" s="16" t="n"/>
      <c r="H159" s="19" t="n"/>
      <c r="I159" s="19" t="n"/>
      <c r="J159" s="20">
        <f>IF(OR(I159="",K159&lt;&gt;"Yes"),"",I159-MINIFS($I$6:$I$500,$K$6:$K$500,"Yes"))</f>
        <v/>
      </c>
      <c r="K159" s="16" t="n"/>
      <c r="L159" s="16" t="n"/>
      <c r="M159" s="16" t="n"/>
      <c r="N159" s="9" t="n"/>
      <c r="O159" s="9" t="n"/>
      <c r="P159" s="9" t="n"/>
    </row>
    <row r="160">
      <c r="A160" s="16" t="n"/>
      <c r="B160" s="16" t="n"/>
      <c r="C160" s="16" t="n"/>
      <c r="D160" s="16" t="n"/>
      <c r="E160" s="16" t="n"/>
      <c r="F160" s="19" t="n"/>
      <c r="G160" s="16" t="n"/>
      <c r="H160" s="19" t="n"/>
      <c r="I160" s="19" t="n"/>
      <c r="J160" s="20">
        <f>IF(OR(I160="",K160&lt;&gt;"Yes"),"",I160-MINIFS($I$6:$I$500,$K$6:$K$500,"Yes"))</f>
        <v/>
      </c>
      <c r="K160" s="16" t="n"/>
      <c r="L160" s="16" t="n"/>
      <c r="M160" s="16" t="n"/>
      <c r="N160" s="9" t="n"/>
      <c r="O160" s="9" t="n"/>
      <c r="P160" s="9" t="n"/>
    </row>
    <row r="161">
      <c r="A161" s="16" t="n"/>
      <c r="B161" s="16" t="n"/>
      <c r="C161" s="16" t="n"/>
      <c r="D161" s="16" t="n"/>
      <c r="E161" s="16" t="n"/>
      <c r="F161" s="19" t="n"/>
      <c r="G161" s="16" t="n"/>
      <c r="H161" s="19" t="n"/>
      <c r="I161" s="19" t="n"/>
      <c r="J161" s="20">
        <f>IF(OR(I161="",K161&lt;&gt;"Yes"),"",I161-MINIFS($I$6:$I$500,$K$6:$K$500,"Yes"))</f>
        <v/>
      </c>
      <c r="K161" s="16" t="n"/>
      <c r="L161" s="16" t="n"/>
      <c r="M161" s="16" t="n"/>
      <c r="N161" s="9" t="n"/>
      <c r="O161" s="9" t="n"/>
      <c r="P161" s="9" t="n"/>
    </row>
    <row r="162">
      <c r="A162" s="16" t="n"/>
      <c r="B162" s="16" t="n"/>
      <c r="C162" s="16" t="n"/>
      <c r="D162" s="16" t="n"/>
      <c r="E162" s="16" t="n"/>
      <c r="F162" s="19" t="n"/>
      <c r="G162" s="16" t="n"/>
      <c r="H162" s="19" t="n"/>
      <c r="I162" s="19" t="n"/>
      <c r="J162" s="20">
        <f>IF(OR(I162="",K162&lt;&gt;"Yes"),"",I162-MINIFS($I$6:$I$500,$K$6:$K$500,"Yes"))</f>
        <v/>
      </c>
      <c r="K162" s="16" t="n"/>
      <c r="L162" s="16" t="n"/>
      <c r="M162" s="16" t="n"/>
      <c r="N162" s="9" t="n"/>
      <c r="O162" s="9" t="n"/>
      <c r="P162" s="9" t="n"/>
    </row>
    <row r="163">
      <c r="A163" s="16" t="n"/>
      <c r="B163" s="16" t="n"/>
      <c r="C163" s="16" t="n"/>
      <c r="D163" s="16" t="n"/>
      <c r="E163" s="16" t="n"/>
      <c r="F163" s="19" t="n"/>
      <c r="G163" s="16" t="n"/>
      <c r="H163" s="19" t="n"/>
      <c r="I163" s="19" t="n"/>
      <c r="J163" s="20">
        <f>IF(OR(I163="",K163&lt;&gt;"Yes"),"",I163-MINIFS($I$6:$I$500,$K$6:$K$500,"Yes"))</f>
        <v/>
      </c>
      <c r="K163" s="16" t="n"/>
      <c r="L163" s="16" t="n"/>
      <c r="M163" s="16" t="n"/>
      <c r="N163" s="9" t="n"/>
      <c r="O163" s="9" t="n"/>
      <c r="P163" s="9" t="n"/>
    </row>
    <row r="164">
      <c r="A164" s="16" t="n"/>
      <c r="B164" s="16" t="n"/>
      <c r="C164" s="16" t="n"/>
      <c r="D164" s="16" t="n"/>
      <c r="E164" s="16" t="n"/>
      <c r="F164" s="19" t="n"/>
      <c r="G164" s="16" t="n"/>
      <c r="H164" s="19" t="n"/>
      <c r="I164" s="19" t="n"/>
      <c r="J164" s="20">
        <f>IF(OR(I164="",K164&lt;&gt;"Yes"),"",I164-MINIFS($I$6:$I$500,$K$6:$K$500,"Yes"))</f>
        <v/>
      </c>
      <c r="K164" s="16" t="n"/>
      <c r="L164" s="16" t="n"/>
      <c r="M164" s="16" t="n"/>
      <c r="N164" s="9" t="n"/>
      <c r="O164" s="9" t="n"/>
      <c r="P164" s="9" t="n"/>
    </row>
    <row r="165">
      <c r="A165" s="16" t="n"/>
      <c r="B165" s="16" t="n"/>
      <c r="C165" s="16" t="n"/>
      <c r="D165" s="16" t="n"/>
      <c r="E165" s="16" t="n"/>
      <c r="F165" s="19" t="n"/>
      <c r="G165" s="16" t="n"/>
      <c r="H165" s="19" t="n"/>
      <c r="I165" s="19" t="n"/>
      <c r="J165" s="20">
        <f>IF(OR(I165="",K165&lt;&gt;"Yes"),"",I165-MINIFS($I$6:$I$500,$K$6:$K$500,"Yes"))</f>
        <v/>
      </c>
      <c r="K165" s="16" t="n"/>
      <c r="L165" s="16" t="n"/>
      <c r="M165" s="16" t="n"/>
      <c r="N165" s="9" t="n"/>
      <c r="O165" s="9" t="n"/>
      <c r="P165" s="9" t="n"/>
    </row>
    <row r="166">
      <c r="A166" s="16" t="n"/>
      <c r="B166" s="16" t="n"/>
      <c r="C166" s="16" t="n"/>
      <c r="D166" s="16" t="n"/>
      <c r="E166" s="16" t="n"/>
      <c r="F166" s="19" t="n"/>
      <c r="G166" s="16" t="n"/>
      <c r="H166" s="19" t="n"/>
      <c r="I166" s="19" t="n"/>
      <c r="J166" s="20">
        <f>IF(OR(I166="",K166&lt;&gt;"Yes"),"",I166-MINIFS($I$6:$I$500,$K$6:$K$500,"Yes"))</f>
        <v/>
      </c>
      <c r="K166" s="16" t="n"/>
      <c r="L166" s="16" t="n"/>
      <c r="M166" s="16" t="n"/>
      <c r="N166" s="9" t="n"/>
      <c r="O166" s="9" t="n"/>
      <c r="P166" s="9" t="n"/>
    </row>
    <row r="167">
      <c r="A167" s="16" t="n"/>
      <c r="B167" s="16" t="n"/>
      <c r="C167" s="16" t="n"/>
      <c r="D167" s="16" t="n"/>
      <c r="E167" s="16" t="n"/>
      <c r="F167" s="19" t="n"/>
      <c r="G167" s="16" t="n"/>
      <c r="H167" s="19" t="n"/>
      <c r="I167" s="19" t="n"/>
      <c r="J167" s="20">
        <f>IF(OR(I167="",K167&lt;&gt;"Yes"),"",I167-MINIFS($I$6:$I$500,$K$6:$K$500,"Yes"))</f>
        <v/>
      </c>
      <c r="K167" s="16" t="n"/>
      <c r="L167" s="16" t="n"/>
      <c r="M167" s="16" t="n"/>
      <c r="N167" s="9" t="n"/>
      <c r="O167" s="9" t="n"/>
      <c r="P167" s="9" t="n"/>
    </row>
    <row r="168">
      <c r="A168" s="16" t="n"/>
      <c r="B168" s="16" t="n"/>
      <c r="C168" s="16" t="n"/>
      <c r="D168" s="16" t="n"/>
      <c r="E168" s="16" t="n"/>
      <c r="F168" s="19" t="n"/>
      <c r="G168" s="16" t="n"/>
      <c r="H168" s="19" t="n"/>
      <c r="I168" s="19" t="n"/>
      <c r="J168" s="20">
        <f>IF(OR(I168="",K168&lt;&gt;"Yes"),"",I168-MINIFS($I$6:$I$500,$K$6:$K$500,"Yes"))</f>
        <v/>
      </c>
      <c r="K168" s="16" t="n"/>
      <c r="L168" s="16" t="n"/>
      <c r="M168" s="16" t="n"/>
      <c r="N168" s="9" t="n"/>
      <c r="O168" s="9" t="n"/>
      <c r="P168" s="9" t="n"/>
    </row>
    <row r="169">
      <c r="A169" s="16" t="n"/>
      <c r="B169" s="16" t="n"/>
      <c r="C169" s="16" t="n"/>
      <c r="D169" s="16" t="n"/>
      <c r="E169" s="16" t="n"/>
      <c r="F169" s="19" t="n"/>
      <c r="G169" s="16" t="n"/>
      <c r="H169" s="19" t="n"/>
      <c r="I169" s="19" t="n"/>
      <c r="J169" s="20">
        <f>IF(OR(I169="",K169&lt;&gt;"Yes"),"",I169-MINIFS($I$6:$I$500,$K$6:$K$500,"Yes"))</f>
        <v/>
      </c>
      <c r="K169" s="16" t="n"/>
      <c r="L169" s="16" t="n"/>
      <c r="M169" s="16" t="n"/>
      <c r="N169" s="9" t="n"/>
      <c r="O169" s="9" t="n"/>
      <c r="P169" s="9" t="n"/>
    </row>
    <row r="170">
      <c r="A170" s="16" t="n"/>
      <c r="B170" s="16" t="n"/>
      <c r="C170" s="16" t="n"/>
      <c r="D170" s="16" t="n"/>
      <c r="E170" s="16" t="n"/>
      <c r="F170" s="19" t="n"/>
      <c r="G170" s="16" t="n"/>
      <c r="H170" s="19" t="n"/>
      <c r="I170" s="19" t="n"/>
      <c r="J170" s="20">
        <f>IF(OR(I170="",K170&lt;&gt;"Yes"),"",I170-MINIFS($I$6:$I$500,$K$6:$K$500,"Yes"))</f>
        <v/>
      </c>
      <c r="K170" s="16" t="n"/>
      <c r="L170" s="16" t="n"/>
      <c r="M170" s="16" t="n"/>
      <c r="N170" s="9" t="n"/>
      <c r="O170" s="9" t="n"/>
      <c r="P170" s="9" t="n"/>
    </row>
    <row r="171">
      <c r="A171" s="16" t="n"/>
      <c r="B171" s="16" t="n"/>
      <c r="C171" s="16" t="n"/>
      <c r="D171" s="16" t="n"/>
      <c r="E171" s="16" t="n"/>
      <c r="F171" s="19" t="n"/>
      <c r="G171" s="16" t="n"/>
      <c r="H171" s="19" t="n"/>
      <c r="I171" s="19" t="n"/>
      <c r="J171" s="20">
        <f>IF(OR(I171="",K171&lt;&gt;"Yes"),"",I171-MINIFS($I$6:$I$500,$K$6:$K$500,"Yes"))</f>
        <v/>
      </c>
      <c r="K171" s="16" t="n"/>
      <c r="L171" s="16" t="n"/>
      <c r="M171" s="16" t="n"/>
      <c r="N171" s="9" t="n"/>
      <c r="O171" s="9" t="n"/>
      <c r="P171" s="9" t="n"/>
    </row>
    <row r="172">
      <c r="A172" s="16" t="n"/>
      <c r="B172" s="16" t="n"/>
      <c r="C172" s="16" t="n"/>
      <c r="D172" s="16" t="n"/>
      <c r="E172" s="16" t="n"/>
      <c r="F172" s="19" t="n"/>
      <c r="G172" s="16" t="n"/>
      <c r="H172" s="19" t="n"/>
      <c r="I172" s="19" t="n"/>
      <c r="J172" s="20">
        <f>IF(OR(I172="",K172&lt;&gt;"Yes"),"",I172-MINIFS($I$6:$I$500,$K$6:$K$500,"Yes"))</f>
        <v/>
      </c>
      <c r="K172" s="16" t="n"/>
      <c r="L172" s="16" t="n"/>
      <c r="M172" s="16" t="n"/>
      <c r="N172" s="9" t="n"/>
      <c r="O172" s="9" t="n"/>
      <c r="P172" s="9" t="n"/>
    </row>
    <row r="173">
      <c r="A173" s="16" t="n"/>
      <c r="B173" s="16" t="n"/>
      <c r="C173" s="16" t="n"/>
      <c r="D173" s="16" t="n"/>
      <c r="E173" s="16" t="n"/>
      <c r="F173" s="19" t="n"/>
      <c r="G173" s="16" t="n"/>
      <c r="H173" s="19" t="n"/>
      <c r="I173" s="19" t="n"/>
      <c r="J173" s="20">
        <f>IF(OR(I173="",K173&lt;&gt;"Yes"),"",I173-MINIFS($I$6:$I$500,$K$6:$K$500,"Yes"))</f>
        <v/>
      </c>
      <c r="K173" s="16" t="n"/>
      <c r="L173" s="16" t="n"/>
      <c r="M173" s="16" t="n"/>
      <c r="N173" s="9" t="n"/>
      <c r="O173" s="9" t="n"/>
      <c r="P173" s="9" t="n"/>
    </row>
    <row r="174">
      <c r="A174" s="16" t="n"/>
      <c r="B174" s="16" t="n"/>
      <c r="C174" s="16" t="n"/>
      <c r="D174" s="16" t="n"/>
      <c r="E174" s="16" t="n"/>
      <c r="F174" s="19" t="n"/>
      <c r="G174" s="16" t="n"/>
      <c r="H174" s="19" t="n"/>
      <c r="I174" s="19" t="n"/>
      <c r="J174" s="20">
        <f>IF(OR(I174="",K174&lt;&gt;"Yes"),"",I174-MINIFS($I$6:$I$500,$K$6:$K$500,"Yes"))</f>
        <v/>
      </c>
      <c r="K174" s="16" t="n"/>
      <c r="L174" s="16" t="n"/>
      <c r="M174" s="16" t="n"/>
      <c r="N174" s="9" t="n"/>
      <c r="O174" s="9" t="n"/>
      <c r="P174" s="9" t="n"/>
    </row>
    <row r="175">
      <c r="A175" s="16" t="n"/>
      <c r="B175" s="16" t="n"/>
      <c r="C175" s="16" t="n"/>
      <c r="D175" s="16" t="n"/>
      <c r="E175" s="16" t="n"/>
      <c r="F175" s="19" t="n"/>
      <c r="G175" s="16" t="n"/>
      <c r="H175" s="19" t="n"/>
      <c r="I175" s="19" t="n"/>
      <c r="J175" s="20">
        <f>IF(OR(I175="",K175&lt;&gt;"Yes"),"",I175-MINIFS($I$6:$I$500,$K$6:$K$500,"Yes"))</f>
        <v/>
      </c>
      <c r="K175" s="16" t="n"/>
      <c r="L175" s="16" t="n"/>
      <c r="M175" s="16" t="n"/>
      <c r="N175" s="9" t="n"/>
      <c r="O175" s="9" t="n"/>
      <c r="P175" s="9" t="n"/>
    </row>
    <row r="176">
      <c r="A176" s="16" t="n"/>
      <c r="B176" s="16" t="n"/>
      <c r="C176" s="16" t="n"/>
      <c r="D176" s="16" t="n"/>
      <c r="E176" s="16" t="n"/>
      <c r="F176" s="19" t="n"/>
      <c r="G176" s="16" t="n"/>
      <c r="H176" s="19" t="n"/>
      <c r="I176" s="19" t="n"/>
      <c r="J176" s="20">
        <f>IF(OR(I176="",K176&lt;&gt;"Yes"),"",I176-MINIFS($I$6:$I$500,$K$6:$K$500,"Yes"))</f>
        <v/>
      </c>
      <c r="K176" s="16" t="n"/>
      <c r="L176" s="16" t="n"/>
      <c r="M176" s="16" t="n"/>
      <c r="N176" s="9" t="n"/>
      <c r="O176" s="9" t="n"/>
      <c r="P176" s="9" t="n"/>
    </row>
    <row r="177">
      <c r="A177" s="16" t="n"/>
      <c r="B177" s="16" t="n"/>
      <c r="C177" s="16" t="n"/>
      <c r="D177" s="16" t="n"/>
      <c r="E177" s="16" t="n"/>
      <c r="F177" s="19" t="n"/>
      <c r="G177" s="16" t="n"/>
      <c r="H177" s="19" t="n"/>
      <c r="I177" s="19" t="n"/>
      <c r="J177" s="20">
        <f>IF(OR(I177="",K177&lt;&gt;"Yes"),"",I177-MINIFS($I$6:$I$500,$K$6:$K$500,"Yes"))</f>
        <v/>
      </c>
      <c r="K177" s="16" t="n"/>
      <c r="L177" s="16" t="n"/>
      <c r="M177" s="16" t="n"/>
      <c r="N177" s="9" t="n"/>
      <c r="O177" s="9" t="n"/>
      <c r="P177" s="9" t="n"/>
    </row>
    <row r="178">
      <c r="A178" s="16" t="n"/>
      <c r="B178" s="16" t="n"/>
      <c r="C178" s="16" t="n"/>
      <c r="D178" s="16" t="n"/>
      <c r="E178" s="16" t="n"/>
      <c r="F178" s="19" t="n"/>
      <c r="G178" s="16" t="n"/>
      <c r="H178" s="19" t="n"/>
      <c r="I178" s="19" t="n"/>
      <c r="J178" s="20">
        <f>IF(OR(I178="",K178&lt;&gt;"Yes"),"",I178-MINIFS($I$6:$I$500,$K$6:$K$500,"Yes"))</f>
        <v/>
      </c>
      <c r="K178" s="16" t="n"/>
      <c r="L178" s="16" t="n"/>
      <c r="M178" s="16" t="n"/>
      <c r="N178" s="9" t="n"/>
      <c r="O178" s="9" t="n"/>
      <c r="P178" s="9" t="n"/>
    </row>
    <row r="179">
      <c r="A179" s="16" t="n"/>
      <c r="B179" s="16" t="n"/>
      <c r="C179" s="16" t="n"/>
      <c r="D179" s="16" t="n"/>
      <c r="E179" s="16" t="n"/>
      <c r="F179" s="19" t="n"/>
      <c r="G179" s="16" t="n"/>
      <c r="H179" s="19" t="n"/>
      <c r="I179" s="19" t="n"/>
      <c r="J179" s="20">
        <f>IF(OR(I179="",K179&lt;&gt;"Yes"),"",I179-MINIFS($I$6:$I$500,$K$6:$K$500,"Yes"))</f>
        <v/>
      </c>
      <c r="K179" s="16" t="n"/>
      <c r="L179" s="16" t="n"/>
      <c r="M179" s="16" t="n"/>
      <c r="N179" s="9" t="n"/>
      <c r="O179" s="9" t="n"/>
      <c r="P179" s="9" t="n"/>
    </row>
    <row r="180">
      <c r="A180" s="16" t="n"/>
      <c r="B180" s="16" t="n"/>
      <c r="C180" s="16" t="n"/>
      <c r="D180" s="16" t="n"/>
      <c r="E180" s="16" t="n"/>
      <c r="F180" s="19" t="n"/>
      <c r="G180" s="16" t="n"/>
      <c r="H180" s="19" t="n"/>
      <c r="I180" s="19" t="n"/>
      <c r="J180" s="20">
        <f>IF(OR(I180="",K180&lt;&gt;"Yes"),"",I180-MINIFS($I$6:$I$500,$K$6:$K$500,"Yes"))</f>
        <v/>
      </c>
      <c r="K180" s="16" t="n"/>
      <c r="L180" s="16" t="n"/>
      <c r="M180" s="16" t="n"/>
      <c r="N180" s="9" t="n"/>
      <c r="O180" s="9" t="n"/>
      <c r="P180" s="9" t="n"/>
    </row>
    <row r="181">
      <c r="A181" s="16" t="n"/>
      <c r="B181" s="16" t="n"/>
      <c r="C181" s="16" t="n"/>
      <c r="D181" s="16" t="n"/>
      <c r="E181" s="16" t="n"/>
      <c r="F181" s="19" t="n"/>
      <c r="G181" s="16" t="n"/>
      <c r="H181" s="19" t="n"/>
      <c r="I181" s="19" t="n"/>
      <c r="J181" s="20">
        <f>IF(OR(I181="",K181&lt;&gt;"Yes"),"",I181-MINIFS($I$6:$I$500,$K$6:$K$500,"Yes"))</f>
        <v/>
      </c>
      <c r="K181" s="16" t="n"/>
      <c r="L181" s="16" t="n"/>
      <c r="M181" s="16" t="n"/>
      <c r="N181" s="9" t="n"/>
      <c r="O181" s="9" t="n"/>
      <c r="P181" s="9" t="n"/>
    </row>
    <row r="182">
      <c r="A182" s="16" t="n"/>
      <c r="B182" s="16" t="n"/>
      <c r="C182" s="16" t="n"/>
      <c r="D182" s="16" t="n"/>
      <c r="E182" s="16" t="n"/>
      <c r="F182" s="19" t="n"/>
      <c r="G182" s="16" t="n"/>
      <c r="H182" s="19" t="n"/>
      <c r="I182" s="19" t="n"/>
      <c r="J182" s="20">
        <f>IF(OR(I182="",K182&lt;&gt;"Yes"),"",I182-MINIFS($I$6:$I$500,$K$6:$K$500,"Yes"))</f>
        <v/>
      </c>
      <c r="K182" s="16" t="n"/>
      <c r="L182" s="16" t="n"/>
      <c r="M182" s="16" t="n"/>
      <c r="N182" s="9" t="n"/>
      <c r="O182" s="9" t="n"/>
      <c r="P182" s="9" t="n"/>
    </row>
    <row r="183">
      <c r="A183" s="16" t="n"/>
      <c r="B183" s="16" t="n"/>
      <c r="C183" s="16" t="n"/>
      <c r="D183" s="16" t="n"/>
      <c r="E183" s="16" t="n"/>
      <c r="F183" s="19" t="n"/>
      <c r="G183" s="16" t="n"/>
      <c r="H183" s="19" t="n"/>
      <c r="I183" s="19" t="n"/>
      <c r="J183" s="20">
        <f>IF(OR(I183="",K183&lt;&gt;"Yes"),"",I183-MINIFS($I$6:$I$500,$K$6:$K$500,"Yes"))</f>
        <v/>
      </c>
      <c r="K183" s="16" t="n"/>
      <c r="L183" s="16" t="n"/>
      <c r="M183" s="16" t="n"/>
      <c r="N183" s="9" t="n"/>
      <c r="O183" s="9" t="n"/>
      <c r="P183" s="9" t="n"/>
    </row>
    <row r="184">
      <c r="A184" s="16" t="n"/>
      <c r="B184" s="16" t="n"/>
      <c r="C184" s="16" t="n"/>
      <c r="D184" s="16" t="n"/>
      <c r="E184" s="16" t="n"/>
      <c r="F184" s="19" t="n"/>
      <c r="G184" s="16" t="n"/>
      <c r="H184" s="19" t="n"/>
      <c r="I184" s="19" t="n"/>
      <c r="J184" s="20">
        <f>IF(OR(I184="",K184&lt;&gt;"Yes"),"",I184-MINIFS($I$6:$I$500,$K$6:$K$500,"Yes"))</f>
        <v/>
      </c>
      <c r="K184" s="16" t="n"/>
      <c r="L184" s="16" t="n"/>
      <c r="M184" s="16" t="n"/>
      <c r="N184" s="9" t="n"/>
      <c r="O184" s="9" t="n"/>
      <c r="P184" s="9" t="n"/>
    </row>
    <row r="185">
      <c r="A185" s="16" t="n"/>
      <c r="B185" s="16" t="n"/>
      <c r="C185" s="16" t="n"/>
      <c r="D185" s="16" t="n"/>
      <c r="E185" s="16" t="n"/>
      <c r="F185" s="19" t="n"/>
      <c r="G185" s="16" t="n"/>
      <c r="H185" s="19" t="n"/>
      <c r="I185" s="19" t="n"/>
      <c r="J185" s="20">
        <f>IF(OR(I185="",K185&lt;&gt;"Yes"),"",I185-MINIFS($I$6:$I$500,$K$6:$K$500,"Yes"))</f>
        <v/>
      </c>
      <c r="K185" s="16" t="n"/>
      <c r="L185" s="16" t="n"/>
      <c r="M185" s="16" t="n"/>
      <c r="N185" s="9" t="n"/>
      <c r="O185" s="9" t="n"/>
      <c r="P185" s="9" t="n"/>
    </row>
    <row r="186">
      <c r="A186" s="16" t="n"/>
      <c r="B186" s="16" t="n"/>
      <c r="C186" s="16" t="n"/>
      <c r="D186" s="16" t="n"/>
      <c r="E186" s="16" t="n"/>
      <c r="F186" s="19" t="n"/>
      <c r="G186" s="16" t="n"/>
      <c r="H186" s="19" t="n"/>
      <c r="I186" s="19" t="n"/>
      <c r="J186" s="20">
        <f>IF(OR(I186="",K186&lt;&gt;"Yes"),"",I186-MINIFS($I$6:$I$500,$K$6:$K$500,"Yes"))</f>
        <v/>
      </c>
      <c r="K186" s="16" t="n"/>
      <c r="L186" s="16" t="n"/>
      <c r="M186" s="16" t="n"/>
      <c r="N186" s="9" t="n"/>
      <c r="O186" s="9" t="n"/>
      <c r="P186" s="9" t="n"/>
    </row>
    <row r="187">
      <c r="A187" s="16" t="n"/>
      <c r="B187" s="16" t="n"/>
      <c r="C187" s="16" t="n"/>
      <c r="D187" s="16" t="n"/>
      <c r="E187" s="16" t="n"/>
      <c r="F187" s="19" t="n"/>
      <c r="G187" s="16" t="n"/>
      <c r="H187" s="19" t="n"/>
      <c r="I187" s="19" t="n"/>
      <c r="J187" s="20">
        <f>IF(OR(I187="",K187&lt;&gt;"Yes"),"",I187-MINIFS($I$6:$I$500,$K$6:$K$500,"Yes"))</f>
        <v/>
      </c>
      <c r="K187" s="16" t="n"/>
      <c r="L187" s="16" t="n"/>
      <c r="M187" s="16" t="n"/>
      <c r="N187" s="9" t="n"/>
      <c r="O187" s="9" t="n"/>
      <c r="P187" s="9" t="n"/>
    </row>
    <row r="188">
      <c r="A188" s="16" t="n"/>
      <c r="B188" s="16" t="n"/>
      <c r="C188" s="16" t="n"/>
      <c r="D188" s="16" t="n"/>
      <c r="E188" s="16" t="n"/>
      <c r="F188" s="19" t="n"/>
      <c r="G188" s="16" t="n"/>
      <c r="H188" s="19" t="n"/>
      <c r="I188" s="19" t="n"/>
      <c r="J188" s="20">
        <f>IF(OR(I188="",K188&lt;&gt;"Yes"),"",I188-MINIFS($I$6:$I$500,$K$6:$K$500,"Yes"))</f>
        <v/>
      </c>
      <c r="K188" s="16" t="n"/>
      <c r="L188" s="16" t="n"/>
      <c r="M188" s="16" t="n"/>
      <c r="N188" s="9" t="n"/>
      <c r="O188" s="9" t="n"/>
      <c r="P188" s="9" t="n"/>
    </row>
    <row r="189">
      <c r="A189" s="16" t="n"/>
      <c r="B189" s="16" t="n"/>
      <c r="C189" s="16" t="n"/>
      <c r="D189" s="16" t="n"/>
      <c r="E189" s="16" t="n"/>
      <c r="F189" s="19" t="n"/>
      <c r="G189" s="16" t="n"/>
      <c r="H189" s="19" t="n"/>
      <c r="I189" s="19" t="n"/>
      <c r="J189" s="20">
        <f>IF(OR(I189="",K189&lt;&gt;"Yes"),"",I189-MINIFS($I$6:$I$500,$K$6:$K$500,"Yes"))</f>
        <v/>
      </c>
      <c r="K189" s="16" t="n"/>
      <c r="L189" s="16" t="n"/>
      <c r="M189" s="16" t="n"/>
      <c r="N189" s="9" t="n"/>
      <c r="O189" s="9" t="n"/>
      <c r="P189" s="9" t="n"/>
    </row>
    <row r="190">
      <c r="A190" s="16" t="n"/>
      <c r="B190" s="16" t="n"/>
      <c r="C190" s="16" t="n"/>
      <c r="D190" s="16" t="n"/>
      <c r="E190" s="16" t="n"/>
      <c r="F190" s="19" t="n"/>
      <c r="G190" s="16" t="n"/>
      <c r="H190" s="19" t="n"/>
      <c r="I190" s="19" t="n"/>
      <c r="J190" s="20">
        <f>IF(OR(I190="",K190&lt;&gt;"Yes"),"",I190-MINIFS($I$6:$I$500,$K$6:$K$500,"Yes"))</f>
        <v/>
      </c>
      <c r="K190" s="16" t="n"/>
      <c r="L190" s="16" t="n"/>
      <c r="M190" s="16" t="n"/>
      <c r="N190" s="9" t="n"/>
      <c r="O190" s="9" t="n"/>
      <c r="P190" s="9" t="n"/>
    </row>
    <row r="191">
      <c r="A191" s="16" t="n"/>
      <c r="B191" s="16" t="n"/>
      <c r="C191" s="16" t="n"/>
      <c r="D191" s="16" t="n"/>
      <c r="E191" s="16" t="n"/>
      <c r="F191" s="19" t="n"/>
      <c r="G191" s="16" t="n"/>
      <c r="H191" s="19" t="n"/>
      <c r="I191" s="19" t="n"/>
      <c r="J191" s="20">
        <f>IF(OR(I191="",K191&lt;&gt;"Yes"),"",I191-MINIFS($I$6:$I$500,$K$6:$K$500,"Yes"))</f>
        <v/>
      </c>
      <c r="K191" s="16" t="n"/>
      <c r="L191" s="16" t="n"/>
      <c r="M191" s="16" t="n"/>
      <c r="N191" s="9" t="n"/>
      <c r="O191" s="9" t="n"/>
      <c r="P191" s="9" t="n"/>
    </row>
    <row r="192">
      <c r="A192" s="16" t="n"/>
      <c r="B192" s="16" t="n"/>
      <c r="C192" s="16" t="n"/>
      <c r="D192" s="16" t="n"/>
      <c r="E192" s="16" t="n"/>
      <c r="F192" s="19" t="n"/>
      <c r="G192" s="16" t="n"/>
      <c r="H192" s="19" t="n"/>
      <c r="I192" s="19" t="n"/>
      <c r="J192" s="20">
        <f>IF(OR(I192="",K192&lt;&gt;"Yes"),"",I192-MINIFS($I$6:$I$500,$K$6:$K$500,"Yes"))</f>
        <v/>
      </c>
      <c r="K192" s="16" t="n"/>
      <c r="L192" s="16" t="n"/>
      <c r="M192" s="16" t="n"/>
      <c r="N192" s="9" t="n"/>
      <c r="O192" s="9" t="n"/>
      <c r="P192" s="9" t="n"/>
    </row>
    <row r="193">
      <c r="A193" s="16" t="n"/>
      <c r="B193" s="16" t="n"/>
      <c r="C193" s="16" t="n"/>
      <c r="D193" s="16" t="n"/>
      <c r="E193" s="16" t="n"/>
      <c r="F193" s="19" t="n"/>
      <c r="G193" s="16" t="n"/>
      <c r="H193" s="19" t="n"/>
      <c r="I193" s="19" t="n"/>
      <c r="J193" s="20">
        <f>IF(OR(I193="",K193&lt;&gt;"Yes"),"",I193-MINIFS($I$6:$I$500,$K$6:$K$500,"Yes"))</f>
        <v/>
      </c>
      <c r="K193" s="16" t="n"/>
      <c r="L193" s="16" t="n"/>
      <c r="M193" s="16" t="n"/>
      <c r="N193" s="9" t="n"/>
      <c r="O193" s="9" t="n"/>
      <c r="P193" s="9" t="n"/>
    </row>
    <row r="194">
      <c r="A194" s="16" t="n"/>
      <c r="B194" s="16" t="n"/>
      <c r="C194" s="16" t="n"/>
      <c r="D194" s="16" t="n"/>
      <c r="E194" s="16" t="n"/>
      <c r="F194" s="19" t="n"/>
      <c r="G194" s="16" t="n"/>
      <c r="H194" s="19" t="n"/>
      <c r="I194" s="19" t="n"/>
      <c r="J194" s="20">
        <f>IF(OR(I194="",K194&lt;&gt;"Yes"),"",I194-MINIFS($I$6:$I$500,$K$6:$K$500,"Yes"))</f>
        <v/>
      </c>
      <c r="K194" s="16" t="n"/>
      <c r="L194" s="16" t="n"/>
      <c r="M194" s="16" t="n"/>
      <c r="N194" s="9" t="n"/>
      <c r="O194" s="9" t="n"/>
      <c r="P194" s="9" t="n"/>
    </row>
    <row r="195">
      <c r="A195" s="16" t="n"/>
      <c r="B195" s="16" t="n"/>
      <c r="C195" s="16" t="n"/>
      <c r="D195" s="16" t="n"/>
      <c r="E195" s="16" t="n"/>
      <c r="F195" s="19" t="n"/>
      <c r="G195" s="16" t="n"/>
      <c r="H195" s="19" t="n"/>
      <c r="I195" s="19" t="n"/>
      <c r="J195" s="20">
        <f>IF(OR(I195="",K195&lt;&gt;"Yes"),"",I195-MINIFS($I$6:$I$500,$K$6:$K$500,"Yes"))</f>
        <v/>
      </c>
      <c r="K195" s="16" t="n"/>
      <c r="L195" s="16" t="n"/>
      <c r="M195" s="16" t="n"/>
      <c r="N195" s="9" t="n"/>
      <c r="O195" s="9" t="n"/>
      <c r="P195" s="9" t="n"/>
    </row>
    <row r="196">
      <c r="A196" s="16" t="n"/>
      <c r="B196" s="16" t="n"/>
      <c r="C196" s="16" t="n"/>
      <c r="D196" s="16" t="n"/>
      <c r="E196" s="16" t="n"/>
      <c r="F196" s="19" t="n"/>
      <c r="G196" s="16" t="n"/>
      <c r="H196" s="19" t="n"/>
      <c r="I196" s="19" t="n"/>
      <c r="J196" s="20">
        <f>IF(OR(I196="",K196&lt;&gt;"Yes"),"",I196-MINIFS($I$6:$I$500,$K$6:$K$500,"Yes"))</f>
        <v/>
      </c>
      <c r="K196" s="16" t="n"/>
      <c r="L196" s="16" t="n"/>
      <c r="M196" s="16" t="n"/>
      <c r="N196" s="9" t="n"/>
      <c r="O196" s="9" t="n"/>
      <c r="P196" s="9" t="n"/>
    </row>
    <row r="197">
      <c r="A197" s="16" t="n"/>
      <c r="B197" s="16" t="n"/>
      <c r="C197" s="16" t="n"/>
      <c r="D197" s="16" t="n"/>
      <c r="E197" s="16" t="n"/>
      <c r="F197" s="19" t="n"/>
      <c r="G197" s="16" t="n"/>
      <c r="H197" s="19" t="n"/>
      <c r="I197" s="19" t="n"/>
      <c r="J197" s="20">
        <f>IF(OR(I197="",K197&lt;&gt;"Yes"),"",I197-MINIFS($I$6:$I$500,$K$6:$K$500,"Yes"))</f>
        <v/>
      </c>
      <c r="K197" s="16" t="n"/>
      <c r="L197" s="16" t="n"/>
      <c r="M197" s="16" t="n"/>
      <c r="N197" s="9" t="n"/>
      <c r="O197" s="9" t="n"/>
      <c r="P197" s="9" t="n"/>
    </row>
    <row r="198">
      <c r="A198" s="16" t="n"/>
      <c r="B198" s="16" t="n"/>
      <c r="C198" s="16" t="n"/>
      <c r="D198" s="16" t="n"/>
      <c r="E198" s="16" t="n"/>
      <c r="F198" s="19" t="n"/>
      <c r="G198" s="16" t="n"/>
      <c r="H198" s="19" t="n"/>
      <c r="I198" s="19" t="n"/>
      <c r="J198" s="20">
        <f>IF(OR(I198="",K198&lt;&gt;"Yes"),"",I198-MINIFS($I$6:$I$500,$K$6:$K$500,"Yes"))</f>
        <v/>
      </c>
      <c r="K198" s="16" t="n"/>
      <c r="L198" s="16" t="n"/>
      <c r="M198" s="16" t="n"/>
      <c r="N198" s="9" t="n"/>
      <c r="O198" s="9" t="n"/>
      <c r="P198" s="9" t="n"/>
    </row>
    <row r="199">
      <c r="A199" s="16" t="n"/>
      <c r="B199" s="16" t="n"/>
      <c r="C199" s="16" t="n"/>
      <c r="D199" s="16" t="n"/>
      <c r="E199" s="16" t="n"/>
      <c r="F199" s="19" t="n"/>
      <c r="G199" s="16" t="n"/>
      <c r="H199" s="19" t="n"/>
      <c r="I199" s="19" t="n"/>
      <c r="J199" s="20">
        <f>IF(OR(I199="",K199&lt;&gt;"Yes"),"",I199-MINIFS($I$6:$I$500,$K$6:$K$500,"Yes"))</f>
        <v/>
      </c>
      <c r="K199" s="16" t="n"/>
      <c r="L199" s="16" t="n"/>
      <c r="M199" s="16" t="n"/>
      <c r="N199" s="9" t="n"/>
      <c r="O199" s="9" t="n"/>
      <c r="P199" s="9" t="n"/>
    </row>
    <row r="200">
      <c r="A200" s="16" t="n"/>
      <c r="B200" s="16" t="n"/>
      <c r="C200" s="16" t="n"/>
      <c r="D200" s="16" t="n"/>
      <c r="E200" s="16" t="n"/>
      <c r="F200" s="19" t="n"/>
      <c r="G200" s="16" t="n"/>
      <c r="H200" s="19" t="n"/>
      <c r="I200" s="19" t="n"/>
      <c r="J200" s="20">
        <f>IF(OR(I200="",K200&lt;&gt;"Yes"),"",I200-MINIFS($I$6:$I$500,$K$6:$K$500,"Yes"))</f>
        <v/>
      </c>
      <c r="K200" s="16" t="n"/>
      <c r="L200" s="16" t="n"/>
      <c r="M200" s="16" t="n"/>
      <c r="N200" s="9" t="n"/>
      <c r="O200" s="9" t="n"/>
      <c r="P200" s="9" t="n"/>
    </row>
    <row r="201">
      <c r="A201" s="16" t="n"/>
      <c r="B201" s="16" t="n"/>
      <c r="C201" s="16" t="n"/>
      <c r="D201" s="16" t="n"/>
      <c r="E201" s="16" t="n"/>
      <c r="F201" s="19" t="n"/>
      <c r="G201" s="16" t="n"/>
      <c r="H201" s="19" t="n"/>
      <c r="I201" s="19" t="n"/>
      <c r="J201" s="20">
        <f>IF(OR(I201="",K201&lt;&gt;"Yes"),"",I201-MINIFS($I$6:$I$500,$K$6:$K$500,"Yes"))</f>
        <v/>
      </c>
      <c r="K201" s="16" t="n"/>
      <c r="L201" s="16" t="n"/>
      <c r="M201" s="16" t="n"/>
      <c r="N201" s="9" t="n"/>
      <c r="O201" s="9" t="n"/>
      <c r="P201" s="9" t="n"/>
    </row>
    <row r="202">
      <c r="A202" s="16" t="n"/>
      <c r="B202" s="16" t="n"/>
      <c r="C202" s="16" t="n"/>
      <c r="D202" s="16" t="n"/>
      <c r="E202" s="16" t="n"/>
      <c r="F202" s="19" t="n"/>
      <c r="G202" s="16" t="n"/>
      <c r="H202" s="19" t="n"/>
      <c r="I202" s="19" t="n"/>
      <c r="J202" s="20">
        <f>IF(OR(I202="",K202&lt;&gt;"Yes"),"",I202-MINIFS($I$6:$I$500,$K$6:$K$500,"Yes"))</f>
        <v/>
      </c>
      <c r="K202" s="16" t="n"/>
      <c r="L202" s="16" t="n"/>
      <c r="M202" s="16" t="n"/>
      <c r="N202" s="9" t="n"/>
      <c r="O202" s="9" t="n"/>
      <c r="P202" s="9" t="n"/>
    </row>
    <row r="203">
      <c r="A203" s="16" t="n"/>
      <c r="B203" s="16" t="n"/>
      <c r="C203" s="16" t="n"/>
      <c r="D203" s="16" t="n"/>
      <c r="E203" s="16" t="n"/>
      <c r="F203" s="19" t="n"/>
      <c r="G203" s="16" t="n"/>
      <c r="H203" s="19" t="n"/>
      <c r="I203" s="19" t="n"/>
      <c r="J203" s="20">
        <f>IF(OR(I203="",K203&lt;&gt;"Yes"),"",I203-MINIFS($I$6:$I$500,$K$6:$K$500,"Yes"))</f>
        <v/>
      </c>
      <c r="K203" s="16" t="n"/>
      <c r="L203" s="16" t="n"/>
      <c r="M203" s="16" t="n"/>
      <c r="N203" s="9" t="n"/>
      <c r="O203" s="9" t="n"/>
      <c r="P203" s="9" t="n"/>
    </row>
    <row r="204">
      <c r="A204" s="16" t="n"/>
      <c r="B204" s="16" t="n"/>
      <c r="C204" s="16" t="n"/>
      <c r="D204" s="16" t="n"/>
      <c r="E204" s="16" t="n"/>
      <c r="F204" s="19" t="n"/>
      <c r="G204" s="16" t="n"/>
      <c r="H204" s="19" t="n"/>
      <c r="I204" s="19" t="n"/>
      <c r="J204" s="20">
        <f>IF(OR(I204="",K204&lt;&gt;"Yes"),"",I204-MINIFS($I$6:$I$500,$K$6:$K$500,"Yes"))</f>
        <v/>
      </c>
      <c r="K204" s="16" t="n"/>
      <c r="L204" s="16" t="n"/>
      <c r="M204" s="16" t="n"/>
      <c r="N204" s="9" t="n"/>
      <c r="O204" s="9" t="n"/>
      <c r="P204" s="9" t="n"/>
    </row>
    <row r="205">
      <c r="A205" s="16" t="n"/>
      <c r="B205" s="16" t="n"/>
      <c r="C205" s="16" t="n"/>
      <c r="D205" s="16" t="n"/>
      <c r="E205" s="16" t="n"/>
      <c r="F205" s="19" t="n"/>
      <c r="G205" s="16" t="n"/>
      <c r="H205" s="19" t="n"/>
      <c r="I205" s="19" t="n"/>
      <c r="J205" s="20">
        <f>IF(OR(I205="",K205&lt;&gt;"Yes"),"",I205-MINIFS($I$6:$I$500,$K$6:$K$500,"Yes"))</f>
        <v/>
      </c>
      <c r="K205" s="16" t="n"/>
      <c r="L205" s="16" t="n"/>
      <c r="M205" s="16" t="n"/>
      <c r="N205" s="9" t="n"/>
      <c r="O205" s="9" t="n"/>
      <c r="P205" s="9" t="n"/>
    </row>
    <row r="206">
      <c r="A206" s="16" t="n"/>
      <c r="B206" s="16" t="n"/>
      <c r="C206" s="16" t="n"/>
      <c r="D206" s="16" t="n"/>
      <c r="E206" s="16" t="n"/>
      <c r="F206" s="19" t="n"/>
      <c r="G206" s="16" t="n"/>
      <c r="H206" s="19" t="n"/>
      <c r="I206" s="19" t="n"/>
      <c r="J206" s="20">
        <f>IF(OR(I206="",K206&lt;&gt;"Yes"),"",I206-MINIFS($I$6:$I$500,$K$6:$K$500,"Yes"))</f>
        <v/>
      </c>
      <c r="K206" s="16" t="n"/>
      <c r="L206" s="16" t="n"/>
      <c r="M206" s="16" t="n"/>
      <c r="N206" s="9" t="n"/>
      <c r="O206" s="9" t="n"/>
      <c r="P206" s="9" t="n"/>
    </row>
    <row r="207">
      <c r="A207" s="16" t="n"/>
      <c r="B207" s="16" t="n"/>
      <c r="C207" s="16" t="n"/>
      <c r="D207" s="16" t="n"/>
      <c r="E207" s="16" t="n"/>
      <c r="F207" s="19" t="n"/>
      <c r="G207" s="16" t="n"/>
      <c r="H207" s="19" t="n"/>
      <c r="I207" s="19" t="n"/>
      <c r="J207" s="20">
        <f>IF(OR(I207="",K207&lt;&gt;"Yes"),"",I207-MINIFS($I$6:$I$500,$K$6:$K$500,"Yes"))</f>
        <v/>
      </c>
      <c r="K207" s="16" t="n"/>
      <c r="L207" s="16" t="n"/>
      <c r="M207" s="16" t="n"/>
      <c r="N207" s="9" t="n"/>
      <c r="O207" s="9" t="n"/>
      <c r="P207" s="9" t="n"/>
    </row>
    <row r="208">
      <c r="A208" s="16" t="n"/>
      <c r="B208" s="16" t="n"/>
      <c r="C208" s="16" t="n"/>
      <c r="D208" s="16" t="n"/>
      <c r="E208" s="16" t="n"/>
      <c r="F208" s="19" t="n"/>
      <c r="G208" s="16" t="n"/>
      <c r="H208" s="19" t="n"/>
      <c r="I208" s="19" t="n"/>
      <c r="J208" s="20">
        <f>IF(OR(I208="",K208&lt;&gt;"Yes"),"",I208-MINIFS($I$6:$I$500,$K$6:$K$500,"Yes"))</f>
        <v/>
      </c>
      <c r="K208" s="16" t="n"/>
      <c r="L208" s="16" t="n"/>
      <c r="M208" s="16" t="n"/>
      <c r="N208" s="9" t="n"/>
      <c r="O208" s="9" t="n"/>
      <c r="P208" s="9" t="n"/>
    </row>
    <row r="209">
      <c r="A209" s="16" t="n"/>
      <c r="B209" s="16" t="n"/>
      <c r="C209" s="16" t="n"/>
      <c r="D209" s="16" t="n"/>
      <c r="E209" s="16" t="n"/>
      <c r="F209" s="19" t="n"/>
      <c r="G209" s="16" t="n"/>
      <c r="H209" s="19" t="n"/>
      <c r="I209" s="19" t="n"/>
      <c r="J209" s="20">
        <f>IF(OR(I209="",K209&lt;&gt;"Yes"),"",I209-MINIFS($I$6:$I$500,$K$6:$K$500,"Yes"))</f>
        <v/>
      </c>
      <c r="K209" s="16" t="n"/>
      <c r="L209" s="16" t="n"/>
      <c r="M209" s="16" t="n"/>
      <c r="N209" s="9" t="n"/>
      <c r="O209" s="9" t="n"/>
      <c r="P209" s="9" t="n"/>
    </row>
    <row r="210">
      <c r="A210" s="16" t="n"/>
      <c r="B210" s="16" t="n"/>
      <c r="C210" s="16" t="n"/>
      <c r="D210" s="16" t="n"/>
      <c r="E210" s="16" t="n"/>
      <c r="F210" s="19" t="n"/>
      <c r="G210" s="16" t="n"/>
      <c r="H210" s="19" t="n"/>
      <c r="I210" s="19" t="n"/>
      <c r="J210" s="20">
        <f>IF(OR(I210="",K210&lt;&gt;"Yes"),"",I210-MINIFS($I$6:$I$500,$K$6:$K$500,"Yes"))</f>
        <v/>
      </c>
      <c r="K210" s="16" t="n"/>
      <c r="L210" s="16" t="n"/>
      <c r="M210" s="16" t="n"/>
      <c r="N210" s="9" t="n"/>
      <c r="O210" s="9" t="n"/>
      <c r="P210" s="9" t="n"/>
    </row>
    <row r="211">
      <c r="A211" s="16" t="n"/>
      <c r="B211" s="16" t="n"/>
      <c r="C211" s="16" t="n"/>
      <c r="D211" s="16" t="n"/>
      <c r="E211" s="16" t="n"/>
      <c r="F211" s="19" t="n"/>
      <c r="G211" s="16" t="n"/>
      <c r="H211" s="19" t="n"/>
      <c r="I211" s="19" t="n"/>
      <c r="J211" s="20">
        <f>IF(OR(I211="",K211&lt;&gt;"Yes"),"",I211-MINIFS($I$6:$I$500,$K$6:$K$500,"Yes"))</f>
        <v/>
      </c>
      <c r="K211" s="16" t="n"/>
      <c r="L211" s="16" t="n"/>
      <c r="M211" s="16" t="n"/>
      <c r="N211" s="9" t="n"/>
      <c r="O211" s="9" t="n"/>
      <c r="P211" s="9" t="n"/>
    </row>
    <row r="212">
      <c r="A212" s="16" t="n"/>
      <c r="B212" s="16" t="n"/>
      <c r="C212" s="16" t="n"/>
      <c r="D212" s="16" t="n"/>
      <c r="E212" s="16" t="n"/>
      <c r="F212" s="19" t="n"/>
      <c r="G212" s="16" t="n"/>
      <c r="H212" s="19" t="n"/>
      <c r="I212" s="19" t="n"/>
      <c r="J212" s="20">
        <f>IF(OR(I212="",K212&lt;&gt;"Yes"),"",I212-MINIFS($I$6:$I$500,$K$6:$K$500,"Yes"))</f>
        <v/>
      </c>
      <c r="K212" s="16" t="n"/>
      <c r="L212" s="16" t="n"/>
      <c r="M212" s="16" t="n"/>
      <c r="N212" s="9" t="n"/>
      <c r="O212" s="9" t="n"/>
      <c r="P212" s="9" t="n"/>
    </row>
    <row r="213">
      <c r="A213" s="16" t="n"/>
      <c r="B213" s="16" t="n"/>
      <c r="C213" s="16" t="n"/>
      <c r="D213" s="16" t="n"/>
      <c r="E213" s="16" t="n"/>
      <c r="F213" s="19" t="n"/>
      <c r="G213" s="16" t="n"/>
      <c r="H213" s="19" t="n"/>
      <c r="I213" s="19" t="n"/>
      <c r="J213" s="20">
        <f>IF(OR(I213="",K213&lt;&gt;"Yes"),"",I213-MINIFS($I$6:$I$500,$K$6:$K$500,"Yes"))</f>
        <v/>
      </c>
      <c r="K213" s="16" t="n"/>
      <c r="L213" s="16" t="n"/>
      <c r="M213" s="16" t="n"/>
      <c r="N213" s="9" t="n"/>
      <c r="O213" s="9" t="n"/>
      <c r="P213" s="9" t="n"/>
    </row>
    <row r="214">
      <c r="A214" s="16" t="n"/>
      <c r="B214" s="16" t="n"/>
      <c r="C214" s="16" t="n"/>
      <c r="D214" s="16" t="n"/>
      <c r="E214" s="16" t="n"/>
      <c r="F214" s="19" t="n"/>
      <c r="G214" s="16" t="n"/>
      <c r="H214" s="19" t="n"/>
      <c r="I214" s="19" t="n"/>
      <c r="J214" s="20">
        <f>IF(OR(I214="",K214&lt;&gt;"Yes"),"",I214-MINIFS($I$6:$I$500,$K$6:$K$500,"Yes"))</f>
        <v/>
      </c>
      <c r="K214" s="16" t="n"/>
      <c r="L214" s="16" t="n"/>
      <c r="M214" s="16" t="n"/>
      <c r="N214" s="9" t="n"/>
      <c r="O214" s="9" t="n"/>
      <c r="P214" s="9" t="n"/>
    </row>
    <row r="215">
      <c r="A215" s="16" t="n"/>
      <c r="B215" s="16" t="n"/>
      <c r="C215" s="16" t="n"/>
      <c r="D215" s="16" t="n"/>
      <c r="E215" s="16" t="n"/>
      <c r="F215" s="19" t="n"/>
      <c r="G215" s="16" t="n"/>
      <c r="H215" s="19" t="n"/>
      <c r="I215" s="19" t="n"/>
      <c r="J215" s="20">
        <f>IF(OR(I215="",K215&lt;&gt;"Yes"),"",I215-MINIFS($I$6:$I$500,$K$6:$K$500,"Yes"))</f>
        <v/>
      </c>
      <c r="K215" s="16" t="n"/>
      <c r="L215" s="16" t="n"/>
      <c r="M215" s="16" t="n"/>
      <c r="N215" s="9" t="n"/>
      <c r="O215" s="9" t="n"/>
      <c r="P215" s="9" t="n"/>
    </row>
    <row r="216">
      <c r="A216" s="16" t="n"/>
      <c r="B216" s="16" t="n"/>
      <c r="C216" s="16" t="n"/>
      <c r="D216" s="16" t="n"/>
      <c r="E216" s="16" t="n"/>
      <c r="F216" s="19" t="n"/>
      <c r="G216" s="16" t="n"/>
      <c r="H216" s="19" t="n"/>
      <c r="I216" s="19" t="n"/>
      <c r="J216" s="20">
        <f>IF(OR(I216="",K216&lt;&gt;"Yes"),"",I216-MINIFS($I$6:$I$500,$K$6:$K$500,"Yes"))</f>
        <v/>
      </c>
      <c r="K216" s="16" t="n"/>
      <c r="L216" s="16" t="n"/>
      <c r="M216" s="16" t="n"/>
      <c r="N216" s="9" t="n"/>
      <c r="O216" s="9" t="n"/>
      <c r="P216" s="9" t="n"/>
    </row>
    <row r="217">
      <c r="A217" s="16" t="n"/>
      <c r="B217" s="16" t="n"/>
      <c r="C217" s="16" t="n"/>
      <c r="D217" s="16" t="n"/>
      <c r="E217" s="16" t="n"/>
      <c r="F217" s="19" t="n"/>
      <c r="G217" s="16" t="n"/>
      <c r="H217" s="19" t="n"/>
      <c r="I217" s="19" t="n"/>
      <c r="J217" s="20">
        <f>IF(OR(I217="",K217&lt;&gt;"Yes"),"",I217-MINIFS($I$6:$I$500,$K$6:$K$500,"Yes"))</f>
        <v/>
      </c>
      <c r="K217" s="16" t="n"/>
      <c r="L217" s="16" t="n"/>
      <c r="M217" s="16" t="n"/>
      <c r="N217" s="9" t="n"/>
      <c r="O217" s="9" t="n"/>
      <c r="P217" s="9" t="n"/>
    </row>
    <row r="218">
      <c r="A218" s="16" t="n"/>
      <c r="B218" s="16" t="n"/>
      <c r="C218" s="16" t="n"/>
      <c r="D218" s="16" t="n"/>
      <c r="E218" s="16" t="n"/>
      <c r="F218" s="19" t="n"/>
      <c r="G218" s="16" t="n"/>
      <c r="H218" s="19" t="n"/>
      <c r="I218" s="19" t="n"/>
      <c r="J218" s="20">
        <f>IF(OR(I218="",K218&lt;&gt;"Yes"),"",I218-MINIFS($I$6:$I$500,$K$6:$K$500,"Yes"))</f>
        <v/>
      </c>
      <c r="K218" s="16" t="n"/>
      <c r="L218" s="16" t="n"/>
      <c r="M218" s="16" t="n"/>
      <c r="N218" s="9" t="n"/>
      <c r="O218" s="9" t="n"/>
      <c r="P218" s="9" t="n"/>
    </row>
    <row r="219">
      <c r="A219" s="16" t="n"/>
      <c r="B219" s="16" t="n"/>
      <c r="C219" s="16" t="n"/>
      <c r="D219" s="16" t="n"/>
      <c r="E219" s="16" t="n"/>
      <c r="F219" s="19" t="n"/>
      <c r="G219" s="16" t="n"/>
      <c r="H219" s="19" t="n"/>
      <c r="I219" s="19" t="n"/>
      <c r="J219" s="20">
        <f>IF(OR(I219="",K219&lt;&gt;"Yes"),"",I219-MINIFS($I$6:$I$500,$K$6:$K$500,"Yes"))</f>
        <v/>
      </c>
      <c r="K219" s="16" t="n"/>
      <c r="L219" s="16" t="n"/>
      <c r="M219" s="16" t="n"/>
      <c r="N219" s="9" t="n"/>
      <c r="O219" s="9" t="n"/>
      <c r="P219" s="9" t="n"/>
    </row>
    <row r="220">
      <c r="A220" s="16" t="n"/>
      <c r="B220" s="16" t="n"/>
      <c r="C220" s="16" t="n"/>
      <c r="D220" s="16" t="n"/>
      <c r="E220" s="16" t="n"/>
      <c r="F220" s="19" t="n"/>
      <c r="G220" s="16" t="n"/>
      <c r="H220" s="19" t="n"/>
      <c r="I220" s="19" t="n"/>
      <c r="J220" s="20">
        <f>IF(OR(I220="",K220&lt;&gt;"Yes"),"",I220-MINIFS($I$6:$I$500,$K$6:$K$500,"Yes"))</f>
        <v/>
      </c>
      <c r="K220" s="16" t="n"/>
      <c r="L220" s="16" t="n"/>
      <c r="M220" s="16" t="n"/>
      <c r="N220" s="9" t="n"/>
      <c r="O220" s="9" t="n"/>
      <c r="P220" s="9" t="n"/>
    </row>
    <row r="221">
      <c r="A221" s="16" t="n"/>
      <c r="B221" s="16" t="n"/>
      <c r="C221" s="16" t="n"/>
      <c r="D221" s="16" t="n"/>
      <c r="E221" s="16" t="n"/>
      <c r="F221" s="19" t="n"/>
      <c r="G221" s="16" t="n"/>
      <c r="H221" s="19" t="n"/>
      <c r="I221" s="19" t="n"/>
      <c r="J221" s="20">
        <f>IF(OR(I221="",K221&lt;&gt;"Yes"),"",I221-MINIFS($I$6:$I$500,$K$6:$K$500,"Yes"))</f>
        <v/>
      </c>
      <c r="K221" s="16" t="n"/>
      <c r="L221" s="16" t="n"/>
      <c r="M221" s="16" t="n"/>
      <c r="N221" s="9" t="n"/>
      <c r="O221" s="9" t="n"/>
      <c r="P221" s="9" t="n"/>
    </row>
    <row r="222">
      <c r="A222" s="16" t="n"/>
      <c r="B222" s="16" t="n"/>
      <c r="C222" s="16" t="n"/>
      <c r="D222" s="16" t="n"/>
      <c r="E222" s="16" t="n"/>
      <c r="F222" s="19" t="n"/>
      <c r="G222" s="16" t="n"/>
      <c r="H222" s="19" t="n"/>
      <c r="I222" s="19" t="n"/>
      <c r="J222" s="20">
        <f>IF(OR(I222="",K222&lt;&gt;"Yes"),"",I222-MINIFS($I$6:$I$500,$K$6:$K$500,"Yes"))</f>
        <v/>
      </c>
      <c r="K222" s="16" t="n"/>
      <c r="L222" s="16" t="n"/>
      <c r="M222" s="16" t="n"/>
      <c r="N222" s="9" t="n"/>
      <c r="O222" s="9" t="n"/>
      <c r="P222" s="9" t="n"/>
    </row>
    <row r="223">
      <c r="A223" s="16" t="n"/>
      <c r="B223" s="16" t="n"/>
      <c r="C223" s="16" t="n"/>
      <c r="D223" s="16" t="n"/>
      <c r="E223" s="16" t="n"/>
      <c r="F223" s="19" t="n"/>
      <c r="G223" s="16" t="n"/>
      <c r="H223" s="19" t="n"/>
      <c r="I223" s="19" t="n"/>
      <c r="J223" s="20">
        <f>IF(OR(I223="",K223&lt;&gt;"Yes"),"",I223-MINIFS($I$6:$I$500,$K$6:$K$500,"Yes"))</f>
        <v/>
      </c>
      <c r="K223" s="16" t="n"/>
      <c r="L223" s="16" t="n"/>
      <c r="M223" s="16" t="n"/>
      <c r="N223" s="9" t="n"/>
      <c r="O223" s="9" t="n"/>
      <c r="P223" s="9" t="n"/>
    </row>
    <row r="224">
      <c r="A224" s="16" t="n"/>
      <c r="B224" s="16" t="n"/>
      <c r="C224" s="16" t="n"/>
      <c r="D224" s="16" t="n"/>
      <c r="E224" s="16" t="n"/>
      <c r="F224" s="19" t="n"/>
      <c r="G224" s="16" t="n"/>
      <c r="H224" s="19" t="n"/>
      <c r="I224" s="19" t="n"/>
      <c r="J224" s="20">
        <f>IF(OR(I224="",K224&lt;&gt;"Yes"),"",I224-MINIFS($I$6:$I$500,$K$6:$K$500,"Yes"))</f>
        <v/>
      </c>
      <c r="K224" s="16" t="n"/>
      <c r="L224" s="16" t="n"/>
      <c r="M224" s="16" t="n"/>
      <c r="N224" s="9" t="n"/>
      <c r="O224" s="9" t="n"/>
      <c r="P224" s="9" t="n"/>
    </row>
    <row r="225">
      <c r="A225" s="16" t="n"/>
      <c r="B225" s="16" t="n"/>
      <c r="C225" s="16" t="n"/>
      <c r="D225" s="16" t="n"/>
      <c r="E225" s="16" t="n"/>
      <c r="F225" s="19" t="n"/>
      <c r="G225" s="16" t="n"/>
      <c r="H225" s="19" t="n"/>
      <c r="I225" s="19" t="n"/>
      <c r="J225" s="20">
        <f>IF(OR(I225="",K225&lt;&gt;"Yes"),"",I225-MINIFS($I$6:$I$500,$K$6:$K$500,"Yes"))</f>
        <v/>
      </c>
      <c r="K225" s="16" t="n"/>
      <c r="L225" s="16" t="n"/>
      <c r="M225" s="16" t="n"/>
      <c r="N225" s="9" t="n"/>
      <c r="O225" s="9" t="n"/>
      <c r="P225" s="9" t="n"/>
    </row>
    <row r="226">
      <c r="A226" s="16" t="n"/>
      <c r="B226" s="16" t="n"/>
      <c r="C226" s="16" t="n"/>
      <c r="D226" s="16" t="n"/>
      <c r="E226" s="16" t="n"/>
      <c r="F226" s="19" t="n"/>
      <c r="G226" s="16" t="n"/>
      <c r="H226" s="19" t="n"/>
      <c r="I226" s="19" t="n"/>
      <c r="J226" s="20">
        <f>IF(OR(I226="",K226&lt;&gt;"Yes"),"",I226-MINIFS($I$6:$I$500,$K$6:$K$500,"Yes"))</f>
        <v/>
      </c>
      <c r="K226" s="16" t="n"/>
      <c r="L226" s="16" t="n"/>
      <c r="M226" s="16" t="n"/>
      <c r="N226" s="9" t="n"/>
      <c r="O226" s="9" t="n"/>
      <c r="P226" s="9" t="n"/>
    </row>
    <row r="227">
      <c r="A227" s="16" t="n"/>
      <c r="B227" s="16" t="n"/>
      <c r="C227" s="16" t="n"/>
      <c r="D227" s="16" t="n"/>
      <c r="E227" s="16" t="n"/>
      <c r="F227" s="19" t="n"/>
      <c r="G227" s="16" t="n"/>
      <c r="H227" s="19" t="n"/>
      <c r="I227" s="19" t="n"/>
      <c r="J227" s="20">
        <f>IF(OR(I227="",K227&lt;&gt;"Yes"),"",I227-MINIFS($I$6:$I$500,$K$6:$K$500,"Yes"))</f>
        <v/>
      </c>
      <c r="K227" s="16" t="n"/>
      <c r="L227" s="16" t="n"/>
      <c r="M227" s="16" t="n"/>
      <c r="N227" s="9" t="n"/>
      <c r="O227" s="9" t="n"/>
      <c r="P227" s="9" t="n"/>
    </row>
    <row r="228">
      <c r="A228" s="16" t="n"/>
      <c r="B228" s="16" t="n"/>
      <c r="C228" s="16" t="n"/>
      <c r="D228" s="16" t="n"/>
      <c r="E228" s="16" t="n"/>
      <c r="F228" s="19" t="n"/>
      <c r="G228" s="16" t="n"/>
      <c r="H228" s="19" t="n"/>
      <c r="I228" s="19" t="n"/>
      <c r="J228" s="20">
        <f>IF(OR(I228="",K228&lt;&gt;"Yes"),"",I228-MINIFS($I$6:$I$500,$K$6:$K$500,"Yes"))</f>
        <v/>
      </c>
      <c r="K228" s="16" t="n"/>
      <c r="L228" s="16" t="n"/>
      <c r="M228" s="16" t="n"/>
      <c r="N228" s="9" t="n"/>
      <c r="O228" s="9" t="n"/>
      <c r="P228" s="9" t="n"/>
    </row>
    <row r="229">
      <c r="A229" s="16" t="n"/>
      <c r="B229" s="16" t="n"/>
      <c r="C229" s="16" t="n"/>
      <c r="D229" s="16" t="n"/>
      <c r="E229" s="16" t="n"/>
      <c r="F229" s="19" t="n"/>
      <c r="G229" s="16" t="n"/>
      <c r="H229" s="19" t="n"/>
      <c r="I229" s="19" t="n"/>
      <c r="J229" s="20">
        <f>IF(OR(I229="",K229&lt;&gt;"Yes"),"",I229-MINIFS($I$6:$I$500,$K$6:$K$500,"Yes"))</f>
        <v/>
      </c>
      <c r="K229" s="16" t="n"/>
      <c r="L229" s="16" t="n"/>
      <c r="M229" s="16" t="n"/>
      <c r="N229" s="9" t="n"/>
      <c r="O229" s="9" t="n"/>
      <c r="P229" s="9" t="n"/>
    </row>
    <row r="230">
      <c r="A230" s="16" t="n"/>
      <c r="B230" s="16" t="n"/>
      <c r="C230" s="16" t="n"/>
      <c r="D230" s="16" t="n"/>
      <c r="E230" s="16" t="n"/>
      <c r="F230" s="19" t="n"/>
      <c r="G230" s="16" t="n"/>
      <c r="H230" s="19" t="n"/>
      <c r="I230" s="19" t="n"/>
      <c r="J230" s="20">
        <f>IF(OR(I230="",K230&lt;&gt;"Yes"),"",I230-MINIFS($I$6:$I$500,$K$6:$K$500,"Yes"))</f>
        <v/>
      </c>
      <c r="K230" s="16" t="n"/>
      <c r="L230" s="16" t="n"/>
      <c r="M230" s="16" t="n"/>
      <c r="N230" s="9" t="n"/>
      <c r="O230" s="9" t="n"/>
      <c r="P230" s="9" t="n"/>
    </row>
    <row r="231">
      <c r="A231" s="16" t="n"/>
      <c r="B231" s="16" t="n"/>
      <c r="C231" s="16" t="n"/>
      <c r="D231" s="16" t="n"/>
      <c r="E231" s="16" t="n"/>
      <c r="F231" s="19" t="n"/>
      <c r="G231" s="16" t="n"/>
      <c r="H231" s="19" t="n"/>
      <c r="I231" s="19" t="n"/>
      <c r="J231" s="20">
        <f>IF(OR(I231="",K231&lt;&gt;"Yes"),"",I231-MINIFS($I$6:$I$500,$K$6:$K$500,"Yes"))</f>
        <v/>
      </c>
      <c r="K231" s="16" t="n"/>
      <c r="L231" s="16" t="n"/>
      <c r="M231" s="16" t="n"/>
      <c r="N231" s="9" t="n"/>
      <c r="O231" s="9" t="n"/>
      <c r="P231" s="9" t="n"/>
    </row>
    <row r="232">
      <c r="A232" s="16" t="n"/>
      <c r="B232" s="16" t="n"/>
      <c r="C232" s="16" t="n"/>
      <c r="D232" s="16" t="n"/>
      <c r="E232" s="16" t="n"/>
      <c r="F232" s="19" t="n"/>
      <c r="G232" s="16" t="n"/>
      <c r="H232" s="19" t="n"/>
      <c r="I232" s="19" t="n"/>
      <c r="J232" s="20">
        <f>IF(OR(I232="",K232&lt;&gt;"Yes"),"",I232-MINIFS($I$6:$I$500,$K$6:$K$500,"Yes"))</f>
        <v/>
      </c>
      <c r="K232" s="16" t="n"/>
      <c r="L232" s="16" t="n"/>
      <c r="M232" s="16" t="n"/>
      <c r="N232" s="9" t="n"/>
      <c r="O232" s="9" t="n"/>
      <c r="P232" s="9" t="n"/>
    </row>
    <row r="233">
      <c r="A233" s="16" t="n"/>
      <c r="B233" s="16" t="n"/>
      <c r="C233" s="16" t="n"/>
      <c r="D233" s="16" t="n"/>
      <c r="E233" s="16" t="n"/>
      <c r="F233" s="19" t="n"/>
      <c r="G233" s="16" t="n"/>
      <c r="H233" s="19" t="n"/>
      <c r="I233" s="19" t="n"/>
      <c r="J233" s="20">
        <f>IF(OR(I233="",K233&lt;&gt;"Yes"),"",I233-MINIFS($I$6:$I$500,$K$6:$K$500,"Yes"))</f>
        <v/>
      </c>
      <c r="K233" s="16" t="n"/>
      <c r="L233" s="16" t="n"/>
      <c r="M233" s="16" t="n"/>
      <c r="N233" s="9" t="n"/>
      <c r="O233" s="9" t="n"/>
      <c r="P233" s="9" t="n"/>
    </row>
    <row r="234">
      <c r="A234" s="16" t="n"/>
      <c r="B234" s="16" t="n"/>
      <c r="C234" s="16" t="n"/>
      <c r="D234" s="16" t="n"/>
      <c r="E234" s="16" t="n"/>
      <c r="F234" s="19" t="n"/>
      <c r="G234" s="16" t="n"/>
      <c r="H234" s="19" t="n"/>
      <c r="I234" s="19" t="n"/>
      <c r="J234" s="20">
        <f>IF(OR(I234="",K234&lt;&gt;"Yes"),"",I234-MINIFS($I$6:$I$500,$K$6:$K$500,"Yes"))</f>
        <v/>
      </c>
      <c r="K234" s="16" t="n"/>
      <c r="L234" s="16" t="n"/>
      <c r="M234" s="16" t="n"/>
      <c r="N234" s="9" t="n"/>
      <c r="O234" s="9" t="n"/>
      <c r="P234" s="9" t="n"/>
    </row>
    <row r="235">
      <c r="A235" s="16" t="n"/>
      <c r="B235" s="16" t="n"/>
      <c r="C235" s="16" t="n"/>
      <c r="D235" s="16" t="n"/>
      <c r="E235" s="16" t="n"/>
      <c r="F235" s="19" t="n"/>
      <c r="G235" s="16" t="n"/>
      <c r="H235" s="19" t="n"/>
      <c r="I235" s="19" t="n"/>
      <c r="J235" s="20">
        <f>IF(OR(I235="",K235&lt;&gt;"Yes"),"",I235-MINIFS($I$6:$I$500,$K$6:$K$500,"Yes"))</f>
        <v/>
      </c>
      <c r="K235" s="16" t="n"/>
      <c r="L235" s="16" t="n"/>
      <c r="M235" s="16" t="n"/>
      <c r="N235" s="9" t="n"/>
      <c r="O235" s="9" t="n"/>
      <c r="P235" s="9" t="n"/>
    </row>
    <row r="236">
      <c r="A236" s="16" t="n"/>
      <c r="B236" s="16" t="n"/>
      <c r="C236" s="16" t="n"/>
      <c r="D236" s="16" t="n"/>
      <c r="E236" s="16" t="n"/>
      <c r="F236" s="19" t="n"/>
      <c r="G236" s="16" t="n"/>
      <c r="H236" s="19" t="n"/>
      <c r="I236" s="19" t="n"/>
      <c r="J236" s="20">
        <f>IF(OR(I236="",K236&lt;&gt;"Yes"),"",I236-MINIFS($I$6:$I$500,$K$6:$K$500,"Yes"))</f>
        <v/>
      </c>
      <c r="K236" s="16" t="n"/>
      <c r="L236" s="16" t="n"/>
      <c r="M236" s="16" t="n"/>
      <c r="N236" s="9" t="n"/>
      <c r="O236" s="9" t="n"/>
      <c r="P236" s="9" t="n"/>
    </row>
    <row r="237">
      <c r="A237" s="16" t="n"/>
      <c r="B237" s="16" t="n"/>
      <c r="C237" s="16" t="n"/>
      <c r="D237" s="16" t="n"/>
      <c r="E237" s="16" t="n"/>
      <c r="F237" s="19" t="n"/>
      <c r="G237" s="16" t="n"/>
      <c r="H237" s="19" t="n"/>
      <c r="I237" s="19" t="n"/>
      <c r="J237" s="20">
        <f>IF(OR(I237="",K237&lt;&gt;"Yes"),"",I237-MINIFS($I$6:$I$500,$K$6:$K$500,"Yes"))</f>
        <v/>
      </c>
      <c r="K237" s="16" t="n"/>
      <c r="L237" s="16" t="n"/>
      <c r="M237" s="16" t="n"/>
      <c r="N237" s="9" t="n"/>
      <c r="O237" s="9" t="n"/>
      <c r="P237" s="9" t="n"/>
    </row>
    <row r="238">
      <c r="A238" s="16" t="n"/>
      <c r="B238" s="16" t="n"/>
      <c r="C238" s="16" t="n"/>
      <c r="D238" s="16" t="n"/>
      <c r="E238" s="16" t="n"/>
      <c r="F238" s="19" t="n"/>
      <c r="G238" s="16" t="n"/>
      <c r="H238" s="19" t="n"/>
      <c r="I238" s="19" t="n"/>
      <c r="J238" s="20">
        <f>IF(OR(I238="",K238&lt;&gt;"Yes"),"",I238-MINIFS($I$6:$I$500,$K$6:$K$500,"Yes"))</f>
        <v/>
      </c>
      <c r="K238" s="16" t="n"/>
      <c r="L238" s="16" t="n"/>
      <c r="M238" s="16" t="n"/>
      <c r="N238" s="9" t="n"/>
      <c r="O238" s="9" t="n"/>
      <c r="P238" s="9" t="n"/>
    </row>
    <row r="239">
      <c r="A239" s="16" t="n"/>
      <c r="B239" s="16" t="n"/>
      <c r="C239" s="16" t="n"/>
      <c r="D239" s="16" t="n"/>
      <c r="E239" s="16" t="n"/>
      <c r="F239" s="19" t="n"/>
      <c r="G239" s="16" t="n"/>
      <c r="H239" s="19" t="n"/>
      <c r="I239" s="19" t="n"/>
      <c r="J239" s="20">
        <f>IF(OR(I239="",K239&lt;&gt;"Yes"),"",I239-MINIFS($I$6:$I$500,$K$6:$K$500,"Yes"))</f>
        <v/>
      </c>
      <c r="K239" s="16" t="n"/>
      <c r="L239" s="16" t="n"/>
      <c r="M239" s="16" t="n"/>
      <c r="N239" s="9" t="n"/>
      <c r="O239" s="9" t="n"/>
      <c r="P239" s="9" t="n"/>
    </row>
    <row r="240">
      <c r="A240" s="16" t="n"/>
      <c r="B240" s="16" t="n"/>
      <c r="C240" s="16" t="n"/>
      <c r="D240" s="16" t="n"/>
      <c r="E240" s="16" t="n"/>
      <c r="F240" s="19" t="n"/>
      <c r="G240" s="16" t="n"/>
      <c r="H240" s="19" t="n"/>
      <c r="I240" s="19" t="n"/>
      <c r="J240" s="20">
        <f>IF(OR(I240="",K240&lt;&gt;"Yes"),"",I240-MINIFS($I$6:$I$500,$K$6:$K$500,"Yes"))</f>
        <v/>
      </c>
      <c r="K240" s="16" t="n"/>
      <c r="L240" s="16" t="n"/>
      <c r="M240" s="16" t="n"/>
      <c r="N240" s="9" t="n"/>
      <c r="O240" s="9" t="n"/>
      <c r="P240" s="9" t="n"/>
    </row>
    <row r="241">
      <c r="A241" s="16" t="n"/>
      <c r="B241" s="16" t="n"/>
      <c r="C241" s="16" t="n"/>
      <c r="D241" s="16" t="n"/>
      <c r="E241" s="16" t="n"/>
      <c r="F241" s="19" t="n"/>
      <c r="G241" s="16" t="n"/>
      <c r="H241" s="19" t="n"/>
      <c r="I241" s="19" t="n"/>
      <c r="J241" s="20">
        <f>IF(OR(I241="",K241&lt;&gt;"Yes"),"",I241-MINIFS($I$6:$I$500,$K$6:$K$500,"Yes"))</f>
        <v/>
      </c>
      <c r="K241" s="16" t="n"/>
      <c r="L241" s="16" t="n"/>
      <c r="M241" s="16" t="n"/>
      <c r="N241" s="9" t="n"/>
      <c r="O241" s="9" t="n"/>
      <c r="P241" s="9" t="n"/>
    </row>
    <row r="242">
      <c r="A242" s="16" t="n"/>
      <c r="B242" s="16" t="n"/>
      <c r="C242" s="16" t="n"/>
      <c r="D242" s="16" t="n"/>
      <c r="E242" s="16" t="n"/>
      <c r="F242" s="19" t="n"/>
      <c r="G242" s="16" t="n"/>
      <c r="H242" s="19" t="n"/>
      <c r="I242" s="19" t="n"/>
      <c r="J242" s="20">
        <f>IF(OR(I242="",K242&lt;&gt;"Yes"),"",I242-MINIFS($I$6:$I$500,$K$6:$K$500,"Yes"))</f>
        <v/>
      </c>
      <c r="K242" s="16" t="n"/>
      <c r="L242" s="16" t="n"/>
      <c r="M242" s="16" t="n"/>
      <c r="N242" s="9" t="n"/>
      <c r="O242" s="9" t="n"/>
      <c r="P242" s="9" t="n"/>
    </row>
    <row r="243">
      <c r="A243" s="16" t="n"/>
      <c r="B243" s="16" t="n"/>
      <c r="C243" s="16" t="n"/>
      <c r="D243" s="16" t="n"/>
      <c r="E243" s="16" t="n"/>
      <c r="F243" s="19" t="n"/>
      <c r="G243" s="16" t="n"/>
      <c r="H243" s="19" t="n"/>
      <c r="I243" s="19" t="n"/>
      <c r="J243" s="20">
        <f>IF(OR(I243="",K243&lt;&gt;"Yes"),"",I243-MINIFS($I$6:$I$500,$K$6:$K$500,"Yes"))</f>
        <v/>
      </c>
      <c r="K243" s="16" t="n"/>
      <c r="L243" s="16" t="n"/>
      <c r="M243" s="16" t="n"/>
      <c r="N243" s="9" t="n"/>
      <c r="O243" s="9" t="n"/>
      <c r="P243" s="9" t="n"/>
    </row>
    <row r="244">
      <c r="A244" s="16" t="n"/>
      <c r="B244" s="16" t="n"/>
      <c r="C244" s="16" t="n"/>
      <c r="D244" s="16" t="n"/>
      <c r="E244" s="16" t="n"/>
      <c r="F244" s="19" t="n"/>
      <c r="G244" s="16" t="n"/>
      <c r="H244" s="19" t="n"/>
      <c r="I244" s="19" t="n"/>
      <c r="J244" s="20">
        <f>IF(OR(I244="",K244&lt;&gt;"Yes"),"",I244-MINIFS($I$6:$I$500,$K$6:$K$500,"Yes"))</f>
        <v/>
      </c>
      <c r="K244" s="16" t="n"/>
      <c r="L244" s="16" t="n"/>
      <c r="M244" s="16" t="n"/>
      <c r="N244" s="9" t="n"/>
      <c r="O244" s="9" t="n"/>
      <c r="P244" s="9" t="n"/>
    </row>
    <row r="245">
      <c r="A245" s="16" t="n"/>
      <c r="B245" s="16" t="n"/>
      <c r="C245" s="16" t="n"/>
      <c r="D245" s="16" t="n"/>
      <c r="E245" s="16" t="n"/>
      <c r="F245" s="19" t="n"/>
      <c r="G245" s="16" t="n"/>
      <c r="H245" s="19" t="n"/>
      <c r="I245" s="19" t="n"/>
      <c r="J245" s="20">
        <f>IF(OR(I245="",K245&lt;&gt;"Yes"),"",I245-MINIFS($I$6:$I$500,$K$6:$K$500,"Yes"))</f>
        <v/>
      </c>
      <c r="K245" s="16" t="n"/>
      <c r="L245" s="16" t="n"/>
      <c r="M245" s="16" t="n"/>
      <c r="N245" s="9" t="n"/>
      <c r="O245" s="9" t="n"/>
      <c r="P245" s="9" t="n"/>
    </row>
    <row r="246">
      <c r="A246" s="16" t="n"/>
      <c r="B246" s="16" t="n"/>
      <c r="C246" s="16" t="n"/>
      <c r="D246" s="16" t="n"/>
      <c r="E246" s="16" t="n"/>
      <c r="F246" s="19" t="n"/>
      <c r="G246" s="16" t="n"/>
      <c r="H246" s="19" t="n"/>
      <c r="I246" s="19" t="n"/>
      <c r="J246" s="20">
        <f>IF(OR(I246="",K246&lt;&gt;"Yes"),"",I246-MINIFS($I$6:$I$500,$K$6:$K$500,"Yes"))</f>
        <v/>
      </c>
      <c r="K246" s="16" t="n"/>
      <c r="L246" s="16" t="n"/>
      <c r="M246" s="16" t="n"/>
      <c r="N246" s="9" t="n"/>
      <c r="O246" s="9" t="n"/>
      <c r="P246" s="9" t="n"/>
    </row>
    <row r="247">
      <c r="A247" s="16" t="n"/>
      <c r="B247" s="16" t="n"/>
      <c r="C247" s="16" t="n"/>
      <c r="D247" s="16" t="n"/>
      <c r="E247" s="16" t="n"/>
      <c r="F247" s="19" t="n"/>
      <c r="G247" s="16" t="n"/>
      <c r="H247" s="19" t="n"/>
      <c r="I247" s="19" t="n"/>
      <c r="J247" s="20">
        <f>IF(OR(I247="",K247&lt;&gt;"Yes"),"",I247-MINIFS($I$6:$I$500,$K$6:$K$500,"Yes"))</f>
        <v/>
      </c>
      <c r="K247" s="16" t="n"/>
      <c r="L247" s="16" t="n"/>
      <c r="M247" s="16" t="n"/>
      <c r="N247" s="9" t="n"/>
      <c r="O247" s="9" t="n"/>
      <c r="P247" s="9" t="n"/>
    </row>
    <row r="248">
      <c r="A248" s="16" t="n"/>
      <c r="B248" s="16" t="n"/>
      <c r="C248" s="16" t="n"/>
      <c r="D248" s="16" t="n"/>
      <c r="E248" s="16" t="n"/>
      <c r="F248" s="19" t="n"/>
      <c r="G248" s="16" t="n"/>
      <c r="H248" s="19" t="n"/>
      <c r="I248" s="19" t="n"/>
      <c r="J248" s="20">
        <f>IF(OR(I248="",K248&lt;&gt;"Yes"),"",I248-MINIFS($I$6:$I$500,$K$6:$K$500,"Yes"))</f>
        <v/>
      </c>
      <c r="K248" s="16" t="n"/>
      <c r="L248" s="16" t="n"/>
      <c r="M248" s="16" t="n"/>
      <c r="N248" s="9" t="n"/>
      <c r="O248" s="9" t="n"/>
      <c r="P248" s="9" t="n"/>
    </row>
    <row r="249">
      <c r="A249" s="16" t="n"/>
      <c r="B249" s="16" t="n"/>
      <c r="C249" s="16" t="n"/>
      <c r="D249" s="16" t="n"/>
      <c r="E249" s="16" t="n"/>
      <c r="F249" s="19" t="n"/>
      <c r="G249" s="16" t="n"/>
      <c r="H249" s="19" t="n"/>
      <c r="I249" s="19" t="n"/>
      <c r="J249" s="20">
        <f>IF(OR(I249="",K249&lt;&gt;"Yes"),"",I249-MINIFS($I$6:$I$500,$K$6:$K$500,"Yes"))</f>
        <v/>
      </c>
      <c r="K249" s="16" t="n"/>
      <c r="L249" s="16" t="n"/>
      <c r="M249" s="16" t="n"/>
      <c r="N249" s="9" t="n"/>
      <c r="O249" s="9" t="n"/>
      <c r="P249" s="9" t="n"/>
    </row>
    <row r="250">
      <c r="A250" s="16" t="n"/>
      <c r="B250" s="16" t="n"/>
      <c r="C250" s="16" t="n"/>
      <c r="D250" s="16" t="n"/>
      <c r="E250" s="16" t="n"/>
      <c r="F250" s="19" t="n"/>
      <c r="G250" s="16" t="n"/>
      <c r="H250" s="19" t="n"/>
      <c r="I250" s="19" t="n"/>
      <c r="J250" s="20">
        <f>IF(OR(I250="",K250&lt;&gt;"Yes"),"",I250-MINIFS($I$6:$I$500,$K$6:$K$500,"Yes"))</f>
        <v/>
      </c>
      <c r="K250" s="16" t="n"/>
      <c r="L250" s="16" t="n"/>
      <c r="M250" s="16" t="n"/>
      <c r="N250" s="9" t="n"/>
      <c r="O250" s="9" t="n"/>
      <c r="P250" s="9" t="n"/>
    </row>
    <row r="251">
      <c r="A251" s="16" t="n"/>
      <c r="B251" s="16" t="n"/>
      <c r="C251" s="16" t="n"/>
      <c r="D251" s="16" t="n"/>
      <c r="E251" s="16" t="n"/>
      <c r="F251" s="19" t="n"/>
      <c r="G251" s="16" t="n"/>
      <c r="H251" s="19" t="n"/>
      <c r="I251" s="19" t="n"/>
      <c r="J251" s="20">
        <f>IF(OR(I251="",K251&lt;&gt;"Yes"),"",I251-MINIFS($I$6:$I$500,$K$6:$K$500,"Yes"))</f>
        <v/>
      </c>
      <c r="K251" s="16" t="n"/>
      <c r="L251" s="16" t="n"/>
      <c r="M251" s="16" t="n"/>
      <c r="N251" s="9" t="n"/>
      <c r="O251" s="9" t="n"/>
      <c r="P251" s="9" t="n"/>
    </row>
    <row r="252">
      <c r="A252" s="16" t="n"/>
      <c r="B252" s="16" t="n"/>
      <c r="C252" s="16" t="n"/>
      <c r="D252" s="16" t="n"/>
      <c r="E252" s="16" t="n"/>
      <c r="F252" s="19" t="n"/>
      <c r="G252" s="16" t="n"/>
      <c r="H252" s="19" t="n"/>
      <c r="I252" s="19" t="n"/>
      <c r="J252" s="20">
        <f>IF(OR(I252="",K252&lt;&gt;"Yes"),"",I252-MINIFS($I$6:$I$500,$K$6:$K$500,"Yes"))</f>
        <v/>
      </c>
      <c r="K252" s="16" t="n"/>
      <c r="L252" s="16" t="n"/>
      <c r="M252" s="16" t="n"/>
      <c r="N252" s="9" t="n"/>
      <c r="O252" s="9" t="n"/>
      <c r="P252" s="9" t="n"/>
    </row>
    <row r="253">
      <c r="A253" s="16" t="n"/>
      <c r="B253" s="16" t="n"/>
      <c r="C253" s="16" t="n"/>
      <c r="D253" s="16" t="n"/>
      <c r="E253" s="16" t="n"/>
      <c r="F253" s="19" t="n"/>
      <c r="G253" s="16" t="n"/>
      <c r="H253" s="19" t="n"/>
      <c r="I253" s="19" t="n"/>
      <c r="J253" s="20">
        <f>IF(OR(I253="",K253&lt;&gt;"Yes"),"",I253-MINIFS($I$6:$I$500,$K$6:$K$500,"Yes"))</f>
        <v/>
      </c>
      <c r="K253" s="16" t="n"/>
      <c r="L253" s="16" t="n"/>
      <c r="M253" s="16" t="n"/>
      <c r="N253" s="9" t="n"/>
      <c r="O253" s="9" t="n"/>
      <c r="P253" s="9" t="n"/>
    </row>
    <row r="254">
      <c r="A254" s="16" t="n"/>
      <c r="B254" s="16" t="n"/>
      <c r="C254" s="16" t="n"/>
      <c r="D254" s="16" t="n"/>
      <c r="E254" s="16" t="n"/>
      <c r="F254" s="19" t="n"/>
      <c r="G254" s="16" t="n"/>
      <c r="H254" s="19" t="n"/>
      <c r="I254" s="19" t="n"/>
      <c r="J254" s="20">
        <f>IF(OR(I254="",K254&lt;&gt;"Yes"),"",I254-MINIFS($I$6:$I$500,$K$6:$K$500,"Yes"))</f>
        <v/>
      </c>
      <c r="K254" s="16" t="n"/>
      <c r="L254" s="16" t="n"/>
      <c r="M254" s="16" t="n"/>
      <c r="N254" s="9" t="n"/>
      <c r="O254" s="9" t="n"/>
      <c r="P254" s="9" t="n"/>
    </row>
    <row r="255">
      <c r="A255" s="16" t="n"/>
      <c r="B255" s="16" t="n"/>
      <c r="C255" s="16" t="n"/>
      <c r="D255" s="16" t="n"/>
      <c r="E255" s="16" t="n"/>
      <c r="F255" s="19" t="n"/>
      <c r="G255" s="16" t="n"/>
      <c r="H255" s="19" t="n"/>
      <c r="I255" s="19" t="n"/>
      <c r="J255" s="20">
        <f>IF(OR(I255="",K255&lt;&gt;"Yes"),"",I255-MINIFS($I$6:$I$500,$K$6:$K$500,"Yes"))</f>
        <v/>
      </c>
      <c r="K255" s="16" t="n"/>
      <c r="L255" s="16" t="n"/>
      <c r="M255" s="16" t="n"/>
      <c r="N255" s="9" t="n"/>
      <c r="O255" s="9" t="n"/>
      <c r="P255" s="9" t="n"/>
    </row>
    <row r="256">
      <c r="A256" s="16" t="n"/>
      <c r="B256" s="16" t="n"/>
      <c r="C256" s="16" t="n"/>
      <c r="D256" s="16" t="n"/>
      <c r="E256" s="16" t="n"/>
      <c r="F256" s="19" t="n"/>
      <c r="G256" s="16" t="n"/>
      <c r="H256" s="19" t="n"/>
      <c r="I256" s="19" t="n"/>
      <c r="J256" s="20">
        <f>IF(OR(I256="",K256&lt;&gt;"Yes"),"",I256-MINIFS($I$6:$I$500,$K$6:$K$500,"Yes"))</f>
        <v/>
      </c>
      <c r="K256" s="16" t="n"/>
      <c r="L256" s="16" t="n"/>
      <c r="M256" s="16" t="n"/>
      <c r="N256" s="9" t="n"/>
      <c r="O256" s="9" t="n"/>
      <c r="P256" s="9" t="n"/>
    </row>
    <row r="257">
      <c r="A257" s="16" t="n"/>
      <c r="B257" s="16" t="n"/>
      <c r="C257" s="16" t="n"/>
      <c r="D257" s="16" t="n"/>
      <c r="E257" s="16" t="n"/>
      <c r="F257" s="19" t="n"/>
      <c r="G257" s="16" t="n"/>
      <c r="H257" s="19" t="n"/>
      <c r="I257" s="19" t="n"/>
      <c r="J257" s="20">
        <f>IF(OR(I257="",K257&lt;&gt;"Yes"),"",I257-MINIFS($I$6:$I$500,$K$6:$K$500,"Yes"))</f>
        <v/>
      </c>
      <c r="K257" s="16" t="n"/>
      <c r="L257" s="16" t="n"/>
      <c r="M257" s="16" t="n"/>
      <c r="N257" s="9" t="n"/>
      <c r="O257" s="9" t="n"/>
      <c r="P257" s="9" t="n"/>
    </row>
    <row r="258">
      <c r="A258" s="16" t="n"/>
      <c r="B258" s="16" t="n"/>
      <c r="C258" s="16" t="n"/>
      <c r="D258" s="16" t="n"/>
      <c r="E258" s="16" t="n"/>
      <c r="F258" s="19" t="n"/>
      <c r="G258" s="16" t="n"/>
      <c r="H258" s="19" t="n"/>
      <c r="I258" s="19" t="n"/>
      <c r="J258" s="20">
        <f>IF(OR(I258="",K258&lt;&gt;"Yes"),"",I258-MINIFS($I$6:$I$500,$K$6:$K$500,"Yes"))</f>
        <v/>
      </c>
      <c r="K258" s="16" t="n"/>
      <c r="L258" s="16" t="n"/>
      <c r="M258" s="16" t="n"/>
      <c r="N258" s="9" t="n"/>
      <c r="O258" s="9" t="n"/>
      <c r="P258" s="9" t="n"/>
    </row>
    <row r="259">
      <c r="A259" s="16" t="n"/>
      <c r="B259" s="16" t="n"/>
      <c r="C259" s="16" t="n"/>
      <c r="D259" s="16" t="n"/>
      <c r="E259" s="16" t="n"/>
      <c r="F259" s="19" t="n"/>
      <c r="G259" s="16" t="n"/>
      <c r="H259" s="19" t="n"/>
      <c r="I259" s="19" t="n"/>
      <c r="J259" s="20">
        <f>IF(OR(I259="",K259&lt;&gt;"Yes"),"",I259-MINIFS($I$6:$I$500,$K$6:$K$500,"Yes"))</f>
        <v/>
      </c>
      <c r="K259" s="16" t="n"/>
      <c r="L259" s="16" t="n"/>
      <c r="M259" s="16" t="n"/>
      <c r="N259" s="9" t="n"/>
      <c r="O259" s="9" t="n"/>
      <c r="P259" s="9" t="n"/>
    </row>
    <row r="260">
      <c r="A260" s="16" t="n"/>
      <c r="B260" s="16" t="n"/>
      <c r="C260" s="16" t="n"/>
      <c r="D260" s="16" t="n"/>
      <c r="E260" s="16" t="n"/>
      <c r="F260" s="19" t="n"/>
      <c r="G260" s="16" t="n"/>
      <c r="H260" s="19" t="n"/>
      <c r="I260" s="19" t="n"/>
      <c r="J260" s="20">
        <f>IF(OR(I260="",K260&lt;&gt;"Yes"),"",I260-MINIFS($I$6:$I$500,$K$6:$K$500,"Yes"))</f>
        <v/>
      </c>
      <c r="K260" s="16" t="n"/>
      <c r="L260" s="16" t="n"/>
      <c r="M260" s="16" t="n"/>
      <c r="N260" s="9" t="n"/>
      <c r="O260" s="9" t="n"/>
      <c r="P260" s="9" t="n"/>
    </row>
    <row r="261">
      <c r="A261" s="16" t="n"/>
      <c r="B261" s="16" t="n"/>
      <c r="C261" s="16" t="n"/>
      <c r="D261" s="16" t="n"/>
      <c r="E261" s="16" t="n"/>
      <c r="F261" s="19" t="n"/>
      <c r="G261" s="16" t="n"/>
      <c r="H261" s="19" t="n"/>
      <c r="I261" s="19" t="n"/>
      <c r="J261" s="20">
        <f>IF(OR(I261="",K261&lt;&gt;"Yes"),"",I261-MINIFS($I$6:$I$500,$K$6:$K$500,"Yes"))</f>
        <v/>
      </c>
      <c r="K261" s="16" t="n"/>
      <c r="L261" s="16" t="n"/>
      <c r="M261" s="16" t="n"/>
      <c r="N261" s="9" t="n"/>
      <c r="O261" s="9" t="n"/>
      <c r="P261" s="9" t="n"/>
    </row>
    <row r="262">
      <c r="A262" s="16" t="n"/>
      <c r="B262" s="16" t="n"/>
      <c r="C262" s="16" t="n"/>
      <c r="D262" s="16" t="n"/>
      <c r="E262" s="16" t="n"/>
      <c r="F262" s="19" t="n"/>
      <c r="G262" s="16" t="n"/>
      <c r="H262" s="19" t="n"/>
      <c r="I262" s="19" t="n"/>
      <c r="J262" s="20">
        <f>IF(OR(I262="",K262&lt;&gt;"Yes"),"",I262-MINIFS($I$6:$I$500,$K$6:$K$500,"Yes"))</f>
        <v/>
      </c>
      <c r="K262" s="16" t="n"/>
      <c r="L262" s="16" t="n"/>
      <c r="M262" s="16" t="n"/>
      <c r="N262" s="9" t="n"/>
      <c r="O262" s="9" t="n"/>
      <c r="P262" s="9" t="n"/>
    </row>
    <row r="263">
      <c r="A263" s="16" t="n"/>
      <c r="B263" s="16" t="n"/>
      <c r="C263" s="16" t="n"/>
      <c r="D263" s="16" t="n"/>
      <c r="E263" s="16" t="n"/>
      <c r="F263" s="19" t="n"/>
      <c r="G263" s="16" t="n"/>
      <c r="H263" s="19" t="n"/>
      <c r="I263" s="19" t="n"/>
      <c r="J263" s="20">
        <f>IF(OR(I263="",K263&lt;&gt;"Yes"),"",I263-MINIFS($I$6:$I$500,$K$6:$K$500,"Yes"))</f>
        <v/>
      </c>
      <c r="K263" s="16" t="n"/>
      <c r="L263" s="16" t="n"/>
      <c r="M263" s="16" t="n"/>
      <c r="N263" s="9" t="n"/>
      <c r="O263" s="9" t="n"/>
      <c r="P263" s="9" t="n"/>
    </row>
    <row r="264">
      <c r="A264" s="16" t="n"/>
      <c r="B264" s="16" t="n"/>
      <c r="C264" s="16" t="n"/>
      <c r="D264" s="16" t="n"/>
      <c r="E264" s="16" t="n"/>
      <c r="F264" s="19" t="n"/>
      <c r="G264" s="16" t="n"/>
      <c r="H264" s="19" t="n"/>
      <c r="I264" s="19" t="n"/>
      <c r="J264" s="20">
        <f>IF(OR(I264="",K264&lt;&gt;"Yes"),"",I264-MINIFS($I$6:$I$500,$K$6:$K$500,"Yes"))</f>
        <v/>
      </c>
      <c r="K264" s="16" t="n"/>
      <c r="L264" s="16" t="n"/>
      <c r="M264" s="16" t="n"/>
      <c r="N264" s="9" t="n"/>
      <c r="O264" s="9" t="n"/>
      <c r="P264" s="9" t="n"/>
    </row>
    <row r="265">
      <c r="A265" s="16" t="n"/>
      <c r="B265" s="16" t="n"/>
      <c r="C265" s="16" t="n"/>
      <c r="D265" s="16" t="n"/>
      <c r="E265" s="16" t="n"/>
      <c r="F265" s="19" t="n"/>
      <c r="G265" s="16" t="n"/>
      <c r="H265" s="19" t="n"/>
      <c r="I265" s="19" t="n"/>
      <c r="J265" s="20">
        <f>IF(OR(I265="",K265&lt;&gt;"Yes"),"",I265-MINIFS($I$6:$I$500,$K$6:$K$500,"Yes"))</f>
        <v/>
      </c>
      <c r="K265" s="16" t="n"/>
      <c r="L265" s="16" t="n"/>
      <c r="M265" s="16" t="n"/>
      <c r="N265" s="9" t="n"/>
      <c r="O265" s="9" t="n"/>
      <c r="P265" s="9" t="n"/>
    </row>
    <row r="266">
      <c r="A266" s="16" t="n"/>
      <c r="B266" s="16" t="n"/>
      <c r="C266" s="16" t="n"/>
      <c r="D266" s="16" t="n"/>
      <c r="E266" s="16" t="n"/>
      <c r="F266" s="19" t="n"/>
      <c r="G266" s="16" t="n"/>
      <c r="H266" s="19" t="n"/>
      <c r="I266" s="19" t="n"/>
      <c r="J266" s="20">
        <f>IF(OR(I266="",K266&lt;&gt;"Yes"),"",I266-MINIFS($I$6:$I$500,$K$6:$K$500,"Yes"))</f>
        <v/>
      </c>
      <c r="K266" s="16" t="n"/>
      <c r="L266" s="16" t="n"/>
      <c r="M266" s="16" t="n"/>
      <c r="N266" s="9" t="n"/>
      <c r="O266" s="9" t="n"/>
      <c r="P266" s="9" t="n"/>
    </row>
    <row r="267">
      <c r="A267" s="16" t="n"/>
      <c r="B267" s="16" t="n"/>
      <c r="C267" s="16" t="n"/>
      <c r="D267" s="16" t="n"/>
      <c r="E267" s="16" t="n"/>
      <c r="F267" s="19" t="n"/>
      <c r="G267" s="16" t="n"/>
      <c r="H267" s="19" t="n"/>
      <c r="I267" s="19" t="n"/>
      <c r="J267" s="20">
        <f>IF(OR(I267="",K267&lt;&gt;"Yes"),"",I267-MINIFS($I$6:$I$500,$K$6:$K$500,"Yes"))</f>
        <v/>
      </c>
      <c r="K267" s="16" t="n"/>
      <c r="L267" s="16" t="n"/>
      <c r="M267" s="16" t="n"/>
      <c r="N267" s="9" t="n"/>
      <c r="O267" s="9" t="n"/>
      <c r="P267" s="9" t="n"/>
    </row>
    <row r="268">
      <c r="A268" s="16" t="n"/>
      <c r="B268" s="16" t="n"/>
      <c r="C268" s="16" t="n"/>
      <c r="D268" s="16" t="n"/>
      <c r="E268" s="16" t="n"/>
      <c r="F268" s="19" t="n"/>
      <c r="G268" s="16" t="n"/>
      <c r="H268" s="19" t="n"/>
      <c r="I268" s="19" t="n"/>
      <c r="J268" s="20">
        <f>IF(OR(I268="",K268&lt;&gt;"Yes"),"",I268-MINIFS($I$6:$I$500,$K$6:$K$500,"Yes"))</f>
        <v/>
      </c>
      <c r="K268" s="16" t="n"/>
      <c r="L268" s="16" t="n"/>
      <c r="M268" s="16" t="n"/>
      <c r="N268" s="9" t="n"/>
      <c r="O268" s="9" t="n"/>
      <c r="P268" s="9" t="n"/>
    </row>
    <row r="269">
      <c r="A269" s="16" t="n"/>
      <c r="B269" s="16" t="n"/>
      <c r="C269" s="16" t="n"/>
      <c r="D269" s="16" t="n"/>
      <c r="E269" s="16" t="n"/>
      <c r="F269" s="19" t="n"/>
      <c r="G269" s="16" t="n"/>
      <c r="H269" s="19" t="n"/>
      <c r="I269" s="19" t="n"/>
      <c r="J269" s="20">
        <f>IF(OR(I269="",K269&lt;&gt;"Yes"),"",I269-MINIFS($I$6:$I$500,$K$6:$K$500,"Yes"))</f>
        <v/>
      </c>
      <c r="K269" s="16" t="n"/>
      <c r="L269" s="16" t="n"/>
      <c r="M269" s="16" t="n"/>
      <c r="N269" s="9" t="n"/>
      <c r="O269" s="9" t="n"/>
      <c r="P269" s="9" t="n"/>
    </row>
    <row r="270">
      <c r="A270" s="16" t="n"/>
      <c r="B270" s="16" t="n"/>
      <c r="C270" s="16" t="n"/>
      <c r="D270" s="16" t="n"/>
      <c r="E270" s="16" t="n"/>
      <c r="F270" s="19" t="n"/>
      <c r="G270" s="16" t="n"/>
      <c r="H270" s="19" t="n"/>
      <c r="I270" s="19" t="n"/>
      <c r="J270" s="20">
        <f>IF(OR(I270="",K270&lt;&gt;"Yes"),"",I270-MINIFS($I$6:$I$500,$K$6:$K$500,"Yes"))</f>
        <v/>
      </c>
      <c r="K270" s="16" t="n"/>
      <c r="L270" s="16" t="n"/>
      <c r="M270" s="16" t="n"/>
      <c r="N270" s="9" t="n"/>
      <c r="O270" s="9" t="n"/>
      <c r="P270" s="9" t="n"/>
    </row>
    <row r="271">
      <c r="A271" s="16" t="n"/>
      <c r="B271" s="16" t="n"/>
      <c r="C271" s="16" t="n"/>
      <c r="D271" s="16" t="n"/>
      <c r="E271" s="16" t="n"/>
      <c r="F271" s="19" t="n"/>
      <c r="G271" s="16" t="n"/>
      <c r="H271" s="19" t="n"/>
      <c r="I271" s="19" t="n"/>
      <c r="J271" s="20">
        <f>IF(OR(I271="",K271&lt;&gt;"Yes"),"",I271-MINIFS($I$6:$I$500,$K$6:$K$500,"Yes"))</f>
        <v/>
      </c>
      <c r="K271" s="16" t="n"/>
      <c r="L271" s="16" t="n"/>
      <c r="M271" s="16" t="n"/>
      <c r="N271" s="9" t="n"/>
      <c r="O271" s="9" t="n"/>
      <c r="P271" s="9" t="n"/>
    </row>
    <row r="272">
      <c r="A272" s="16" t="n"/>
      <c r="B272" s="16" t="n"/>
      <c r="C272" s="16" t="n"/>
      <c r="D272" s="16" t="n"/>
      <c r="E272" s="16" t="n"/>
      <c r="F272" s="19" t="n"/>
      <c r="G272" s="16" t="n"/>
      <c r="H272" s="19" t="n"/>
      <c r="I272" s="19" t="n"/>
      <c r="J272" s="20">
        <f>IF(OR(I272="",K272&lt;&gt;"Yes"),"",I272-MINIFS($I$6:$I$500,$K$6:$K$500,"Yes"))</f>
        <v/>
      </c>
      <c r="K272" s="16" t="n"/>
      <c r="L272" s="16" t="n"/>
      <c r="M272" s="16" t="n"/>
      <c r="N272" s="9" t="n"/>
      <c r="O272" s="9" t="n"/>
      <c r="P272" s="9" t="n"/>
    </row>
    <row r="273">
      <c r="A273" s="16" t="n"/>
      <c r="B273" s="16" t="n"/>
      <c r="C273" s="16" t="n"/>
      <c r="D273" s="16" t="n"/>
      <c r="E273" s="16" t="n"/>
      <c r="F273" s="19" t="n"/>
      <c r="G273" s="16" t="n"/>
      <c r="H273" s="19" t="n"/>
      <c r="I273" s="19" t="n"/>
      <c r="J273" s="20">
        <f>IF(OR(I273="",K273&lt;&gt;"Yes"),"",I273-MINIFS($I$6:$I$500,$K$6:$K$500,"Yes"))</f>
        <v/>
      </c>
      <c r="K273" s="16" t="n"/>
      <c r="L273" s="16" t="n"/>
      <c r="M273" s="16" t="n"/>
      <c r="N273" s="9" t="n"/>
      <c r="O273" s="9" t="n"/>
      <c r="P273" s="9" t="n"/>
    </row>
    <row r="274">
      <c r="A274" s="16" t="n"/>
      <c r="B274" s="16" t="n"/>
      <c r="C274" s="16" t="n"/>
      <c r="D274" s="16" t="n"/>
      <c r="E274" s="16" t="n"/>
      <c r="F274" s="19" t="n"/>
      <c r="G274" s="16" t="n"/>
      <c r="H274" s="19" t="n"/>
      <c r="I274" s="19" t="n"/>
      <c r="J274" s="20">
        <f>IF(OR(I274="",K274&lt;&gt;"Yes"),"",I274-MINIFS($I$6:$I$500,$K$6:$K$500,"Yes"))</f>
        <v/>
      </c>
      <c r="K274" s="16" t="n"/>
      <c r="L274" s="16" t="n"/>
      <c r="M274" s="16" t="n"/>
      <c r="N274" s="9" t="n"/>
      <c r="O274" s="9" t="n"/>
      <c r="P274" s="9" t="n"/>
    </row>
    <row r="275">
      <c r="A275" s="16" t="n"/>
      <c r="B275" s="16" t="n"/>
      <c r="C275" s="16" t="n"/>
      <c r="D275" s="16" t="n"/>
      <c r="E275" s="16" t="n"/>
      <c r="F275" s="19" t="n"/>
      <c r="G275" s="16" t="n"/>
      <c r="H275" s="19" t="n"/>
      <c r="I275" s="19" t="n"/>
      <c r="J275" s="20">
        <f>IF(OR(I275="",K275&lt;&gt;"Yes"),"",I275-MINIFS($I$6:$I$500,$K$6:$K$500,"Yes"))</f>
        <v/>
      </c>
      <c r="K275" s="16" t="n"/>
      <c r="L275" s="16" t="n"/>
      <c r="M275" s="16" t="n"/>
      <c r="N275" s="9" t="n"/>
      <c r="O275" s="9" t="n"/>
      <c r="P275" s="9" t="n"/>
    </row>
    <row r="276">
      <c r="A276" s="16" t="n"/>
      <c r="B276" s="16" t="n"/>
      <c r="C276" s="16" t="n"/>
      <c r="D276" s="16" t="n"/>
      <c r="E276" s="16" t="n"/>
      <c r="F276" s="19" t="n"/>
      <c r="G276" s="16" t="n"/>
      <c r="H276" s="19" t="n"/>
      <c r="I276" s="19" t="n"/>
      <c r="J276" s="20">
        <f>IF(OR(I276="",K276&lt;&gt;"Yes"),"",I276-MINIFS($I$6:$I$500,$K$6:$K$500,"Yes"))</f>
        <v/>
      </c>
      <c r="K276" s="16" t="n"/>
      <c r="L276" s="16" t="n"/>
      <c r="M276" s="16" t="n"/>
      <c r="N276" s="9" t="n"/>
      <c r="O276" s="9" t="n"/>
      <c r="P276" s="9" t="n"/>
    </row>
    <row r="277">
      <c r="A277" s="16" t="n"/>
      <c r="B277" s="16" t="n"/>
      <c r="C277" s="16" t="n"/>
      <c r="D277" s="16" t="n"/>
      <c r="E277" s="16" t="n"/>
      <c r="F277" s="19" t="n"/>
      <c r="G277" s="16" t="n"/>
      <c r="H277" s="19" t="n"/>
      <c r="I277" s="19" t="n"/>
      <c r="J277" s="20">
        <f>IF(OR(I277="",K277&lt;&gt;"Yes"),"",I277-MINIFS($I$6:$I$500,$K$6:$K$500,"Yes"))</f>
        <v/>
      </c>
      <c r="K277" s="16" t="n"/>
      <c r="L277" s="16" t="n"/>
      <c r="M277" s="16" t="n"/>
      <c r="N277" s="9" t="n"/>
      <c r="O277" s="9" t="n"/>
      <c r="P277" s="9" t="n"/>
    </row>
    <row r="278">
      <c r="A278" s="16" t="n"/>
      <c r="B278" s="16" t="n"/>
      <c r="C278" s="16" t="n"/>
      <c r="D278" s="16" t="n"/>
      <c r="E278" s="16" t="n"/>
      <c r="F278" s="19" t="n"/>
      <c r="G278" s="16" t="n"/>
      <c r="H278" s="19" t="n"/>
      <c r="I278" s="19" t="n"/>
      <c r="J278" s="20">
        <f>IF(OR(I278="",K278&lt;&gt;"Yes"),"",I278-MINIFS($I$6:$I$500,$K$6:$K$500,"Yes"))</f>
        <v/>
      </c>
      <c r="K278" s="16" t="n"/>
      <c r="L278" s="16" t="n"/>
      <c r="M278" s="16" t="n"/>
      <c r="N278" s="9" t="n"/>
      <c r="O278" s="9" t="n"/>
      <c r="P278" s="9" t="n"/>
    </row>
    <row r="279">
      <c r="A279" s="16" t="n"/>
      <c r="B279" s="16" t="n"/>
      <c r="C279" s="16" t="n"/>
      <c r="D279" s="16" t="n"/>
      <c r="E279" s="16" t="n"/>
      <c r="F279" s="19" t="n"/>
      <c r="G279" s="16" t="n"/>
      <c r="H279" s="19" t="n"/>
      <c r="I279" s="19" t="n"/>
      <c r="J279" s="20">
        <f>IF(OR(I279="",K279&lt;&gt;"Yes"),"",I279-MINIFS($I$6:$I$500,$K$6:$K$500,"Yes"))</f>
        <v/>
      </c>
      <c r="K279" s="16" t="n"/>
      <c r="L279" s="16" t="n"/>
      <c r="M279" s="16" t="n"/>
      <c r="N279" s="9" t="n"/>
      <c r="O279" s="9" t="n"/>
      <c r="P279" s="9" t="n"/>
    </row>
    <row r="280">
      <c r="A280" s="16" t="n"/>
      <c r="B280" s="16" t="n"/>
      <c r="C280" s="16" t="n"/>
      <c r="D280" s="16" t="n"/>
      <c r="E280" s="16" t="n"/>
      <c r="F280" s="19" t="n"/>
      <c r="G280" s="16" t="n"/>
      <c r="H280" s="19" t="n"/>
      <c r="I280" s="19" t="n"/>
      <c r="J280" s="20">
        <f>IF(OR(I280="",K280&lt;&gt;"Yes"),"",I280-MINIFS($I$6:$I$500,$K$6:$K$500,"Yes"))</f>
        <v/>
      </c>
      <c r="K280" s="16" t="n"/>
      <c r="L280" s="16" t="n"/>
      <c r="M280" s="16" t="n"/>
      <c r="N280" s="9" t="n"/>
      <c r="O280" s="9" t="n"/>
      <c r="P280" s="9" t="n"/>
    </row>
    <row r="281">
      <c r="A281" s="16" t="n"/>
      <c r="B281" s="16" t="n"/>
      <c r="C281" s="16" t="n"/>
      <c r="D281" s="16" t="n"/>
      <c r="E281" s="16" t="n"/>
      <c r="F281" s="19" t="n"/>
      <c r="G281" s="16" t="n"/>
      <c r="H281" s="19" t="n"/>
      <c r="I281" s="19" t="n"/>
      <c r="J281" s="20">
        <f>IF(OR(I281="",K281&lt;&gt;"Yes"),"",I281-MINIFS($I$6:$I$500,$K$6:$K$500,"Yes"))</f>
        <v/>
      </c>
      <c r="K281" s="16" t="n"/>
      <c r="L281" s="16" t="n"/>
      <c r="M281" s="16" t="n"/>
      <c r="N281" s="9" t="n"/>
      <c r="O281" s="9" t="n"/>
      <c r="P281" s="9" t="n"/>
    </row>
    <row r="282">
      <c r="A282" s="16" t="n"/>
      <c r="B282" s="16" t="n"/>
      <c r="C282" s="16" t="n"/>
      <c r="D282" s="16" t="n"/>
      <c r="E282" s="16" t="n"/>
      <c r="F282" s="19" t="n"/>
      <c r="G282" s="16" t="n"/>
      <c r="H282" s="19" t="n"/>
      <c r="I282" s="19" t="n"/>
      <c r="J282" s="20">
        <f>IF(OR(I282="",K282&lt;&gt;"Yes"),"",I282-MINIFS($I$6:$I$500,$K$6:$K$500,"Yes"))</f>
        <v/>
      </c>
      <c r="K282" s="16" t="n"/>
      <c r="L282" s="16" t="n"/>
      <c r="M282" s="16" t="n"/>
      <c r="N282" s="9" t="n"/>
      <c r="O282" s="9" t="n"/>
      <c r="P282" s="9" t="n"/>
    </row>
    <row r="283">
      <c r="A283" s="16" t="n"/>
      <c r="B283" s="16" t="n"/>
      <c r="C283" s="16" t="n"/>
      <c r="D283" s="16" t="n"/>
      <c r="E283" s="16" t="n"/>
      <c r="F283" s="19" t="n"/>
      <c r="G283" s="16" t="n"/>
      <c r="H283" s="19" t="n"/>
      <c r="I283" s="19" t="n"/>
      <c r="J283" s="20">
        <f>IF(OR(I283="",K283&lt;&gt;"Yes"),"",I283-MINIFS($I$6:$I$500,$K$6:$K$500,"Yes"))</f>
        <v/>
      </c>
      <c r="K283" s="16" t="n"/>
      <c r="L283" s="16" t="n"/>
      <c r="M283" s="16" t="n"/>
      <c r="N283" s="9" t="n"/>
      <c r="O283" s="9" t="n"/>
      <c r="P283" s="9" t="n"/>
    </row>
    <row r="284">
      <c r="A284" s="16" t="n"/>
      <c r="B284" s="16" t="n"/>
      <c r="C284" s="16" t="n"/>
      <c r="D284" s="16" t="n"/>
      <c r="E284" s="16" t="n"/>
      <c r="F284" s="19" t="n"/>
      <c r="G284" s="16" t="n"/>
      <c r="H284" s="19" t="n"/>
      <c r="I284" s="19" t="n"/>
      <c r="J284" s="20">
        <f>IF(OR(I284="",K284&lt;&gt;"Yes"),"",I284-MINIFS($I$6:$I$500,$K$6:$K$500,"Yes"))</f>
        <v/>
      </c>
      <c r="K284" s="16" t="n"/>
      <c r="L284" s="16" t="n"/>
      <c r="M284" s="16" t="n"/>
      <c r="N284" s="9" t="n"/>
      <c r="O284" s="9" t="n"/>
      <c r="P284" s="9" t="n"/>
    </row>
    <row r="285">
      <c r="A285" s="16" t="n"/>
      <c r="B285" s="16" t="n"/>
      <c r="C285" s="16" t="n"/>
      <c r="D285" s="16" t="n"/>
      <c r="E285" s="16" t="n"/>
      <c r="F285" s="19" t="n"/>
      <c r="G285" s="16" t="n"/>
      <c r="H285" s="19" t="n"/>
      <c r="I285" s="19" t="n"/>
      <c r="J285" s="20">
        <f>IF(OR(I285="",K285&lt;&gt;"Yes"),"",I285-MINIFS($I$6:$I$500,$K$6:$K$500,"Yes"))</f>
        <v/>
      </c>
      <c r="K285" s="16" t="n"/>
      <c r="L285" s="16" t="n"/>
      <c r="M285" s="16" t="n"/>
      <c r="N285" s="9" t="n"/>
      <c r="O285" s="9" t="n"/>
      <c r="P285" s="9" t="n"/>
    </row>
    <row r="286">
      <c r="A286" s="16" t="n"/>
      <c r="B286" s="16" t="n"/>
      <c r="C286" s="16" t="n"/>
      <c r="D286" s="16" t="n"/>
      <c r="E286" s="16" t="n"/>
      <c r="F286" s="19" t="n"/>
      <c r="G286" s="16" t="n"/>
      <c r="H286" s="19" t="n"/>
      <c r="I286" s="19" t="n"/>
      <c r="J286" s="20">
        <f>IF(OR(I286="",K286&lt;&gt;"Yes"),"",I286-MINIFS($I$6:$I$500,$K$6:$K$500,"Yes"))</f>
        <v/>
      </c>
      <c r="K286" s="16" t="n"/>
      <c r="L286" s="16" t="n"/>
      <c r="M286" s="16" t="n"/>
      <c r="N286" s="9" t="n"/>
      <c r="O286" s="9" t="n"/>
      <c r="P286" s="9" t="n"/>
    </row>
    <row r="287">
      <c r="A287" s="16" t="n"/>
      <c r="B287" s="16" t="n"/>
      <c r="C287" s="16" t="n"/>
      <c r="D287" s="16" t="n"/>
      <c r="E287" s="16" t="n"/>
      <c r="F287" s="19" t="n"/>
      <c r="G287" s="16" t="n"/>
      <c r="H287" s="19" t="n"/>
      <c r="I287" s="19" t="n"/>
      <c r="J287" s="20">
        <f>IF(OR(I287="",K287&lt;&gt;"Yes"),"",I287-MINIFS($I$6:$I$500,$K$6:$K$500,"Yes"))</f>
        <v/>
      </c>
      <c r="K287" s="16" t="n"/>
      <c r="L287" s="16" t="n"/>
      <c r="M287" s="16" t="n"/>
      <c r="N287" s="9" t="n"/>
      <c r="O287" s="9" t="n"/>
      <c r="P287" s="9" t="n"/>
    </row>
    <row r="288">
      <c r="A288" s="16" t="n"/>
      <c r="B288" s="16" t="n"/>
      <c r="C288" s="16" t="n"/>
      <c r="D288" s="16" t="n"/>
      <c r="E288" s="16" t="n"/>
      <c r="F288" s="19" t="n"/>
      <c r="G288" s="16" t="n"/>
      <c r="H288" s="19" t="n"/>
      <c r="I288" s="19" t="n"/>
      <c r="J288" s="20">
        <f>IF(OR(I288="",K288&lt;&gt;"Yes"),"",I288-MINIFS($I$6:$I$500,$K$6:$K$500,"Yes"))</f>
        <v/>
      </c>
      <c r="K288" s="16" t="n"/>
      <c r="L288" s="16" t="n"/>
      <c r="M288" s="16" t="n"/>
      <c r="N288" s="9" t="n"/>
      <c r="O288" s="9" t="n"/>
      <c r="P288" s="9" t="n"/>
    </row>
    <row r="289">
      <c r="A289" s="16" t="n"/>
      <c r="B289" s="16" t="n"/>
      <c r="C289" s="16" t="n"/>
      <c r="D289" s="16" t="n"/>
      <c r="E289" s="16" t="n"/>
      <c r="F289" s="19" t="n"/>
      <c r="G289" s="16" t="n"/>
      <c r="H289" s="19" t="n"/>
      <c r="I289" s="19" t="n"/>
      <c r="J289" s="20">
        <f>IF(OR(I289="",K289&lt;&gt;"Yes"),"",I289-MINIFS($I$6:$I$500,$K$6:$K$500,"Yes"))</f>
        <v/>
      </c>
      <c r="K289" s="16" t="n"/>
      <c r="L289" s="16" t="n"/>
      <c r="M289" s="16" t="n"/>
      <c r="N289" s="9" t="n"/>
      <c r="O289" s="9" t="n"/>
      <c r="P289" s="9" t="n"/>
    </row>
    <row r="290">
      <c r="A290" s="16" t="n"/>
      <c r="B290" s="16" t="n"/>
      <c r="C290" s="16" t="n"/>
      <c r="D290" s="16" t="n"/>
      <c r="E290" s="16" t="n"/>
      <c r="F290" s="19" t="n"/>
      <c r="G290" s="16" t="n"/>
      <c r="H290" s="19" t="n"/>
      <c r="I290" s="19" t="n"/>
      <c r="J290" s="20">
        <f>IF(OR(I290="",K290&lt;&gt;"Yes"),"",I290-MINIFS($I$6:$I$500,$K$6:$K$500,"Yes"))</f>
        <v/>
      </c>
      <c r="K290" s="16" t="n"/>
      <c r="L290" s="16" t="n"/>
      <c r="M290" s="16" t="n"/>
      <c r="N290" s="9" t="n"/>
      <c r="O290" s="9" t="n"/>
      <c r="P290" s="9" t="n"/>
    </row>
    <row r="291">
      <c r="A291" s="16" t="n"/>
      <c r="B291" s="16" t="n"/>
      <c r="C291" s="16" t="n"/>
      <c r="D291" s="16" t="n"/>
      <c r="E291" s="16" t="n"/>
      <c r="F291" s="19" t="n"/>
      <c r="G291" s="16" t="n"/>
      <c r="H291" s="19" t="n"/>
      <c r="I291" s="19" t="n"/>
      <c r="J291" s="20">
        <f>IF(OR(I291="",K291&lt;&gt;"Yes"),"",I291-MINIFS($I$6:$I$500,$K$6:$K$500,"Yes"))</f>
        <v/>
      </c>
      <c r="K291" s="16" t="n"/>
      <c r="L291" s="16" t="n"/>
      <c r="M291" s="16" t="n"/>
      <c r="N291" s="9" t="n"/>
      <c r="O291" s="9" t="n"/>
      <c r="P291" s="9" t="n"/>
    </row>
    <row r="292">
      <c r="A292" s="16" t="n"/>
      <c r="B292" s="16" t="n"/>
      <c r="C292" s="16" t="n"/>
      <c r="D292" s="16" t="n"/>
      <c r="E292" s="16" t="n"/>
      <c r="F292" s="19" t="n"/>
      <c r="G292" s="16" t="n"/>
      <c r="H292" s="19" t="n"/>
      <c r="I292" s="19" t="n"/>
      <c r="J292" s="20">
        <f>IF(OR(I292="",K292&lt;&gt;"Yes"),"",I292-MINIFS($I$6:$I$500,$K$6:$K$500,"Yes"))</f>
        <v/>
      </c>
      <c r="K292" s="16" t="n"/>
      <c r="L292" s="16" t="n"/>
      <c r="M292" s="16" t="n"/>
      <c r="N292" s="9" t="n"/>
      <c r="O292" s="9" t="n"/>
      <c r="P292" s="9" t="n"/>
    </row>
    <row r="293">
      <c r="A293" s="16" t="n"/>
      <c r="B293" s="16" t="n"/>
      <c r="C293" s="16" t="n"/>
      <c r="D293" s="16" t="n"/>
      <c r="E293" s="16" t="n"/>
      <c r="F293" s="19" t="n"/>
      <c r="G293" s="16" t="n"/>
      <c r="H293" s="19" t="n"/>
      <c r="I293" s="19" t="n"/>
      <c r="J293" s="20">
        <f>IF(OR(I293="",K293&lt;&gt;"Yes"),"",I293-MINIFS($I$6:$I$500,$K$6:$K$500,"Yes"))</f>
        <v/>
      </c>
      <c r="K293" s="16" t="n"/>
      <c r="L293" s="16" t="n"/>
      <c r="M293" s="16" t="n"/>
      <c r="N293" s="9" t="n"/>
      <c r="O293" s="9" t="n"/>
      <c r="P293" s="9" t="n"/>
    </row>
    <row r="294">
      <c r="A294" s="16" t="n"/>
      <c r="B294" s="16" t="n"/>
      <c r="C294" s="16" t="n"/>
      <c r="D294" s="16" t="n"/>
      <c r="E294" s="16" t="n"/>
      <c r="F294" s="19" t="n"/>
      <c r="G294" s="16" t="n"/>
      <c r="H294" s="19" t="n"/>
      <c r="I294" s="19" t="n"/>
      <c r="J294" s="20">
        <f>IF(OR(I294="",K294&lt;&gt;"Yes"),"",I294-MINIFS($I$6:$I$500,$K$6:$K$500,"Yes"))</f>
        <v/>
      </c>
      <c r="K294" s="16" t="n"/>
      <c r="L294" s="16" t="n"/>
      <c r="M294" s="16" t="n"/>
      <c r="N294" s="9" t="n"/>
      <c r="O294" s="9" t="n"/>
      <c r="P294" s="9" t="n"/>
    </row>
    <row r="295">
      <c r="A295" s="16" t="n"/>
      <c r="B295" s="16" t="n"/>
      <c r="C295" s="16" t="n"/>
      <c r="D295" s="16" t="n"/>
      <c r="E295" s="16" t="n"/>
      <c r="F295" s="19" t="n"/>
      <c r="G295" s="16" t="n"/>
      <c r="H295" s="19" t="n"/>
      <c r="I295" s="19" t="n"/>
      <c r="J295" s="20">
        <f>IF(OR(I295="",K295&lt;&gt;"Yes"),"",I295-MINIFS($I$6:$I$500,$K$6:$K$500,"Yes"))</f>
        <v/>
      </c>
      <c r="K295" s="16" t="n"/>
      <c r="L295" s="16" t="n"/>
      <c r="M295" s="16" t="n"/>
      <c r="N295" s="9" t="n"/>
      <c r="O295" s="9" t="n"/>
      <c r="P295" s="9" t="n"/>
    </row>
    <row r="296">
      <c r="A296" s="16" t="n"/>
      <c r="B296" s="16" t="n"/>
      <c r="C296" s="16" t="n"/>
      <c r="D296" s="16" t="n"/>
      <c r="E296" s="16" t="n"/>
      <c r="F296" s="19" t="n"/>
      <c r="G296" s="16" t="n"/>
      <c r="H296" s="19" t="n"/>
      <c r="I296" s="19" t="n"/>
      <c r="J296" s="20">
        <f>IF(OR(I296="",K296&lt;&gt;"Yes"),"",I296-MINIFS($I$6:$I$500,$K$6:$K$500,"Yes"))</f>
        <v/>
      </c>
      <c r="K296" s="16" t="n"/>
      <c r="L296" s="16" t="n"/>
      <c r="M296" s="16" t="n"/>
      <c r="N296" s="9" t="n"/>
      <c r="O296" s="9" t="n"/>
      <c r="P296" s="9" t="n"/>
    </row>
    <row r="297">
      <c r="A297" s="16" t="n"/>
      <c r="B297" s="16" t="n"/>
      <c r="C297" s="16" t="n"/>
      <c r="D297" s="16" t="n"/>
      <c r="E297" s="16" t="n"/>
      <c r="F297" s="19" t="n"/>
      <c r="G297" s="16" t="n"/>
      <c r="H297" s="19" t="n"/>
      <c r="I297" s="19" t="n"/>
      <c r="J297" s="20">
        <f>IF(OR(I297="",K297&lt;&gt;"Yes"),"",I297-MINIFS($I$6:$I$500,$K$6:$K$500,"Yes"))</f>
        <v/>
      </c>
      <c r="K297" s="16" t="n"/>
      <c r="L297" s="16" t="n"/>
      <c r="M297" s="16" t="n"/>
      <c r="N297" s="9" t="n"/>
      <c r="O297" s="9" t="n"/>
      <c r="P297" s="9" t="n"/>
    </row>
    <row r="298">
      <c r="A298" s="16" t="n"/>
      <c r="B298" s="16" t="n"/>
      <c r="C298" s="16" t="n"/>
      <c r="D298" s="16" t="n"/>
      <c r="E298" s="16" t="n"/>
      <c r="F298" s="19" t="n"/>
      <c r="G298" s="16" t="n"/>
      <c r="H298" s="19" t="n"/>
      <c r="I298" s="19" t="n"/>
      <c r="J298" s="20">
        <f>IF(OR(I298="",K298&lt;&gt;"Yes"),"",I298-MINIFS($I$6:$I$500,$K$6:$K$500,"Yes"))</f>
        <v/>
      </c>
      <c r="K298" s="16" t="n"/>
      <c r="L298" s="16" t="n"/>
      <c r="M298" s="16" t="n"/>
      <c r="N298" s="9" t="n"/>
      <c r="O298" s="9" t="n"/>
      <c r="P298" s="9" t="n"/>
    </row>
    <row r="299">
      <c r="A299" s="16" t="n"/>
      <c r="B299" s="16" t="n"/>
      <c r="C299" s="16" t="n"/>
      <c r="D299" s="16" t="n"/>
      <c r="E299" s="16" t="n"/>
      <c r="F299" s="19" t="n"/>
      <c r="G299" s="16" t="n"/>
      <c r="H299" s="19" t="n"/>
      <c r="I299" s="19" t="n"/>
      <c r="J299" s="20">
        <f>IF(OR(I299="",K299&lt;&gt;"Yes"),"",I299-MINIFS($I$6:$I$500,$K$6:$K$500,"Yes"))</f>
        <v/>
      </c>
      <c r="K299" s="16" t="n"/>
      <c r="L299" s="16" t="n"/>
      <c r="M299" s="16" t="n"/>
      <c r="N299" s="9" t="n"/>
      <c r="O299" s="9" t="n"/>
      <c r="P299" s="9" t="n"/>
    </row>
    <row r="300">
      <c r="A300" s="16" t="n"/>
      <c r="B300" s="16" t="n"/>
      <c r="C300" s="16" t="n"/>
      <c r="D300" s="16" t="n"/>
      <c r="E300" s="16" t="n"/>
      <c r="F300" s="19" t="n"/>
      <c r="G300" s="16" t="n"/>
      <c r="H300" s="19" t="n"/>
      <c r="I300" s="19" t="n"/>
      <c r="J300" s="20">
        <f>IF(OR(I300="",K300&lt;&gt;"Yes"),"",I300-MINIFS($I$6:$I$500,$K$6:$K$500,"Yes"))</f>
        <v/>
      </c>
      <c r="K300" s="16" t="n"/>
      <c r="L300" s="16" t="n"/>
      <c r="M300" s="16" t="n"/>
      <c r="N300" s="9" t="n"/>
      <c r="O300" s="9" t="n"/>
      <c r="P300" s="9" t="n"/>
    </row>
    <row r="301">
      <c r="A301" s="16" t="n"/>
      <c r="B301" s="16" t="n"/>
      <c r="C301" s="16" t="n"/>
      <c r="D301" s="16" t="n"/>
      <c r="E301" s="16" t="n"/>
      <c r="F301" s="19" t="n"/>
      <c r="G301" s="16" t="n"/>
      <c r="H301" s="19" t="n"/>
      <c r="I301" s="19" t="n"/>
      <c r="J301" s="20">
        <f>IF(OR(I301="",K301&lt;&gt;"Yes"),"",I301-MINIFS($I$6:$I$500,$K$6:$K$500,"Yes"))</f>
        <v/>
      </c>
      <c r="K301" s="16" t="n"/>
      <c r="L301" s="16" t="n"/>
      <c r="M301" s="16" t="n"/>
      <c r="N301" s="9" t="n"/>
      <c r="O301" s="9" t="n"/>
      <c r="P301" s="9" t="n"/>
    </row>
    <row r="302">
      <c r="A302" s="16" t="n"/>
      <c r="B302" s="16" t="n"/>
      <c r="C302" s="16" t="n"/>
      <c r="D302" s="16" t="n"/>
      <c r="E302" s="16" t="n"/>
      <c r="F302" s="19" t="n"/>
      <c r="G302" s="16" t="n"/>
      <c r="H302" s="19" t="n"/>
      <c r="I302" s="19" t="n"/>
      <c r="J302" s="20">
        <f>IF(OR(I302="",K302&lt;&gt;"Yes"),"",I302-MINIFS($I$6:$I$500,$K$6:$K$500,"Yes"))</f>
        <v/>
      </c>
      <c r="K302" s="16" t="n"/>
      <c r="L302" s="16" t="n"/>
      <c r="M302" s="16" t="n"/>
      <c r="N302" s="9" t="n"/>
      <c r="O302" s="9" t="n"/>
      <c r="P302" s="9" t="n"/>
    </row>
    <row r="303">
      <c r="A303" s="16" t="n"/>
      <c r="B303" s="16" t="n"/>
      <c r="C303" s="16" t="n"/>
      <c r="D303" s="16" t="n"/>
      <c r="E303" s="16" t="n"/>
      <c r="F303" s="19" t="n"/>
      <c r="G303" s="16" t="n"/>
      <c r="H303" s="19" t="n"/>
      <c r="I303" s="19" t="n"/>
      <c r="J303" s="20">
        <f>IF(OR(I303="",K303&lt;&gt;"Yes"),"",I303-MINIFS($I$6:$I$500,$K$6:$K$500,"Yes"))</f>
        <v/>
      </c>
      <c r="K303" s="16" t="n"/>
      <c r="L303" s="16" t="n"/>
      <c r="M303" s="16" t="n"/>
      <c r="N303" s="9" t="n"/>
      <c r="O303" s="9" t="n"/>
      <c r="P303" s="9" t="n"/>
    </row>
    <row r="304">
      <c r="A304" s="16" t="n"/>
      <c r="B304" s="16" t="n"/>
      <c r="C304" s="16" t="n"/>
      <c r="D304" s="16" t="n"/>
      <c r="E304" s="16" t="n"/>
      <c r="F304" s="19" t="n"/>
      <c r="G304" s="16" t="n"/>
      <c r="H304" s="19" t="n"/>
      <c r="I304" s="19" t="n"/>
      <c r="J304" s="20">
        <f>IF(OR(I304="",K304&lt;&gt;"Yes"),"",I304-MINIFS($I$6:$I$500,$K$6:$K$500,"Yes"))</f>
        <v/>
      </c>
      <c r="K304" s="16" t="n"/>
      <c r="L304" s="16" t="n"/>
      <c r="M304" s="16" t="n"/>
      <c r="N304" s="9" t="n"/>
      <c r="O304" s="9" t="n"/>
      <c r="P304" s="9" t="n"/>
    </row>
    <row r="305">
      <c r="A305" s="16" t="n"/>
      <c r="B305" s="16" t="n"/>
      <c r="C305" s="16" t="n"/>
      <c r="D305" s="16" t="n"/>
      <c r="E305" s="16" t="n"/>
      <c r="F305" s="19" t="n"/>
      <c r="G305" s="16" t="n"/>
      <c r="H305" s="19" t="n"/>
      <c r="I305" s="19" t="n"/>
      <c r="J305" s="20">
        <f>IF(OR(I305="",K305&lt;&gt;"Yes"),"",I305-MINIFS($I$6:$I$500,$K$6:$K$500,"Yes"))</f>
        <v/>
      </c>
      <c r="K305" s="16" t="n"/>
      <c r="L305" s="16" t="n"/>
      <c r="M305" s="16" t="n"/>
      <c r="N305" s="9" t="n"/>
      <c r="O305" s="9" t="n"/>
      <c r="P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P305"/>
  <mergeCells count="1">
    <mergeCell ref="A2:P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3864"/>
    <outlinePr summaryBelow="1" summaryRight="1"/>
    <pageSetUpPr/>
  </sheetPr>
  <dimension ref="A1:M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4" customWidth="1" min="4" max="4"/>
    <col width="18" customWidth="1" min="5" max="5"/>
    <col width="28" customWidth="1" min="6" max="6"/>
    <col width="26" customWidth="1" min="7" max="7"/>
    <col width="14" customWidth="1" min="8" max="8"/>
    <col width="40" customWidth="1" min="9" max="9"/>
    <col width="14" customWidth="1" min="10" max="10"/>
    <col width="12" customWidth="1" min="11" max="11"/>
    <col width="36" customWidth="1" min="12" max="12"/>
    <col width="12" customWidth="1" min="13" max="13"/>
  </cols>
  <sheetData>
    <row r="1">
      <c r="A1" s="4" t="inlineStr">
        <is>
          <t>Client Clarification Register</t>
        </is>
      </c>
    </row>
    <row r="2" ht="48" customHeight="1">
      <c r="A2" s="3" t="inlineStr">
        <is>
          <t>Clarifications are raised OPEN. A clarification is only resolved by a human with the client response and supporting evidence; AI suggestions are drafts.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question</t>
        </is>
      </c>
      <c r="C4" t="inlineStr">
        <is>
          <t>trade</t>
        </is>
      </c>
      <c r="D4" t="inlineStr">
        <is>
          <t>boq_item_key</t>
        </is>
      </c>
      <c r="E4" t="inlineStr">
        <is>
          <t>doc_ref</t>
        </is>
      </c>
      <c r="F4" t="inlineStr">
        <is>
          <t>reason</t>
        </is>
      </c>
      <c r="G4" t="inlineStr">
        <is>
          <t>commercial_impact</t>
        </is>
      </c>
      <c r="H4" t="inlineStr">
        <is>
          <t>cost_exposure</t>
        </is>
      </c>
      <c r="I4" t="inlineStr">
        <is>
          <t>proposed_wording</t>
        </is>
      </c>
      <c r="J4" t="inlineStr">
        <is>
          <t>owner</t>
        </is>
      </c>
      <c r="K4" t="inlineStr">
        <is>
          <t>status</t>
        </is>
      </c>
      <c r="L4" t="inlineStr">
        <is>
          <t>client_response</t>
        </is>
      </c>
      <c r="M4" t="inlineStr">
        <is>
          <t>resolution_date</t>
        </is>
      </c>
    </row>
    <row r="5" ht="34" customHeight="1">
      <c r="A5" s="15" t="inlineStr">
        <is>
          <t>ID</t>
        </is>
      </c>
      <c r="B5" s="15" t="inlineStr">
        <is>
          <t>Question</t>
        </is>
      </c>
      <c r="C5" s="15" t="inlineStr">
        <is>
          <t>Trade</t>
        </is>
      </c>
      <c r="D5" s="15" t="inlineStr">
        <is>
          <t>Related BOQ item</t>
        </is>
      </c>
      <c r="E5" s="15" t="inlineStr">
        <is>
          <t>Drawing / spec ref</t>
        </is>
      </c>
      <c r="F5" s="15" t="inlineStr">
        <is>
          <t>Reason</t>
        </is>
      </c>
      <c r="G5" s="15" t="inlineStr">
        <is>
          <t>Commercial impact</t>
        </is>
      </c>
      <c r="H5" s="15" t="inlineStr">
        <is>
          <t>Cost exposure (SAR)</t>
        </is>
      </c>
      <c r="I5" s="15" t="inlineStr">
        <is>
          <t>Proposed wording</t>
        </is>
      </c>
      <c r="J5" s="15" t="inlineStr">
        <is>
          <t>Owner</t>
        </is>
      </c>
      <c r="K5" s="15" t="inlineStr">
        <is>
          <t>Status</t>
        </is>
      </c>
      <c r="L5" s="15" t="inlineStr">
        <is>
          <t>Client response</t>
        </is>
      </c>
      <c r="M5" s="15" t="inlineStr">
        <is>
          <t>Resolution date</t>
        </is>
      </c>
    </row>
    <row r="6">
      <c r="A6" s="16" t="n"/>
      <c r="B6" s="10" t="n"/>
      <c r="C6" s="17" t="n"/>
      <c r="D6" s="17" t="n"/>
      <c r="E6" s="17" t="n"/>
      <c r="F6" s="10" t="n"/>
      <c r="G6" s="10" t="n"/>
      <c r="H6" s="24" t="n"/>
      <c r="I6" s="10" t="n"/>
      <c r="J6" s="17" t="n"/>
      <c r="K6" s="16" t="n"/>
      <c r="L6" s="9" t="n"/>
      <c r="M6" s="26" t="n"/>
    </row>
    <row r="7">
      <c r="A7" s="16" t="n"/>
      <c r="B7" s="10" t="n"/>
      <c r="C7" s="17" t="n"/>
      <c r="D7" s="17" t="n"/>
      <c r="E7" s="17" t="n"/>
      <c r="F7" s="10" t="n"/>
      <c r="G7" s="10" t="n"/>
      <c r="H7" s="24" t="n"/>
      <c r="I7" s="10" t="n"/>
      <c r="J7" s="17" t="n"/>
      <c r="K7" s="16" t="n"/>
      <c r="L7" s="9" t="n"/>
      <c r="M7" s="26" t="n"/>
    </row>
    <row r="8">
      <c r="A8" s="16" t="n"/>
      <c r="B8" s="10" t="n"/>
      <c r="C8" s="17" t="n"/>
      <c r="D8" s="17" t="n"/>
      <c r="E8" s="17" t="n"/>
      <c r="F8" s="10" t="n"/>
      <c r="G8" s="10" t="n"/>
      <c r="H8" s="24" t="n"/>
      <c r="I8" s="10" t="n"/>
      <c r="J8" s="17" t="n"/>
      <c r="K8" s="16" t="n"/>
      <c r="L8" s="9" t="n"/>
      <c r="M8" s="26" t="n"/>
    </row>
    <row r="9">
      <c r="A9" s="16" t="n"/>
      <c r="B9" s="10" t="n"/>
      <c r="C9" s="17" t="n"/>
      <c r="D9" s="17" t="n"/>
      <c r="E9" s="17" t="n"/>
      <c r="F9" s="10" t="n"/>
      <c r="G9" s="10" t="n"/>
      <c r="H9" s="24" t="n"/>
      <c r="I9" s="10" t="n"/>
      <c r="J9" s="17" t="n"/>
      <c r="K9" s="16" t="n"/>
      <c r="L9" s="9" t="n"/>
      <c r="M9" s="26" t="n"/>
    </row>
    <row r="10">
      <c r="A10" s="16" t="n"/>
      <c r="B10" s="10" t="n"/>
      <c r="C10" s="17" t="n"/>
      <c r="D10" s="17" t="n"/>
      <c r="E10" s="17" t="n"/>
      <c r="F10" s="10" t="n"/>
      <c r="G10" s="10" t="n"/>
      <c r="H10" s="24" t="n"/>
      <c r="I10" s="10" t="n"/>
      <c r="J10" s="17" t="n"/>
      <c r="K10" s="16" t="n"/>
      <c r="L10" s="9" t="n"/>
      <c r="M10" s="26" t="n"/>
    </row>
    <row r="11">
      <c r="A11" s="16" t="n"/>
      <c r="B11" s="10" t="n"/>
      <c r="C11" s="17" t="n"/>
      <c r="D11" s="17" t="n"/>
      <c r="E11" s="17" t="n"/>
      <c r="F11" s="10" t="n"/>
      <c r="G11" s="10" t="n"/>
      <c r="H11" s="24" t="n"/>
      <c r="I11" s="10" t="n"/>
      <c r="J11" s="17" t="n"/>
      <c r="K11" s="16" t="n"/>
      <c r="L11" s="9" t="n"/>
      <c r="M11" s="26" t="n"/>
    </row>
    <row r="12">
      <c r="A12" s="16" t="n"/>
      <c r="B12" s="10" t="n"/>
      <c r="C12" s="17" t="n"/>
      <c r="D12" s="17" t="n"/>
      <c r="E12" s="17" t="n"/>
      <c r="F12" s="10" t="n"/>
      <c r="G12" s="10" t="n"/>
      <c r="H12" s="24" t="n"/>
      <c r="I12" s="10" t="n"/>
      <c r="J12" s="17" t="n"/>
      <c r="K12" s="16" t="n"/>
      <c r="L12" s="9" t="n"/>
      <c r="M12" s="26" t="n"/>
    </row>
    <row r="13">
      <c r="A13" s="16" t="n"/>
      <c r="B13" s="10" t="n"/>
      <c r="C13" s="17" t="n"/>
      <c r="D13" s="17" t="n"/>
      <c r="E13" s="17" t="n"/>
      <c r="F13" s="10" t="n"/>
      <c r="G13" s="10" t="n"/>
      <c r="H13" s="24" t="n"/>
      <c r="I13" s="10" t="n"/>
      <c r="J13" s="17" t="n"/>
      <c r="K13" s="16" t="n"/>
      <c r="L13" s="9" t="n"/>
      <c r="M13" s="26" t="n"/>
    </row>
    <row r="14">
      <c r="A14" s="16" t="n"/>
      <c r="B14" s="10" t="n"/>
      <c r="C14" s="17" t="n"/>
      <c r="D14" s="17" t="n"/>
      <c r="E14" s="17" t="n"/>
      <c r="F14" s="10" t="n"/>
      <c r="G14" s="10" t="n"/>
      <c r="H14" s="24" t="n"/>
      <c r="I14" s="10" t="n"/>
      <c r="J14" s="17" t="n"/>
      <c r="K14" s="16" t="n"/>
      <c r="L14" s="9" t="n"/>
      <c r="M14" s="26" t="n"/>
    </row>
    <row r="15">
      <c r="A15" s="16" t="n"/>
      <c r="B15" s="10" t="n"/>
      <c r="C15" s="17" t="n"/>
      <c r="D15" s="17" t="n"/>
      <c r="E15" s="17" t="n"/>
      <c r="F15" s="10" t="n"/>
      <c r="G15" s="10" t="n"/>
      <c r="H15" s="24" t="n"/>
      <c r="I15" s="10" t="n"/>
      <c r="J15" s="17" t="n"/>
      <c r="K15" s="16" t="n"/>
      <c r="L15" s="9" t="n"/>
      <c r="M15" s="26" t="n"/>
    </row>
    <row r="16">
      <c r="A16" s="16" t="n"/>
      <c r="B16" s="10" t="n"/>
      <c r="C16" s="17" t="n"/>
      <c r="D16" s="17" t="n"/>
      <c r="E16" s="17" t="n"/>
      <c r="F16" s="10" t="n"/>
      <c r="G16" s="10" t="n"/>
      <c r="H16" s="24" t="n"/>
      <c r="I16" s="10" t="n"/>
      <c r="J16" s="17" t="n"/>
      <c r="K16" s="16" t="n"/>
      <c r="L16" s="9" t="n"/>
      <c r="M16" s="26" t="n"/>
    </row>
    <row r="17">
      <c r="A17" s="16" t="n"/>
      <c r="B17" s="10" t="n"/>
      <c r="C17" s="17" t="n"/>
      <c r="D17" s="17" t="n"/>
      <c r="E17" s="17" t="n"/>
      <c r="F17" s="10" t="n"/>
      <c r="G17" s="10" t="n"/>
      <c r="H17" s="24" t="n"/>
      <c r="I17" s="10" t="n"/>
      <c r="J17" s="17" t="n"/>
      <c r="K17" s="16" t="n"/>
      <c r="L17" s="9" t="n"/>
      <c r="M17" s="26" t="n"/>
    </row>
    <row r="18">
      <c r="A18" s="16" t="n"/>
      <c r="B18" s="10" t="n"/>
      <c r="C18" s="17" t="n"/>
      <c r="D18" s="17" t="n"/>
      <c r="E18" s="17" t="n"/>
      <c r="F18" s="10" t="n"/>
      <c r="G18" s="10" t="n"/>
      <c r="H18" s="24" t="n"/>
      <c r="I18" s="10" t="n"/>
      <c r="J18" s="17" t="n"/>
      <c r="K18" s="16" t="n"/>
      <c r="L18" s="9" t="n"/>
      <c r="M18" s="26" t="n"/>
    </row>
    <row r="19">
      <c r="A19" s="16" t="n"/>
      <c r="B19" s="10" t="n"/>
      <c r="C19" s="17" t="n"/>
      <c r="D19" s="17" t="n"/>
      <c r="E19" s="17" t="n"/>
      <c r="F19" s="10" t="n"/>
      <c r="G19" s="10" t="n"/>
      <c r="H19" s="24" t="n"/>
      <c r="I19" s="10" t="n"/>
      <c r="J19" s="17" t="n"/>
      <c r="K19" s="16" t="n"/>
      <c r="L19" s="9" t="n"/>
      <c r="M19" s="26" t="n"/>
    </row>
    <row r="20">
      <c r="A20" s="16" t="n"/>
      <c r="B20" s="10" t="n"/>
      <c r="C20" s="17" t="n"/>
      <c r="D20" s="17" t="n"/>
      <c r="E20" s="17" t="n"/>
      <c r="F20" s="10" t="n"/>
      <c r="G20" s="10" t="n"/>
      <c r="H20" s="24" t="n"/>
      <c r="I20" s="10" t="n"/>
      <c r="J20" s="17" t="n"/>
      <c r="K20" s="16" t="n"/>
      <c r="L20" s="9" t="n"/>
      <c r="M20" s="26" t="n"/>
    </row>
    <row r="21">
      <c r="A21" s="16" t="n"/>
      <c r="B21" s="10" t="n"/>
      <c r="C21" s="17" t="n"/>
      <c r="D21" s="17" t="n"/>
      <c r="E21" s="17" t="n"/>
      <c r="F21" s="10" t="n"/>
      <c r="G21" s="10" t="n"/>
      <c r="H21" s="24" t="n"/>
      <c r="I21" s="10" t="n"/>
      <c r="J21" s="17" t="n"/>
      <c r="K21" s="16" t="n"/>
      <c r="L21" s="9" t="n"/>
      <c r="M21" s="26" t="n"/>
    </row>
    <row r="22">
      <c r="A22" s="16" t="n"/>
      <c r="B22" s="10" t="n"/>
      <c r="C22" s="17" t="n"/>
      <c r="D22" s="17" t="n"/>
      <c r="E22" s="17" t="n"/>
      <c r="F22" s="10" t="n"/>
      <c r="G22" s="10" t="n"/>
      <c r="H22" s="24" t="n"/>
      <c r="I22" s="10" t="n"/>
      <c r="J22" s="17" t="n"/>
      <c r="K22" s="16" t="n"/>
      <c r="L22" s="9" t="n"/>
      <c r="M22" s="26" t="n"/>
    </row>
    <row r="23">
      <c r="A23" s="16" t="n"/>
      <c r="B23" s="10" t="n"/>
      <c r="C23" s="17" t="n"/>
      <c r="D23" s="17" t="n"/>
      <c r="E23" s="17" t="n"/>
      <c r="F23" s="10" t="n"/>
      <c r="G23" s="10" t="n"/>
      <c r="H23" s="24" t="n"/>
      <c r="I23" s="10" t="n"/>
      <c r="J23" s="17" t="n"/>
      <c r="K23" s="16" t="n"/>
      <c r="L23" s="9" t="n"/>
      <c r="M23" s="26" t="n"/>
    </row>
    <row r="24">
      <c r="A24" s="16" t="n"/>
      <c r="B24" s="10" t="n"/>
      <c r="C24" s="17" t="n"/>
      <c r="D24" s="17" t="n"/>
      <c r="E24" s="17" t="n"/>
      <c r="F24" s="10" t="n"/>
      <c r="G24" s="10" t="n"/>
      <c r="H24" s="24" t="n"/>
      <c r="I24" s="10" t="n"/>
      <c r="J24" s="17" t="n"/>
      <c r="K24" s="16" t="n"/>
      <c r="L24" s="9" t="n"/>
      <c r="M24" s="26" t="n"/>
    </row>
    <row r="25">
      <c r="A25" s="16" t="n"/>
      <c r="B25" s="10" t="n"/>
      <c r="C25" s="17" t="n"/>
      <c r="D25" s="17" t="n"/>
      <c r="E25" s="17" t="n"/>
      <c r="F25" s="10" t="n"/>
      <c r="G25" s="10" t="n"/>
      <c r="H25" s="24" t="n"/>
      <c r="I25" s="10" t="n"/>
      <c r="J25" s="17" t="n"/>
      <c r="K25" s="16" t="n"/>
      <c r="L25" s="9" t="n"/>
      <c r="M25" s="26" t="n"/>
    </row>
    <row r="26">
      <c r="A26" s="16" t="n"/>
      <c r="B26" s="10" t="n"/>
      <c r="C26" s="17" t="n"/>
      <c r="D26" s="17" t="n"/>
      <c r="E26" s="17" t="n"/>
      <c r="F26" s="10" t="n"/>
      <c r="G26" s="10" t="n"/>
      <c r="H26" s="24" t="n"/>
      <c r="I26" s="10" t="n"/>
      <c r="J26" s="17" t="n"/>
      <c r="K26" s="16" t="n"/>
      <c r="L26" s="9" t="n"/>
      <c r="M26" s="26" t="n"/>
    </row>
    <row r="27">
      <c r="A27" s="16" t="n"/>
      <c r="B27" s="10" t="n"/>
      <c r="C27" s="17" t="n"/>
      <c r="D27" s="17" t="n"/>
      <c r="E27" s="17" t="n"/>
      <c r="F27" s="10" t="n"/>
      <c r="G27" s="10" t="n"/>
      <c r="H27" s="24" t="n"/>
      <c r="I27" s="10" t="n"/>
      <c r="J27" s="17" t="n"/>
      <c r="K27" s="16" t="n"/>
      <c r="L27" s="9" t="n"/>
      <c r="M27" s="26" t="n"/>
    </row>
    <row r="28">
      <c r="A28" s="16" t="n"/>
      <c r="B28" s="10" t="n"/>
      <c r="C28" s="17" t="n"/>
      <c r="D28" s="17" t="n"/>
      <c r="E28" s="17" t="n"/>
      <c r="F28" s="10" t="n"/>
      <c r="G28" s="10" t="n"/>
      <c r="H28" s="24" t="n"/>
      <c r="I28" s="10" t="n"/>
      <c r="J28" s="17" t="n"/>
      <c r="K28" s="16" t="n"/>
      <c r="L28" s="9" t="n"/>
      <c r="M28" s="26" t="n"/>
    </row>
    <row r="29">
      <c r="A29" s="16" t="n"/>
      <c r="B29" s="10" t="n"/>
      <c r="C29" s="17" t="n"/>
      <c r="D29" s="17" t="n"/>
      <c r="E29" s="17" t="n"/>
      <c r="F29" s="10" t="n"/>
      <c r="G29" s="10" t="n"/>
      <c r="H29" s="24" t="n"/>
      <c r="I29" s="10" t="n"/>
      <c r="J29" s="17" t="n"/>
      <c r="K29" s="16" t="n"/>
      <c r="L29" s="9" t="n"/>
      <c r="M29" s="26" t="n"/>
    </row>
    <row r="30">
      <c r="A30" s="16" t="n"/>
      <c r="B30" s="10" t="n"/>
      <c r="C30" s="17" t="n"/>
      <c r="D30" s="17" t="n"/>
      <c r="E30" s="17" t="n"/>
      <c r="F30" s="10" t="n"/>
      <c r="G30" s="10" t="n"/>
      <c r="H30" s="24" t="n"/>
      <c r="I30" s="10" t="n"/>
      <c r="J30" s="17" t="n"/>
      <c r="K30" s="16" t="n"/>
      <c r="L30" s="9" t="n"/>
      <c r="M30" s="26" t="n"/>
    </row>
    <row r="31">
      <c r="A31" s="16" t="n"/>
      <c r="B31" s="10" t="n"/>
      <c r="C31" s="17" t="n"/>
      <c r="D31" s="17" t="n"/>
      <c r="E31" s="17" t="n"/>
      <c r="F31" s="10" t="n"/>
      <c r="G31" s="10" t="n"/>
      <c r="H31" s="24" t="n"/>
      <c r="I31" s="10" t="n"/>
      <c r="J31" s="17" t="n"/>
      <c r="K31" s="16" t="n"/>
      <c r="L31" s="9" t="n"/>
      <c r="M31" s="26" t="n"/>
    </row>
    <row r="32">
      <c r="A32" s="16" t="n"/>
      <c r="B32" s="10" t="n"/>
      <c r="C32" s="17" t="n"/>
      <c r="D32" s="17" t="n"/>
      <c r="E32" s="17" t="n"/>
      <c r="F32" s="10" t="n"/>
      <c r="G32" s="10" t="n"/>
      <c r="H32" s="24" t="n"/>
      <c r="I32" s="10" t="n"/>
      <c r="J32" s="17" t="n"/>
      <c r="K32" s="16" t="n"/>
      <c r="L32" s="9" t="n"/>
      <c r="M32" s="26" t="n"/>
    </row>
    <row r="33">
      <c r="A33" s="16" t="n"/>
      <c r="B33" s="10" t="n"/>
      <c r="C33" s="17" t="n"/>
      <c r="D33" s="17" t="n"/>
      <c r="E33" s="17" t="n"/>
      <c r="F33" s="10" t="n"/>
      <c r="G33" s="10" t="n"/>
      <c r="H33" s="24" t="n"/>
      <c r="I33" s="10" t="n"/>
      <c r="J33" s="17" t="n"/>
      <c r="K33" s="16" t="n"/>
      <c r="L33" s="9" t="n"/>
      <c r="M33" s="26" t="n"/>
    </row>
    <row r="34">
      <c r="A34" s="16" t="n"/>
      <c r="B34" s="10" t="n"/>
      <c r="C34" s="17" t="n"/>
      <c r="D34" s="17" t="n"/>
      <c r="E34" s="17" t="n"/>
      <c r="F34" s="10" t="n"/>
      <c r="G34" s="10" t="n"/>
      <c r="H34" s="24" t="n"/>
      <c r="I34" s="10" t="n"/>
      <c r="J34" s="17" t="n"/>
      <c r="K34" s="16" t="n"/>
      <c r="L34" s="9" t="n"/>
      <c r="M34" s="26" t="n"/>
    </row>
    <row r="35">
      <c r="A35" s="16" t="n"/>
      <c r="B35" s="10" t="n"/>
      <c r="C35" s="17" t="n"/>
      <c r="D35" s="17" t="n"/>
      <c r="E35" s="17" t="n"/>
      <c r="F35" s="10" t="n"/>
      <c r="G35" s="10" t="n"/>
      <c r="H35" s="24" t="n"/>
      <c r="I35" s="10" t="n"/>
      <c r="J35" s="17" t="n"/>
      <c r="K35" s="16" t="n"/>
      <c r="L35" s="9" t="n"/>
      <c r="M35" s="26" t="n"/>
    </row>
    <row r="36">
      <c r="A36" s="16" t="n"/>
      <c r="B36" s="10" t="n"/>
      <c r="C36" s="17" t="n"/>
      <c r="D36" s="17" t="n"/>
      <c r="E36" s="17" t="n"/>
      <c r="F36" s="10" t="n"/>
      <c r="G36" s="10" t="n"/>
      <c r="H36" s="24" t="n"/>
      <c r="I36" s="10" t="n"/>
      <c r="J36" s="17" t="n"/>
      <c r="K36" s="16" t="n"/>
      <c r="L36" s="9" t="n"/>
      <c r="M36" s="26" t="n"/>
    </row>
    <row r="37">
      <c r="A37" s="16" t="n"/>
      <c r="B37" s="10" t="n"/>
      <c r="C37" s="17" t="n"/>
      <c r="D37" s="17" t="n"/>
      <c r="E37" s="17" t="n"/>
      <c r="F37" s="10" t="n"/>
      <c r="G37" s="10" t="n"/>
      <c r="H37" s="24" t="n"/>
      <c r="I37" s="10" t="n"/>
      <c r="J37" s="17" t="n"/>
      <c r="K37" s="16" t="n"/>
      <c r="L37" s="9" t="n"/>
      <c r="M37" s="26" t="n"/>
    </row>
    <row r="38">
      <c r="A38" s="16" t="n"/>
      <c r="B38" s="10" t="n"/>
      <c r="C38" s="17" t="n"/>
      <c r="D38" s="17" t="n"/>
      <c r="E38" s="17" t="n"/>
      <c r="F38" s="10" t="n"/>
      <c r="G38" s="10" t="n"/>
      <c r="H38" s="24" t="n"/>
      <c r="I38" s="10" t="n"/>
      <c r="J38" s="17" t="n"/>
      <c r="K38" s="16" t="n"/>
      <c r="L38" s="9" t="n"/>
      <c r="M38" s="26" t="n"/>
    </row>
    <row r="39">
      <c r="A39" s="16" t="n"/>
      <c r="B39" s="10" t="n"/>
      <c r="C39" s="17" t="n"/>
      <c r="D39" s="17" t="n"/>
      <c r="E39" s="17" t="n"/>
      <c r="F39" s="10" t="n"/>
      <c r="G39" s="10" t="n"/>
      <c r="H39" s="24" t="n"/>
      <c r="I39" s="10" t="n"/>
      <c r="J39" s="17" t="n"/>
      <c r="K39" s="16" t="n"/>
      <c r="L39" s="9" t="n"/>
      <c r="M39" s="26" t="n"/>
    </row>
    <row r="40">
      <c r="A40" s="16" t="n"/>
      <c r="B40" s="10" t="n"/>
      <c r="C40" s="17" t="n"/>
      <c r="D40" s="17" t="n"/>
      <c r="E40" s="17" t="n"/>
      <c r="F40" s="10" t="n"/>
      <c r="G40" s="10" t="n"/>
      <c r="H40" s="24" t="n"/>
      <c r="I40" s="10" t="n"/>
      <c r="J40" s="17" t="n"/>
      <c r="K40" s="16" t="n"/>
      <c r="L40" s="9" t="n"/>
      <c r="M40" s="26" t="n"/>
    </row>
    <row r="41">
      <c r="A41" s="16" t="n"/>
      <c r="B41" s="10" t="n"/>
      <c r="C41" s="17" t="n"/>
      <c r="D41" s="17" t="n"/>
      <c r="E41" s="17" t="n"/>
      <c r="F41" s="10" t="n"/>
      <c r="G41" s="10" t="n"/>
      <c r="H41" s="24" t="n"/>
      <c r="I41" s="10" t="n"/>
      <c r="J41" s="17" t="n"/>
      <c r="K41" s="16" t="n"/>
      <c r="L41" s="9" t="n"/>
      <c r="M41" s="26" t="n"/>
    </row>
    <row r="42">
      <c r="A42" s="16" t="n"/>
      <c r="B42" s="10" t="n"/>
      <c r="C42" s="17" t="n"/>
      <c r="D42" s="17" t="n"/>
      <c r="E42" s="17" t="n"/>
      <c r="F42" s="10" t="n"/>
      <c r="G42" s="10" t="n"/>
      <c r="H42" s="24" t="n"/>
      <c r="I42" s="10" t="n"/>
      <c r="J42" s="17" t="n"/>
      <c r="K42" s="16" t="n"/>
      <c r="L42" s="9" t="n"/>
      <c r="M42" s="26" t="n"/>
    </row>
    <row r="43">
      <c r="A43" s="16" t="n"/>
      <c r="B43" s="10" t="n"/>
      <c r="C43" s="17" t="n"/>
      <c r="D43" s="17" t="n"/>
      <c r="E43" s="17" t="n"/>
      <c r="F43" s="10" t="n"/>
      <c r="G43" s="10" t="n"/>
      <c r="H43" s="24" t="n"/>
      <c r="I43" s="10" t="n"/>
      <c r="J43" s="17" t="n"/>
      <c r="K43" s="16" t="n"/>
      <c r="L43" s="9" t="n"/>
      <c r="M43" s="26" t="n"/>
    </row>
    <row r="44">
      <c r="A44" s="16" t="n"/>
      <c r="B44" s="10" t="n"/>
      <c r="C44" s="17" t="n"/>
      <c r="D44" s="17" t="n"/>
      <c r="E44" s="17" t="n"/>
      <c r="F44" s="10" t="n"/>
      <c r="G44" s="10" t="n"/>
      <c r="H44" s="24" t="n"/>
      <c r="I44" s="10" t="n"/>
      <c r="J44" s="17" t="n"/>
      <c r="K44" s="16" t="n"/>
      <c r="L44" s="9" t="n"/>
      <c r="M44" s="26" t="n"/>
    </row>
    <row r="45">
      <c r="A45" s="16" t="n"/>
      <c r="B45" s="10" t="n"/>
      <c r="C45" s="17" t="n"/>
      <c r="D45" s="17" t="n"/>
      <c r="E45" s="17" t="n"/>
      <c r="F45" s="10" t="n"/>
      <c r="G45" s="10" t="n"/>
      <c r="H45" s="24" t="n"/>
      <c r="I45" s="10" t="n"/>
      <c r="J45" s="17" t="n"/>
      <c r="K45" s="16" t="n"/>
      <c r="L45" s="9" t="n"/>
      <c r="M45" s="26" t="n"/>
    </row>
    <row r="46">
      <c r="A46" s="16" t="n"/>
      <c r="B46" s="10" t="n"/>
      <c r="C46" s="17" t="n"/>
      <c r="D46" s="17" t="n"/>
      <c r="E46" s="17" t="n"/>
      <c r="F46" s="10" t="n"/>
      <c r="G46" s="10" t="n"/>
      <c r="H46" s="24" t="n"/>
      <c r="I46" s="10" t="n"/>
      <c r="J46" s="17" t="n"/>
      <c r="K46" s="16" t="n"/>
      <c r="L46" s="9" t="n"/>
      <c r="M46" s="26" t="n"/>
    </row>
    <row r="47">
      <c r="A47" s="16" t="n"/>
      <c r="B47" s="10" t="n"/>
      <c r="C47" s="17" t="n"/>
      <c r="D47" s="17" t="n"/>
      <c r="E47" s="17" t="n"/>
      <c r="F47" s="10" t="n"/>
      <c r="G47" s="10" t="n"/>
      <c r="H47" s="24" t="n"/>
      <c r="I47" s="10" t="n"/>
      <c r="J47" s="17" t="n"/>
      <c r="K47" s="16" t="n"/>
      <c r="L47" s="9" t="n"/>
      <c r="M47" s="26" t="n"/>
    </row>
    <row r="48">
      <c r="A48" s="16" t="n"/>
      <c r="B48" s="10" t="n"/>
      <c r="C48" s="17" t="n"/>
      <c r="D48" s="17" t="n"/>
      <c r="E48" s="17" t="n"/>
      <c r="F48" s="10" t="n"/>
      <c r="G48" s="10" t="n"/>
      <c r="H48" s="24" t="n"/>
      <c r="I48" s="10" t="n"/>
      <c r="J48" s="17" t="n"/>
      <c r="K48" s="16" t="n"/>
      <c r="L48" s="9" t="n"/>
      <c r="M48" s="26" t="n"/>
    </row>
    <row r="49">
      <c r="A49" s="16" t="n"/>
      <c r="B49" s="10" t="n"/>
      <c r="C49" s="17" t="n"/>
      <c r="D49" s="17" t="n"/>
      <c r="E49" s="17" t="n"/>
      <c r="F49" s="10" t="n"/>
      <c r="G49" s="10" t="n"/>
      <c r="H49" s="24" t="n"/>
      <c r="I49" s="10" t="n"/>
      <c r="J49" s="17" t="n"/>
      <c r="K49" s="16" t="n"/>
      <c r="L49" s="9" t="n"/>
      <c r="M49" s="26" t="n"/>
    </row>
    <row r="50">
      <c r="A50" s="16" t="n"/>
      <c r="B50" s="10" t="n"/>
      <c r="C50" s="17" t="n"/>
      <c r="D50" s="17" t="n"/>
      <c r="E50" s="17" t="n"/>
      <c r="F50" s="10" t="n"/>
      <c r="G50" s="10" t="n"/>
      <c r="H50" s="24" t="n"/>
      <c r="I50" s="10" t="n"/>
      <c r="J50" s="17" t="n"/>
      <c r="K50" s="16" t="n"/>
      <c r="L50" s="9" t="n"/>
      <c r="M50" s="26" t="n"/>
    </row>
    <row r="51">
      <c r="A51" s="16" t="n"/>
      <c r="B51" s="10" t="n"/>
      <c r="C51" s="17" t="n"/>
      <c r="D51" s="17" t="n"/>
      <c r="E51" s="17" t="n"/>
      <c r="F51" s="10" t="n"/>
      <c r="G51" s="10" t="n"/>
      <c r="H51" s="24" t="n"/>
      <c r="I51" s="10" t="n"/>
      <c r="J51" s="17" t="n"/>
      <c r="K51" s="16" t="n"/>
      <c r="L51" s="9" t="n"/>
      <c r="M51" s="26" t="n"/>
    </row>
    <row r="52">
      <c r="A52" s="16" t="n"/>
      <c r="B52" s="10" t="n"/>
      <c r="C52" s="17" t="n"/>
      <c r="D52" s="17" t="n"/>
      <c r="E52" s="17" t="n"/>
      <c r="F52" s="10" t="n"/>
      <c r="G52" s="10" t="n"/>
      <c r="H52" s="24" t="n"/>
      <c r="I52" s="10" t="n"/>
      <c r="J52" s="17" t="n"/>
      <c r="K52" s="16" t="n"/>
      <c r="L52" s="9" t="n"/>
      <c r="M52" s="26" t="n"/>
    </row>
    <row r="53">
      <c r="A53" s="16" t="n"/>
      <c r="B53" s="10" t="n"/>
      <c r="C53" s="17" t="n"/>
      <c r="D53" s="17" t="n"/>
      <c r="E53" s="17" t="n"/>
      <c r="F53" s="10" t="n"/>
      <c r="G53" s="10" t="n"/>
      <c r="H53" s="24" t="n"/>
      <c r="I53" s="10" t="n"/>
      <c r="J53" s="17" t="n"/>
      <c r="K53" s="16" t="n"/>
      <c r="L53" s="9" t="n"/>
      <c r="M53" s="26" t="n"/>
    </row>
    <row r="54">
      <c r="A54" s="16" t="n"/>
      <c r="B54" s="10" t="n"/>
      <c r="C54" s="17" t="n"/>
      <c r="D54" s="17" t="n"/>
      <c r="E54" s="17" t="n"/>
      <c r="F54" s="10" t="n"/>
      <c r="G54" s="10" t="n"/>
      <c r="H54" s="24" t="n"/>
      <c r="I54" s="10" t="n"/>
      <c r="J54" s="17" t="n"/>
      <c r="K54" s="16" t="n"/>
      <c r="L54" s="9" t="n"/>
      <c r="M54" s="26" t="n"/>
    </row>
    <row r="55">
      <c r="A55" s="16" t="n"/>
      <c r="B55" s="10" t="n"/>
      <c r="C55" s="17" t="n"/>
      <c r="D55" s="17" t="n"/>
      <c r="E55" s="17" t="n"/>
      <c r="F55" s="10" t="n"/>
      <c r="G55" s="10" t="n"/>
      <c r="H55" s="24" t="n"/>
      <c r="I55" s="10" t="n"/>
      <c r="J55" s="17" t="n"/>
      <c r="K55" s="16" t="n"/>
      <c r="L55" s="9" t="n"/>
      <c r="M55" s="26" t="n"/>
    </row>
    <row r="56">
      <c r="A56" s="16" t="n"/>
      <c r="B56" s="10" t="n"/>
      <c r="C56" s="17" t="n"/>
      <c r="D56" s="17" t="n"/>
      <c r="E56" s="17" t="n"/>
      <c r="F56" s="10" t="n"/>
      <c r="G56" s="10" t="n"/>
      <c r="H56" s="24" t="n"/>
      <c r="I56" s="10" t="n"/>
      <c r="J56" s="17" t="n"/>
      <c r="K56" s="16" t="n"/>
      <c r="L56" s="9" t="n"/>
      <c r="M56" s="26" t="n"/>
    </row>
    <row r="57">
      <c r="A57" s="16" t="n"/>
      <c r="B57" s="10" t="n"/>
      <c r="C57" s="17" t="n"/>
      <c r="D57" s="17" t="n"/>
      <c r="E57" s="17" t="n"/>
      <c r="F57" s="10" t="n"/>
      <c r="G57" s="10" t="n"/>
      <c r="H57" s="24" t="n"/>
      <c r="I57" s="10" t="n"/>
      <c r="J57" s="17" t="n"/>
      <c r="K57" s="16" t="n"/>
      <c r="L57" s="9" t="n"/>
      <c r="M57" s="26" t="n"/>
    </row>
    <row r="58">
      <c r="A58" s="16" t="n"/>
      <c r="B58" s="10" t="n"/>
      <c r="C58" s="17" t="n"/>
      <c r="D58" s="17" t="n"/>
      <c r="E58" s="17" t="n"/>
      <c r="F58" s="10" t="n"/>
      <c r="G58" s="10" t="n"/>
      <c r="H58" s="24" t="n"/>
      <c r="I58" s="10" t="n"/>
      <c r="J58" s="17" t="n"/>
      <c r="K58" s="16" t="n"/>
      <c r="L58" s="9" t="n"/>
      <c r="M58" s="26" t="n"/>
    </row>
    <row r="59">
      <c r="A59" s="16" t="n"/>
      <c r="B59" s="10" t="n"/>
      <c r="C59" s="17" t="n"/>
      <c r="D59" s="17" t="n"/>
      <c r="E59" s="17" t="n"/>
      <c r="F59" s="10" t="n"/>
      <c r="G59" s="10" t="n"/>
      <c r="H59" s="24" t="n"/>
      <c r="I59" s="10" t="n"/>
      <c r="J59" s="17" t="n"/>
      <c r="K59" s="16" t="n"/>
      <c r="L59" s="9" t="n"/>
      <c r="M59" s="26" t="n"/>
    </row>
    <row r="60">
      <c r="A60" s="16" t="n"/>
      <c r="B60" s="10" t="n"/>
      <c r="C60" s="17" t="n"/>
      <c r="D60" s="17" t="n"/>
      <c r="E60" s="17" t="n"/>
      <c r="F60" s="10" t="n"/>
      <c r="G60" s="10" t="n"/>
      <c r="H60" s="24" t="n"/>
      <c r="I60" s="10" t="n"/>
      <c r="J60" s="17" t="n"/>
      <c r="K60" s="16" t="n"/>
      <c r="L60" s="9" t="n"/>
      <c r="M60" s="26" t="n"/>
    </row>
    <row r="61">
      <c r="A61" s="16" t="n"/>
      <c r="B61" s="10" t="n"/>
      <c r="C61" s="17" t="n"/>
      <c r="D61" s="17" t="n"/>
      <c r="E61" s="17" t="n"/>
      <c r="F61" s="10" t="n"/>
      <c r="G61" s="10" t="n"/>
      <c r="H61" s="24" t="n"/>
      <c r="I61" s="10" t="n"/>
      <c r="J61" s="17" t="n"/>
      <c r="K61" s="16" t="n"/>
      <c r="L61" s="9" t="n"/>
      <c r="M61" s="26" t="n"/>
    </row>
    <row r="62">
      <c r="A62" s="16" t="n"/>
      <c r="B62" s="10" t="n"/>
      <c r="C62" s="17" t="n"/>
      <c r="D62" s="17" t="n"/>
      <c r="E62" s="17" t="n"/>
      <c r="F62" s="10" t="n"/>
      <c r="G62" s="10" t="n"/>
      <c r="H62" s="24" t="n"/>
      <c r="I62" s="10" t="n"/>
      <c r="J62" s="17" t="n"/>
      <c r="K62" s="16" t="n"/>
      <c r="L62" s="9" t="n"/>
      <c r="M62" s="26" t="n"/>
    </row>
    <row r="63">
      <c r="A63" s="16" t="n"/>
      <c r="B63" s="10" t="n"/>
      <c r="C63" s="17" t="n"/>
      <c r="D63" s="17" t="n"/>
      <c r="E63" s="17" t="n"/>
      <c r="F63" s="10" t="n"/>
      <c r="G63" s="10" t="n"/>
      <c r="H63" s="24" t="n"/>
      <c r="I63" s="10" t="n"/>
      <c r="J63" s="17" t="n"/>
      <c r="K63" s="16" t="n"/>
      <c r="L63" s="9" t="n"/>
      <c r="M63" s="26" t="n"/>
    </row>
    <row r="64">
      <c r="A64" s="16" t="n"/>
      <c r="B64" s="10" t="n"/>
      <c r="C64" s="17" t="n"/>
      <c r="D64" s="17" t="n"/>
      <c r="E64" s="17" t="n"/>
      <c r="F64" s="10" t="n"/>
      <c r="G64" s="10" t="n"/>
      <c r="H64" s="24" t="n"/>
      <c r="I64" s="10" t="n"/>
      <c r="J64" s="17" t="n"/>
      <c r="K64" s="16" t="n"/>
      <c r="L64" s="9" t="n"/>
      <c r="M64" s="26" t="n"/>
    </row>
    <row r="65">
      <c r="A65" s="16" t="n"/>
      <c r="B65" s="10" t="n"/>
      <c r="C65" s="17" t="n"/>
      <c r="D65" s="17" t="n"/>
      <c r="E65" s="17" t="n"/>
      <c r="F65" s="10" t="n"/>
      <c r="G65" s="10" t="n"/>
      <c r="H65" s="24" t="n"/>
      <c r="I65" s="10" t="n"/>
      <c r="J65" s="17" t="n"/>
      <c r="K65" s="16" t="n"/>
      <c r="L65" s="9" t="n"/>
      <c r="M65" s="26" t="n"/>
    </row>
    <row r="66">
      <c r="A66" s="16" t="n"/>
      <c r="B66" s="10" t="n"/>
      <c r="C66" s="17" t="n"/>
      <c r="D66" s="17" t="n"/>
      <c r="E66" s="17" t="n"/>
      <c r="F66" s="10" t="n"/>
      <c r="G66" s="10" t="n"/>
      <c r="H66" s="24" t="n"/>
      <c r="I66" s="10" t="n"/>
      <c r="J66" s="17" t="n"/>
      <c r="K66" s="16" t="n"/>
      <c r="L66" s="9" t="n"/>
      <c r="M66" s="26" t="n"/>
    </row>
    <row r="67">
      <c r="A67" s="16" t="n"/>
      <c r="B67" s="10" t="n"/>
      <c r="C67" s="17" t="n"/>
      <c r="D67" s="17" t="n"/>
      <c r="E67" s="17" t="n"/>
      <c r="F67" s="10" t="n"/>
      <c r="G67" s="10" t="n"/>
      <c r="H67" s="24" t="n"/>
      <c r="I67" s="10" t="n"/>
      <c r="J67" s="17" t="n"/>
      <c r="K67" s="16" t="n"/>
      <c r="L67" s="9" t="n"/>
      <c r="M67" s="26" t="n"/>
    </row>
    <row r="68">
      <c r="A68" s="16" t="n"/>
      <c r="B68" s="10" t="n"/>
      <c r="C68" s="17" t="n"/>
      <c r="D68" s="17" t="n"/>
      <c r="E68" s="17" t="n"/>
      <c r="F68" s="10" t="n"/>
      <c r="G68" s="10" t="n"/>
      <c r="H68" s="24" t="n"/>
      <c r="I68" s="10" t="n"/>
      <c r="J68" s="17" t="n"/>
      <c r="K68" s="16" t="n"/>
      <c r="L68" s="9" t="n"/>
      <c r="M68" s="26" t="n"/>
    </row>
    <row r="69">
      <c r="A69" s="16" t="n"/>
      <c r="B69" s="10" t="n"/>
      <c r="C69" s="17" t="n"/>
      <c r="D69" s="17" t="n"/>
      <c r="E69" s="17" t="n"/>
      <c r="F69" s="10" t="n"/>
      <c r="G69" s="10" t="n"/>
      <c r="H69" s="24" t="n"/>
      <c r="I69" s="10" t="n"/>
      <c r="J69" s="17" t="n"/>
      <c r="K69" s="16" t="n"/>
      <c r="L69" s="9" t="n"/>
      <c r="M69" s="26" t="n"/>
    </row>
    <row r="70">
      <c r="A70" s="16" t="n"/>
      <c r="B70" s="10" t="n"/>
      <c r="C70" s="17" t="n"/>
      <c r="D70" s="17" t="n"/>
      <c r="E70" s="17" t="n"/>
      <c r="F70" s="10" t="n"/>
      <c r="G70" s="10" t="n"/>
      <c r="H70" s="24" t="n"/>
      <c r="I70" s="10" t="n"/>
      <c r="J70" s="17" t="n"/>
      <c r="K70" s="16" t="n"/>
      <c r="L70" s="9" t="n"/>
      <c r="M70" s="26" t="n"/>
    </row>
    <row r="71">
      <c r="A71" s="16" t="n"/>
      <c r="B71" s="10" t="n"/>
      <c r="C71" s="17" t="n"/>
      <c r="D71" s="17" t="n"/>
      <c r="E71" s="17" t="n"/>
      <c r="F71" s="10" t="n"/>
      <c r="G71" s="10" t="n"/>
      <c r="H71" s="24" t="n"/>
      <c r="I71" s="10" t="n"/>
      <c r="J71" s="17" t="n"/>
      <c r="K71" s="16" t="n"/>
      <c r="L71" s="9" t="n"/>
      <c r="M71" s="26" t="n"/>
    </row>
    <row r="72">
      <c r="A72" s="16" t="n"/>
      <c r="B72" s="10" t="n"/>
      <c r="C72" s="17" t="n"/>
      <c r="D72" s="17" t="n"/>
      <c r="E72" s="17" t="n"/>
      <c r="F72" s="10" t="n"/>
      <c r="G72" s="10" t="n"/>
      <c r="H72" s="24" t="n"/>
      <c r="I72" s="10" t="n"/>
      <c r="J72" s="17" t="n"/>
      <c r="K72" s="16" t="n"/>
      <c r="L72" s="9" t="n"/>
      <c r="M72" s="26" t="n"/>
    </row>
    <row r="73">
      <c r="A73" s="16" t="n"/>
      <c r="B73" s="10" t="n"/>
      <c r="C73" s="17" t="n"/>
      <c r="D73" s="17" t="n"/>
      <c r="E73" s="17" t="n"/>
      <c r="F73" s="10" t="n"/>
      <c r="G73" s="10" t="n"/>
      <c r="H73" s="24" t="n"/>
      <c r="I73" s="10" t="n"/>
      <c r="J73" s="17" t="n"/>
      <c r="K73" s="16" t="n"/>
      <c r="L73" s="9" t="n"/>
      <c r="M73" s="26" t="n"/>
    </row>
    <row r="74">
      <c r="A74" s="16" t="n"/>
      <c r="B74" s="10" t="n"/>
      <c r="C74" s="17" t="n"/>
      <c r="D74" s="17" t="n"/>
      <c r="E74" s="17" t="n"/>
      <c r="F74" s="10" t="n"/>
      <c r="G74" s="10" t="n"/>
      <c r="H74" s="24" t="n"/>
      <c r="I74" s="10" t="n"/>
      <c r="J74" s="17" t="n"/>
      <c r="K74" s="16" t="n"/>
      <c r="L74" s="9" t="n"/>
      <c r="M74" s="26" t="n"/>
    </row>
    <row r="75">
      <c r="A75" s="16" t="n"/>
      <c r="B75" s="10" t="n"/>
      <c r="C75" s="17" t="n"/>
      <c r="D75" s="17" t="n"/>
      <c r="E75" s="17" t="n"/>
      <c r="F75" s="10" t="n"/>
      <c r="G75" s="10" t="n"/>
      <c r="H75" s="24" t="n"/>
      <c r="I75" s="10" t="n"/>
      <c r="J75" s="17" t="n"/>
      <c r="K75" s="16" t="n"/>
      <c r="L75" s="9" t="n"/>
      <c r="M75" s="26" t="n"/>
    </row>
    <row r="76">
      <c r="A76" s="16" t="n"/>
      <c r="B76" s="10" t="n"/>
      <c r="C76" s="17" t="n"/>
      <c r="D76" s="17" t="n"/>
      <c r="E76" s="17" t="n"/>
      <c r="F76" s="10" t="n"/>
      <c r="G76" s="10" t="n"/>
      <c r="H76" s="24" t="n"/>
      <c r="I76" s="10" t="n"/>
      <c r="J76" s="17" t="n"/>
      <c r="K76" s="16" t="n"/>
      <c r="L76" s="9" t="n"/>
      <c r="M76" s="26" t="n"/>
    </row>
    <row r="77">
      <c r="A77" s="16" t="n"/>
      <c r="B77" s="10" t="n"/>
      <c r="C77" s="17" t="n"/>
      <c r="D77" s="17" t="n"/>
      <c r="E77" s="17" t="n"/>
      <c r="F77" s="10" t="n"/>
      <c r="G77" s="10" t="n"/>
      <c r="H77" s="24" t="n"/>
      <c r="I77" s="10" t="n"/>
      <c r="J77" s="17" t="n"/>
      <c r="K77" s="16" t="n"/>
      <c r="L77" s="9" t="n"/>
      <c r="M77" s="26" t="n"/>
    </row>
    <row r="78">
      <c r="A78" s="16" t="n"/>
      <c r="B78" s="10" t="n"/>
      <c r="C78" s="17" t="n"/>
      <c r="D78" s="17" t="n"/>
      <c r="E78" s="17" t="n"/>
      <c r="F78" s="10" t="n"/>
      <c r="G78" s="10" t="n"/>
      <c r="H78" s="24" t="n"/>
      <c r="I78" s="10" t="n"/>
      <c r="J78" s="17" t="n"/>
      <c r="K78" s="16" t="n"/>
      <c r="L78" s="9" t="n"/>
      <c r="M78" s="26" t="n"/>
    </row>
    <row r="79">
      <c r="A79" s="16" t="n"/>
      <c r="B79" s="10" t="n"/>
      <c r="C79" s="17" t="n"/>
      <c r="D79" s="17" t="n"/>
      <c r="E79" s="17" t="n"/>
      <c r="F79" s="10" t="n"/>
      <c r="G79" s="10" t="n"/>
      <c r="H79" s="24" t="n"/>
      <c r="I79" s="10" t="n"/>
      <c r="J79" s="17" t="n"/>
      <c r="K79" s="16" t="n"/>
      <c r="L79" s="9" t="n"/>
      <c r="M79" s="26" t="n"/>
    </row>
    <row r="80">
      <c r="A80" s="16" t="n"/>
      <c r="B80" s="10" t="n"/>
      <c r="C80" s="17" t="n"/>
      <c r="D80" s="17" t="n"/>
      <c r="E80" s="17" t="n"/>
      <c r="F80" s="10" t="n"/>
      <c r="G80" s="10" t="n"/>
      <c r="H80" s="24" t="n"/>
      <c r="I80" s="10" t="n"/>
      <c r="J80" s="17" t="n"/>
      <c r="K80" s="16" t="n"/>
      <c r="L80" s="9" t="n"/>
      <c r="M80" s="26" t="n"/>
    </row>
    <row r="81">
      <c r="A81" s="16" t="n"/>
      <c r="B81" s="10" t="n"/>
      <c r="C81" s="17" t="n"/>
      <c r="D81" s="17" t="n"/>
      <c r="E81" s="17" t="n"/>
      <c r="F81" s="10" t="n"/>
      <c r="G81" s="10" t="n"/>
      <c r="H81" s="24" t="n"/>
      <c r="I81" s="10" t="n"/>
      <c r="J81" s="17" t="n"/>
      <c r="K81" s="16" t="n"/>
      <c r="L81" s="9" t="n"/>
      <c r="M81" s="26" t="n"/>
    </row>
    <row r="82">
      <c r="A82" s="16" t="n"/>
      <c r="B82" s="10" t="n"/>
      <c r="C82" s="17" t="n"/>
      <c r="D82" s="17" t="n"/>
      <c r="E82" s="17" t="n"/>
      <c r="F82" s="10" t="n"/>
      <c r="G82" s="10" t="n"/>
      <c r="H82" s="24" t="n"/>
      <c r="I82" s="10" t="n"/>
      <c r="J82" s="17" t="n"/>
      <c r="K82" s="16" t="n"/>
      <c r="L82" s="9" t="n"/>
      <c r="M82" s="26" t="n"/>
    </row>
    <row r="83">
      <c r="A83" s="16" t="n"/>
      <c r="B83" s="10" t="n"/>
      <c r="C83" s="17" t="n"/>
      <c r="D83" s="17" t="n"/>
      <c r="E83" s="17" t="n"/>
      <c r="F83" s="10" t="n"/>
      <c r="G83" s="10" t="n"/>
      <c r="H83" s="24" t="n"/>
      <c r="I83" s="10" t="n"/>
      <c r="J83" s="17" t="n"/>
      <c r="K83" s="16" t="n"/>
      <c r="L83" s="9" t="n"/>
      <c r="M83" s="26" t="n"/>
    </row>
    <row r="84">
      <c r="A84" s="16" t="n"/>
      <c r="B84" s="10" t="n"/>
      <c r="C84" s="17" t="n"/>
      <c r="D84" s="17" t="n"/>
      <c r="E84" s="17" t="n"/>
      <c r="F84" s="10" t="n"/>
      <c r="G84" s="10" t="n"/>
      <c r="H84" s="24" t="n"/>
      <c r="I84" s="10" t="n"/>
      <c r="J84" s="17" t="n"/>
      <c r="K84" s="16" t="n"/>
      <c r="L84" s="9" t="n"/>
      <c r="M84" s="26" t="n"/>
    </row>
    <row r="85">
      <c r="A85" s="16" t="n"/>
      <c r="B85" s="10" t="n"/>
      <c r="C85" s="17" t="n"/>
      <c r="D85" s="17" t="n"/>
      <c r="E85" s="17" t="n"/>
      <c r="F85" s="10" t="n"/>
      <c r="G85" s="10" t="n"/>
      <c r="H85" s="24" t="n"/>
      <c r="I85" s="10" t="n"/>
      <c r="J85" s="17" t="n"/>
      <c r="K85" s="16" t="n"/>
      <c r="L85" s="9" t="n"/>
      <c r="M85" s="26" t="n"/>
    </row>
    <row r="86">
      <c r="A86" s="16" t="n"/>
      <c r="B86" s="10" t="n"/>
      <c r="C86" s="17" t="n"/>
      <c r="D86" s="17" t="n"/>
      <c r="E86" s="17" t="n"/>
      <c r="F86" s="10" t="n"/>
      <c r="G86" s="10" t="n"/>
      <c r="H86" s="24" t="n"/>
      <c r="I86" s="10" t="n"/>
      <c r="J86" s="17" t="n"/>
      <c r="K86" s="16" t="n"/>
      <c r="L86" s="9" t="n"/>
      <c r="M86" s="26" t="n"/>
    </row>
    <row r="87">
      <c r="A87" s="16" t="n"/>
      <c r="B87" s="10" t="n"/>
      <c r="C87" s="17" t="n"/>
      <c r="D87" s="17" t="n"/>
      <c r="E87" s="17" t="n"/>
      <c r="F87" s="10" t="n"/>
      <c r="G87" s="10" t="n"/>
      <c r="H87" s="24" t="n"/>
      <c r="I87" s="10" t="n"/>
      <c r="J87" s="17" t="n"/>
      <c r="K87" s="16" t="n"/>
      <c r="L87" s="9" t="n"/>
      <c r="M87" s="26" t="n"/>
    </row>
    <row r="88">
      <c r="A88" s="16" t="n"/>
      <c r="B88" s="10" t="n"/>
      <c r="C88" s="17" t="n"/>
      <c r="D88" s="17" t="n"/>
      <c r="E88" s="17" t="n"/>
      <c r="F88" s="10" t="n"/>
      <c r="G88" s="10" t="n"/>
      <c r="H88" s="24" t="n"/>
      <c r="I88" s="10" t="n"/>
      <c r="J88" s="17" t="n"/>
      <c r="K88" s="16" t="n"/>
      <c r="L88" s="9" t="n"/>
      <c r="M88" s="26" t="n"/>
    </row>
    <row r="89">
      <c r="A89" s="16" t="n"/>
      <c r="B89" s="10" t="n"/>
      <c r="C89" s="17" t="n"/>
      <c r="D89" s="17" t="n"/>
      <c r="E89" s="17" t="n"/>
      <c r="F89" s="10" t="n"/>
      <c r="G89" s="10" t="n"/>
      <c r="H89" s="24" t="n"/>
      <c r="I89" s="10" t="n"/>
      <c r="J89" s="17" t="n"/>
      <c r="K89" s="16" t="n"/>
      <c r="L89" s="9" t="n"/>
      <c r="M89" s="26" t="n"/>
    </row>
    <row r="90">
      <c r="A90" s="16" t="n"/>
      <c r="B90" s="10" t="n"/>
      <c r="C90" s="17" t="n"/>
      <c r="D90" s="17" t="n"/>
      <c r="E90" s="17" t="n"/>
      <c r="F90" s="10" t="n"/>
      <c r="G90" s="10" t="n"/>
      <c r="H90" s="24" t="n"/>
      <c r="I90" s="10" t="n"/>
      <c r="J90" s="17" t="n"/>
      <c r="K90" s="16" t="n"/>
      <c r="L90" s="9" t="n"/>
      <c r="M90" s="26" t="n"/>
    </row>
    <row r="91">
      <c r="A91" s="16" t="n"/>
      <c r="B91" s="10" t="n"/>
      <c r="C91" s="17" t="n"/>
      <c r="D91" s="17" t="n"/>
      <c r="E91" s="17" t="n"/>
      <c r="F91" s="10" t="n"/>
      <c r="G91" s="10" t="n"/>
      <c r="H91" s="24" t="n"/>
      <c r="I91" s="10" t="n"/>
      <c r="J91" s="17" t="n"/>
      <c r="K91" s="16" t="n"/>
      <c r="L91" s="9" t="n"/>
      <c r="M91" s="26" t="n"/>
    </row>
    <row r="92">
      <c r="A92" s="16" t="n"/>
      <c r="B92" s="10" t="n"/>
      <c r="C92" s="17" t="n"/>
      <c r="D92" s="17" t="n"/>
      <c r="E92" s="17" t="n"/>
      <c r="F92" s="10" t="n"/>
      <c r="G92" s="10" t="n"/>
      <c r="H92" s="24" t="n"/>
      <c r="I92" s="10" t="n"/>
      <c r="J92" s="17" t="n"/>
      <c r="K92" s="16" t="n"/>
      <c r="L92" s="9" t="n"/>
      <c r="M92" s="26" t="n"/>
    </row>
    <row r="93">
      <c r="A93" s="16" t="n"/>
      <c r="B93" s="10" t="n"/>
      <c r="C93" s="17" t="n"/>
      <c r="D93" s="17" t="n"/>
      <c r="E93" s="17" t="n"/>
      <c r="F93" s="10" t="n"/>
      <c r="G93" s="10" t="n"/>
      <c r="H93" s="24" t="n"/>
      <c r="I93" s="10" t="n"/>
      <c r="J93" s="17" t="n"/>
      <c r="K93" s="16" t="n"/>
      <c r="L93" s="9" t="n"/>
      <c r="M93" s="26" t="n"/>
    </row>
    <row r="94">
      <c r="A94" s="16" t="n"/>
      <c r="B94" s="10" t="n"/>
      <c r="C94" s="17" t="n"/>
      <c r="D94" s="17" t="n"/>
      <c r="E94" s="17" t="n"/>
      <c r="F94" s="10" t="n"/>
      <c r="G94" s="10" t="n"/>
      <c r="H94" s="24" t="n"/>
      <c r="I94" s="10" t="n"/>
      <c r="J94" s="17" t="n"/>
      <c r="K94" s="16" t="n"/>
      <c r="L94" s="9" t="n"/>
      <c r="M94" s="26" t="n"/>
    </row>
    <row r="95">
      <c r="A95" s="16" t="n"/>
      <c r="B95" s="10" t="n"/>
      <c r="C95" s="17" t="n"/>
      <c r="D95" s="17" t="n"/>
      <c r="E95" s="17" t="n"/>
      <c r="F95" s="10" t="n"/>
      <c r="G95" s="10" t="n"/>
      <c r="H95" s="24" t="n"/>
      <c r="I95" s="10" t="n"/>
      <c r="J95" s="17" t="n"/>
      <c r="K95" s="16" t="n"/>
      <c r="L95" s="9" t="n"/>
      <c r="M95" s="26" t="n"/>
    </row>
    <row r="96">
      <c r="A96" s="16" t="n"/>
      <c r="B96" s="10" t="n"/>
      <c r="C96" s="17" t="n"/>
      <c r="D96" s="17" t="n"/>
      <c r="E96" s="17" t="n"/>
      <c r="F96" s="10" t="n"/>
      <c r="G96" s="10" t="n"/>
      <c r="H96" s="24" t="n"/>
      <c r="I96" s="10" t="n"/>
      <c r="J96" s="17" t="n"/>
      <c r="K96" s="16" t="n"/>
      <c r="L96" s="9" t="n"/>
      <c r="M96" s="26" t="n"/>
    </row>
    <row r="97">
      <c r="A97" s="16" t="n"/>
      <c r="B97" s="10" t="n"/>
      <c r="C97" s="17" t="n"/>
      <c r="D97" s="17" t="n"/>
      <c r="E97" s="17" t="n"/>
      <c r="F97" s="10" t="n"/>
      <c r="G97" s="10" t="n"/>
      <c r="H97" s="24" t="n"/>
      <c r="I97" s="10" t="n"/>
      <c r="J97" s="17" t="n"/>
      <c r="K97" s="16" t="n"/>
      <c r="L97" s="9" t="n"/>
      <c r="M97" s="26" t="n"/>
    </row>
    <row r="98">
      <c r="A98" s="16" t="n"/>
      <c r="B98" s="10" t="n"/>
      <c r="C98" s="17" t="n"/>
      <c r="D98" s="17" t="n"/>
      <c r="E98" s="17" t="n"/>
      <c r="F98" s="10" t="n"/>
      <c r="G98" s="10" t="n"/>
      <c r="H98" s="24" t="n"/>
      <c r="I98" s="10" t="n"/>
      <c r="J98" s="17" t="n"/>
      <c r="K98" s="16" t="n"/>
      <c r="L98" s="9" t="n"/>
      <c r="M98" s="26" t="n"/>
    </row>
    <row r="99">
      <c r="A99" s="16" t="n"/>
      <c r="B99" s="10" t="n"/>
      <c r="C99" s="17" t="n"/>
      <c r="D99" s="17" t="n"/>
      <c r="E99" s="17" t="n"/>
      <c r="F99" s="10" t="n"/>
      <c r="G99" s="10" t="n"/>
      <c r="H99" s="24" t="n"/>
      <c r="I99" s="10" t="n"/>
      <c r="J99" s="17" t="n"/>
      <c r="K99" s="16" t="n"/>
      <c r="L99" s="9" t="n"/>
      <c r="M99" s="26" t="n"/>
    </row>
    <row r="100">
      <c r="A100" s="16" t="n"/>
      <c r="B100" s="10" t="n"/>
      <c r="C100" s="17" t="n"/>
      <c r="D100" s="17" t="n"/>
      <c r="E100" s="17" t="n"/>
      <c r="F100" s="10" t="n"/>
      <c r="G100" s="10" t="n"/>
      <c r="H100" s="24" t="n"/>
      <c r="I100" s="10" t="n"/>
      <c r="J100" s="17" t="n"/>
      <c r="K100" s="16" t="n"/>
      <c r="L100" s="9" t="n"/>
      <c r="M100" s="26" t="n"/>
    </row>
    <row r="101">
      <c r="A101" s="16" t="n"/>
      <c r="B101" s="10" t="n"/>
      <c r="C101" s="17" t="n"/>
      <c r="D101" s="17" t="n"/>
      <c r="E101" s="17" t="n"/>
      <c r="F101" s="10" t="n"/>
      <c r="G101" s="10" t="n"/>
      <c r="H101" s="24" t="n"/>
      <c r="I101" s="10" t="n"/>
      <c r="J101" s="17" t="n"/>
      <c r="K101" s="16" t="n"/>
      <c r="L101" s="9" t="n"/>
      <c r="M101" s="26" t="n"/>
    </row>
    <row r="102">
      <c r="A102" s="16" t="n"/>
      <c r="B102" s="10" t="n"/>
      <c r="C102" s="17" t="n"/>
      <c r="D102" s="17" t="n"/>
      <c r="E102" s="17" t="n"/>
      <c r="F102" s="10" t="n"/>
      <c r="G102" s="10" t="n"/>
      <c r="H102" s="24" t="n"/>
      <c r="I102" s="10" t="n"/>
      <c r="J102" s="17" t="n"/>
      <c r="K102" s="16" t="n"/>
      <c r="L102" s="9" t="n"/>
      <c r="M102" s="26" t="n"/>
    </row>
    <row r="103">
      <c r="A103" s="16" t="n"/>
      <c r="B103" s="10" t="n"/>
      <c r="C103" s="17" t="n"/>
      <c r="D103" s="17" t="n"/>
      <c r="E103" s="17" t="n"/>
      <c r="F103" s="10" t="n"/>
      <c r="G103" s="10" t="n"/>
      <c r="H103" s="24" t="n"/>
      <c r="I103" s="10" t="n"/>
      <c r="J103" s="17" t="n"/>
      <c r="K103" s="16" t="n"/>
      <c r="L103" s="9" t="n"/>
      <c r="M103" s="26" t="n"/>
    </row>
    <row r="104">
      <c r="A104" s="16" t="n"/>
      <c r="B104" s="10" t="n"/>
      <c r="C104" s="17" t="n"/>
      <c r="D104" s="17" t="n"/>
      <c r="E104" s="17" t="n"/>
      <c r="F104" s="10" t="n"/>
      <c r="G104" s="10" t="n"/>
      <c r="H104" s="24" t="n"/>
      <c r="I104" s="10" t="n"/>
      <c r="J104" s="17" t="n"/>
      <c r="K104" s="16" t="n"/>
      <c r="L104" s="9" t="n"/>
      <c r="M104" s="26" t="n"/>
    </row>
    <row r="105">
      <c r="A105" s="16" t="n"/>
      <c r="B105" s="10" t="n"/>
      <c r="C105" s="17" t="n"/>
      <c r="D105" s="17" t="n"/>
      <c r="E105" s="17" t="n"/>
      <c r="F105" s="10" t="n"/>
      <c r="G105" s="10" t="n"/>
      <c r="H105" s="24" t="n"/>
      <c r="I105" s="10" t="n"/>
      <c r="J105" s="17" t="n"/>
      <c r="K105" s="16" t="n"/>
      <c r="L105" s="9" t="n"/>
      <c r="M105" s="26" t="n"/>
    </row>
    <row r="106">
      <c r="A106" s="16" t="n"/>
      <c r="B106" s="10" t="n"/>
      <c r="C106" s="17" t="n"/>
      <c r="D106" s="17" t="n"/>
      <c r="E106" s="17" t="n"/>
      <c r="F106" s="10" t="n"/>
      <c r="G106" s="10" t="n"/>
      <c r="H106" s="24" t="n"/>
      <c r="I106" s="10" t="n"/>
      <c r="J106" s="17" t="n"/>
      <c r="K106" s="16" t="n"/>
      <c r="L106" s="9" t="n"/>
      <c r="M106" s="26" t="n"/>
    </row>
    <row r="107">
      <c r="A107" s="16" t="n"/>
      <c r="B107" s="10" t="n"/>
      <c r="C107" s="17" t="n"/>
      <c r="D107" s="17" t="n"/>
      <c r="E107" s="17" t="n"/>
      <c r="F107" s="10" t="n"/>
      <c r="G107" s="10" t="n"/>
      <c r="H107" s="24" t="n"/>
      <c r="I107" s="10" t="n"/>
      <c r="J107" s="17" t="n"/>
      <c r="K107" s="16" t="n"/>
      <c r="L107" s="9" t="n"/>
      <c r="M107" s="26" t="n"/>
    </row>
    <row r="108">
      <c r="A108" s="16" t="n"/>
      <c r="B108" s="10" t="n"/>
      <c r="C108" s="17" t="n"/>
      <c r="D108" s="17" t="n"/>
      <c r="E108" s="17" t="n"/>
      <c r="F108" s="10" t="n"/>
      <c r="G108" s="10" t="n"/>
      <c r="H108" s="24" t="n"/>
      <c r="I108" s="10" t="n"/>
      <c r="J108" s="17" t="n"/>
      <c r="K108" s="16" t="n"/>
      <c r="L108" s="9" t="n"/>
      <c r="M108" s="26" t="n"/>
    </row>
    <row r="109">
      <c r="A109" s="16" t="n"/>
      <c r="B109" s="10" t="n"/>
      <c r="C109" s="17" t="n"/>
      <c r="D109" s="17" t="n"/>
      <c r="E109" s="17" t="n"/>
      <c r="F109" s="10" t="n"/>
      <c r="G109" s="10" t="n"/>
      <c r="H109" s="24" t="n"/>
      <c r="I109" s="10" t="n"/>
      <c r="J109" s="17" t="n"/>
      <c r="K109" s="16" t="n"/>
      <c r="L109" s="9" t="n"/>
      <c r="M109" s="26" t="n"/>
    </row>
    <row r="110">
      <c r="A110" s="16" t="n"/>
      <c r="B110" s="10" t="n"/>
      <c r="C110" s="17" t="n"/>
      <c r="D110" s="17" t="n"/>
      <c r="E110" s="17" t="n"/>
      <c r="F110" s="10" t="n"/>
      <c r="G110" s="10" t="n"/>
      <c r="H110" s="24" t="n"/>
      <c r="I110" s="10" t="n"/>
      <c r="J110" s="17" t="n"/>
      <c r="K110" s="16" t="n"/>
      <c r="L110" s="9" t="n"/>
      <c r="M110" s="26" t="n"/>
    </row>
    <row r="111">
      <c r="A111" s="16" t="n"/>
      <c r="B111" s="10" t="n"/>
      <c r="C111" s="17" t="n"/>
      <c r="D111" s="17" t="n"/>
      <c r="E111" s="17" t="n"/>
      <c r="F111" s="10" t="n"/>
      <c r="G111" s="10" t="n"/>
      <c r="H111" s="24" t="n"/>
      <c r="I111" s="10" t="n"/>
      <c r="J111" s="17" t="n"/>
      <c r="K111" s="16" t="n"/>
      <c r="L111" s="9" t="n"/>
      <c r="M111" s="26" t="n"/>
    </row>
    <row r="112">
      <c r="A112" s="16" t="n"/>
      <c r="B112" s="10" t="n"/>
      <c r="C112" s="17" t="n"/>
      <c r="D112" s="17" t="n"/>
      <c r="E112" s="17" t="n"/>
      <c r="F112" s="10" t="n"/>
      <c r="G112" s="10" t="n"/>
      <c r="H112" s="24" t="n"/>
      <c r="I112" s="10" t="n"/>
      <c r="J112" s="17" t="n"/>
      <c r="K112" s="16" t="n"/>
      <c r="L112" s="9" t="n"/>
      <c r="M112" s="26" t="n"/>
    </row>
    <row r="113">
      <c r="A113" s="16" t="n"/>
      <c r="B113" s="10" t="n"/>
      <c r="C113" s="17" t="n"/>
      <c r="D113" s="17" t="n"/>
      <c r="E113" s="17" t="n"/>
      <c r="F113" s="10" t="n"/>
      <c r="G113" s="10" t="n"/>
      <c r="H113" s="24" t="n"/>
      <c r="I113" s="10" t="n"/>
      <c r="J113" s="17" t="n"/>
      <c r="K113" s="16" t="n"/>
      <c r="L113" s="9" t="n"/>
      <c r="M113" s="26" t="n"/>
    </row>
    <row r="114">
      <c r="A114" s="16" t="n"/>
      <c r="B114" s="10" t="n"/>
      <c r="C114" s="17" t="n"/>
      <c r="D114" s="17" t="n"/>
      <c r="E114" s="17" t="n"/>
      <c r="F114" s="10" t="n"/>
      <c r="G114" s="10" t="n"/>
      <c r="H114" s="24" t="n"/>
      <c r="I114" s="10" t="n"/>
      <c r="J114" s="17" t="n"/>
      <c r="K114" s="16" t="n"/>
      <c r="L114" s="9" t="n"/>
      <c r="M114" s="26" t="n"/>
    </row>
    <row r="115">
      <c r="A115" s="16" t="n"/>
      <c r="B115" s="10" t="n"/>
      <c r="C115" s="17" t="n"/>
      <c r="D115" s="17" t="n"/>
      <c r="E115" s="17" t="n"/>
      <c r="F115" s="10" t="n"/>
      <c r="G115" s="10" t="n"/>
      <c r="H115" s="24" t="n"/>
      <c r="I115" s="10" t="n"/>
      <c r="J115" s="17" t="n"/>
      <c r="K115" s="16" t="n"/>
      <c r="L115" s="9" t="n"/>
      <c r="M115" s="26" t="n"/>
    </row>
    <row r="116">
      <c r="A116" s="16" t="n"/>
      <c r="B116" s="10" t="n"/>
      <c r="C116" s="17" t="n"/>
      <c r="D116" s="17" t="n"/>
      <c r="E116" s="17" t="n"/>
      <c r="F116" s="10" t="n"/>
      <c r="G116" s="10" t="n"/>
      <c r="H116" s="24" t="n"/>
      <c r="I116" s="10" t="n"/>
      <c r="J116" s="17" t="n"/>
      <c r="K116" s="16" t="n"/>
      <c r="L116" s="9" t="n"/>
      <c r="M116" s="26" t="n"/>
    </row>
    <row r="117">
      <c r="A117" s="16" t="n"/>
      <c r="B117" s="10" t="n"/>
      <c r="C117" s="17" t="n"/>
      <c r="D117" s="17" t="n"/>
      <c r="E117" s="17" t="n"/>
      <c r="F117" s="10" t="n"/>
      <c r="G117" s="10" t="n"/>
      <c r="H117" s="24" t="n"/>
      <c r="I117" s="10" t="n"/>
      <c r="J117" s="17" t="n"/>
      <c r="K117" s="16" t="n"/>
      <c r="L117" s="9" t="n"/>
      <c r="M117" s="26" t="n"/>
    </row>
    <row r="118">
      <c r="A118" s="16" t="n"/>
      <c r="B118" s="10" t="n"/>
      <c r="C118" s="17" t="n"/>
      <c r="D118" s="17" t="n"/>
      <c r="E118" s="17" t="n"/>
      <c r="F118" s="10" t="n"/>
      <c r="G118" s="10" t="n"/>
      <c r="H118" s="24" t="n"/>
      <c r="I118" s="10" t="n"/>
      <c r="J118" s="17" t="n"/>
      <c r="K118" s="16" t="n"/>
      <c r="L118" s="9" t="n"/>
      <c r="M118" s="26" t="n"/>
    </row>
    <row r="119">
      <c r="A119" s="16" t="n"/>
      <c r="B119" s="10" t="n"/>
      <c r="C119" s="17" t="n"/>
      <c r="D119" s="17" t="n"/>
      <c r="E119" s="17" t="n"/>
      <c r="F119" s="10" t="n"/>
      <c r="G119" s="10" t="n"/>
      <c r="H119" s="24" t="n"/>
      <c r="I119" s="10" t="n"/>
      <c r="J119" s="17" t="n"/>
      <c r="K119" s="16" t="n"/>
      <c r="L119" s="9" t="n"/>
      <c r="M119" s="26" t="n"/>
    </row>
    <row r="120">
      <c r="A120" s="16" t="n"/>
      <c r="B120" s="10" t="n"/>
      <c r="C120" s="17" t="n"/>
      <c r="D120" s="17" t="n"/>
      <c r="E120" s="17" t="n"/>
      <c r="F120" s="10" t="n"/>
      <c r="G120" s="10" t="n"/>
      <c r="H120" s="24" t="n"/>
      <c r="I120" s="10" t="n"/>
      <c r="J120" s="17" t="n"/>
      <c r="K120" s="16" t="n"/>
      <c r="L120" s="9" t="n"/>
      <c r="M120" s="26" t="n"/>
    </row>
    <row r="121">
      <c r="A121" s="16" t="n"/>
      <c r="B121" s="10" t="n"/>
      <c r="C121" s="17" t="n"/>
      <c r="D121" s="17" t="n"/>
      <c r="E121" s="17" t="n"/>
      <c r="F121" s="10" t="n"/>
      <c r="G121" s="10" t="n"/>
      <c r="H121" s="24" t="n"/>
      <c r="I121" s="10" t="n"/>
      <c r="J121" s="17" t="n"/>
      <c r="K121" s="16" t="n"/>
      <c r="L121" s="9" t="n"/>
      <c r="M121" s="26" t="n"/>
    </row>
    <row r="122">
      <c r="A122" s="16" t="n"/>
      <c r="B122" s="10" t="n"/>
      <c r="C122" s="17" t="n"/>
      <c r="D122" s="17" t="n"/>
      <c r="E122" s="17" t="n"/>
      <c r="F122" s="10" t="n"/>
      <c r="G122" s="10" t="n"/>
      <c r="H122" s="24" t="n"/>
      <c r="I122" s="10" t="n"/>
      <c r="J122" s="17" t="n"/>
      <c r="K122" s="16" t="n"/>
      <c r="L122" s="9" t="n"/>
      <c r="M122" s="26" t="n"/>
    </row>
    <row r="123">
      <c r="A123" s="16" t="n"/>
      <c r="B123" s="10" t="n"/>
      <c r="C123" s="17" t="n"/>
      <c r="D123" s="17" t="n"/>
      <c r="E123" s="17" t="n"/>
      <c r="F123" s="10" t="n"/>
      <c r="G123" s="10" t="n"/>
      <c r="H123" s="24" t="n"/>
      <c r="I123" s="10" t="n"/>
      <c r="J123" s="17" t="n"/>
      <c r="K123" s="16" t="n"/>
      <c r="L123" s="9" t="n"/>
      <c r="M123" s="26" t="n"/>
    </row>
    <row r="124">
      <c r="A124" s="16" t="n"/>
      <c r="B124" s="10" t="n"/>
      <c r="C124" s="17" t="n"/>
      <c r="D124" s="17" t="n"/>
      <c r="E124" s="17" t="n"/>
      <c r="F124" s="10" t="n"/>
      <c r="G124" s="10" t="n"/>
      <c r="H124" s="24" t="n"/>
      <c r="I124" s="10" t="n"/>
      <c r="J124" s="17" t="n"/>
      <c r="K124" s="16" t="n"/>
      <c r="L124" s="9" t="n"/>
      <c r="M124" s="26" t="n"/>
    </row>
    <row r="125">
      <c r="A125" s="16" t="n"/>
      <c r="B125" s="10" t="n"/>
      <c r="C125" s="17" t="n"/>
      <c r="D125" s="17" t="n"/>
      <c r="E125" s="17" t="n"/>
      <c r="F125" s="10" t="n"/>
      <c r="G125" s="10" t="n"/>
      <c r="H125" s="24" t="n"/>
      <c r="I125" s="10" t="n"/>
      <c r="J125" s="17" t="n"/>
      <c r="K125" s="16" t="n"/>
      <c r="L125" s="9" t="n"/>
      <c r="M125" s="26" t="n"/>
    </row>
    <row r="126">
      <c r="A126" s="16" t="n"/>
      <c r="B126" s="10" t="n"/>
      <c r="C126" s="17" t="n"/>
      <c r="D126" s="17" t="n"/>
      <c r="E126" s="17" t="n"/>
      <c r="F126" s="10" t="n"/>
      <c r="G126" s="10" t="n"/>
      <c r="H126" s="24" t="n"/>
      <c r="I126" s="10" t="n"/>
      <c r="J126" s="17" t="n"/>
      <c r="K126" s="16" t="n"/>
      <c r="L126" s="9" t="n"/>
      <c r="M126" s="26" t="n"/>
    </row>
    <row r="127">
      <c r="A127" s="16" t="n"/>
      <c r="B127" s="10" t="n"/>
      <c r="C127" s="17" t="n"/>
      <c r="D127" s="17" t="n"/>
      <c r="E127" s="17" t="n"/>
      <c r="F127" s="10" t="n"/>
      <c r="G127" s="10" t="n"/>
      <c r="H127" s="24" t="n"/>
      <c r="I127" s="10" t="n"/>
      <c r="J127" s="17" t="n"/>
      <c r="K127" s="16" t="n"/>
      <c r="L127" s="9" t="n"/>
      <c r="M127" s="26" t="n"/>
    </row>
    <row r="128">
      <c r="A128" s="16" t="n"/>
      <c r="B128" s="10" t="n"/>
      <c r="C128" s="17" t="n"/>
      <c r="D128" s="17" t="n"/>
      <c r="E128" s="17" t="n"/>
      <c r="F128" s="10" t="n"/>
      <c r="G128" s="10" t="n"/>
      <c r="H128" s="24" t="n"/>
      <c r="I128" s="10" t="n"/>
      <c r="J128" s="17" t="n"/>
      <c r="K128" s="16" t="n"/>
      <c r="L128" s="9" t="n"/>
      <c r="M128" s="26" t="n"/>
    </row>
    <row r="129">
      <c r="A129" s="16" t="n"/>
      <c r="B129" s="10" t="n"/>
      <c r="C129" s="17" t="n"/>
      <c r="D129" s="17" t="n"/>
      <c r="E129" s="17" t="n"/>
      <c r="F129" s="10" t="n"/>
      <c r="G129" s="10" t="n"/>
      <c r="H129" s="24" t="n"/>
      <c r="I129" s="10" t="n"/>
      <c r="J129" s="17" t="n"/>
      <c r="K129" s="16" t="n"/>
      <c r="L129" s="9" t="n"/>
      <c r="M129" s="26" t="n"/>
    </row>
    <row r="130">
      <c r="A130" s="16" t="n"/>
      <c r="B130" s="10" t="n"/>
      <c r="C130" s="17" t="n"/>
      <c r="D130" s="17" t="n"/>
      <c r="E130" s="17" t="n"/>
      <c r="F130" s="10" t="n"/>
      <c r="G130" s="10" t="n"/>
      <c r="H130" s="24" t="n"/>
      <c r="I130" s="10" t="n"/>
      <c r="J130" s="17" t="n"/>
      <c r="K130" s="16" t="n"/>
      <c r="L130" s="9" t="n"/>
      <c r="M130" s="26" t="n"/>
    </row>
    <row r="131">
      <c r="A131" s="16" t="n"/>
      <c r="B131" s="10" t="n"/>
      <c r="C131" s="17" t="n"/>
      <c r="D131" s="17" t="n"/>
      <c r="E131" s="17" t="n"/>
      <c r="F131" s="10" t="n"/>
      <c r="G131" s="10" t="n"/>
      <c r="H131" s="24" t="n"/>
      <c r="I131" s="10" t="n"/>
      <c r="J131" s="17" t="n"/>
      <c r="K131" s="16" t="n"/>
      <c r="L131" s="9" t="n"/>
      <c r="M131" s="26" t="n"/>
    </row>
    <row r="132">
      <c r="A132" s="16" t="n"/>
      <c r="B132" s="10" t="n"/>
      <c r="C132" s="17" t="n"/>
      <c r="D132" s="17" t="n"/>
      <c r="E132" s="17" t="n"/>
      <c r="F132" s="10" t="n"/>
      <c r="G132" s="10" t="n"/>
      <c r="H132" s="24" t="n"/>
      <c r="I132" s="10" t="n"/>
      <c r="J132" s="17" t="n"/>
      <c r="K132" s="16" t="n"/>
      <c r="L132" s="9" t="n"/>
      <c r="M132" s="26" t="n"/>
    </row>
    <row r="133">
      <c r="A133" s="16" t="n"/>
      <c r="B133" s="10" t="n"/>
      <c r="C133" s="17" t="n"/>
      <c r="D133" s="17" t="n"/>
      <c r="E133" s="17" t="n"/>
      <c r="F133" s="10" t="n"/>
      <c r="G133" s="10" t="n"/>
      <c r="H133" s="24" t="n"/>
      <c r="I133" s="10" t="n"/>
      <c r="J133" s="17" t="n"/>
      <c r="K133" s="16" t="n"/>
      <c r="L133" s="9" t="n"/>
      <c r="M133" s="26" t="n"/>
    </row>
    <row r="134">
      <c r="A134" s="16" t="n"/>
      <c r="B134" s="10" t="n"/>
      <c r="C134" s="17" t="n"/>
      <c r="D134" s="17" t="n"/>
      <c r="E134" s="17" t="n"/>
      <c r="F134" s="10" t="n"/>
      <c r="G134" s="10" t="n"/>
      <c r="H134" s="24" t="n"/>
      <c r="I134" s="10" t="n"/>
      <c r="J134" s="17" t="n"/>
      <c r="K134" s="16" t="n"/>
      <c r="L134" s="9" t="n"/>
      <c r="M134" s="26" t="n"/>
    </row>
    <row r="135">
      <c r="A135" s="16" t="n"/>
      <c r="B135" s="10" t="n"/>
      <c r="C135" s="17" t="n"/>
      <c r="D135" s="17" t="n"/>
      <c r="E135" s="17" t="n"/>
      <c r="F135" s="10" t="n"/>
      <c r="G135" s="10" t="n"/>
      <c r="H135" s="24" t="n"/>
      <c r="I135" s="10" t="n"/>
      <c r="J135" s="17" t="n"/>
      <c r="K135" s="16" t="n"/>
      <c r="L135" s="9" t="n"/>
      <c r="M135" s="26" t="n"/>
    </row>
    <row r="136">
      <c r="A136" s="16" t="n"/>
      <c r="B136" s="10" t="n"/>
      <c r="C136" s="17" t="n"/>
      <c r="D136" s="17" t="n"/>
      <c r="E136" s="17" t="n"/>
      <c r="F136" s="10" t="n"/>
      <c r="G136" s="10" t="n"/>
      <c r="H136" s="24" t="n"/>
      <c r="I136" s="10" t="n"/>
      <c r="J136" s="17" t="n"/>
      <c r="K136" s="16" t="n"/>
      <c r="L136" s="9" t="n"/>
      <c r="M136" s="26" t="n"/>
    </row>
    <row r="137">
      <c r="A137" s="16" t="n"/>
      <c r="B137" s="10" t="n"/>
      <c r="C137" s="17" t="n"/>
      <c r="D137" s="17" t="n"/>
      <c r="E137" s="17" t="n"/>
      <c r="F137" s="10" t="n"/>
      <c r="G137" s="10" t="n"/>
      <c r="H137" s="24" t="n"/>
      <c r="I137" s="10" t="n"/>
      <c r="J137" s="17" t="n"/>
      <c r="K137" s="16" t="n"/>
      <c r="L137" s="9" t="n"/>
      <c r="M137" s="26" t="n"/>
    </row>
    <row r="138">
      <c r="A138" s="16" t="n"/>
      <c r="B138" s="10" t="n"/>
      <c r="C138" s="17" t="n"/>
      <c r="D138" s="17" t="n"/>
      <c r="E138" s="17" t="n"/>
      <c r="F138" s="10" t="n"/>
      <c r="G138" s="10" t="n"/>
      <c r="H138" s="24" t="n"/>
      <c r="I138" s="10" t="n"/>
      <c r="J138" s="17" t="n"/>
      <c r="K138" s="16" t="n"/>
      <c r="L138" s="9" t="n"/>
      <c r="M138" s="26" t="n"/>
    </row>
    <row r="139">
      <c r="A139" s="16" t="n"/>
      <c r="B139" s="10" t="n"/>
      <c r="C139" s="17" t="n"/>
      <c r="D139" s="17" t="n"/>
      <c r="E139" s="17" t="n"/>
      <c r="F139" s="10" t="n"/>
      <c r="G139" s="10" t="n"/>
      <c r="H139" s="24" t="n"/>
      <c r="I139" s="10" t="n"/>
      <c r="J139" s="17" t="n"/>
      <c r="K139" s="16" t="n"/>
      <c r="L139" s="9" t="n"/>
      <c r="M139" s="26" t="n"/>
    </row>
    <row r="140">
      <c r="A140" s="16" t="n"/>
      <c r="B140" s="10" t="n"/>
      <c r="C140" s="17" t="n"/>
      <c r="D140" s="17" t="n"/>
      <c r="E140" s="17" t="n"/>
      <c r="F140" s="10" t="n"/>
      <c r="G140" s="10" t="n"/>
      <c r="H140" s="24" t="n"/>
      <c r="I140" s="10" t="n"/>
      <c r="J140" s="17" t="n"/>
      <c r="K140" s="16" t="n"/>
      <c r="L140" s="9" t="n"/>
      <c r="M140" s="26" t="n"/>
    </row>
    <row r="141">
      <c r="A141" s="16" t="n"/>
      <c r="B141" s="10" t="n"/>
      <c r="C141" s="17" t="n"/>
      <c r="D141" s="17" t="n"/>
      <c r="E141" s="17" t="n"/>
      <c r="F141" s="10" t="n"/>
      <c r="G141" s="10" t="n"/>
      <c r="H141" s="24" t="n"/>
      <c r="I141" s="10" t="n"/>
      <c r="J141" s="17" t="n"/>
      <c r="K141" s="16" t="n"/>
      <c r="L141" s="9" t="n"/>
      <c r="M141" s="26" t="n"/>
    </row>
    <row r="142">
      <c r="A142" s="16" t="n"/>
      <c r="B142" s="10" t="n"/>
      <c r="C142" s="17" t="n"/>
      <c r="D142" s="17" t="n"/>
      <c r="E142" s="17" t="n"/>
      <c r="F142" s="10" t="n"/>
      <c r="G142" s="10" t="n"/>
      <c r="H142" s="24" t="n"/>
      <c r="I142" s="10" t="n"/>
      <c r="J142" s="17" t="n"/>
      <c r="K142" s="16" t="n"/>
      <c r="L142" s="9" t="n"/>
      <c r="M142" s="26" t="n"/>
    </row>
    <row r="143">
      <c r="A143" s="16" t="n"/>
      <c r="B143" s="10" t="n"/>
      <c r="C143" s="17" t="n"/>
      <c r="D143" s="17" t="n"/>
      <c r="E143" s="17" t="n"/>
      <c r="F143" s="10" t="n"/>
      <c r="G143" s="10" t="n"/>
      <c r="H143" s="24" t="n"/>
      <c r="I143" s="10" t="n"/>
      <c r="J143" s="17" t="n"/>
      <c r="K143" s="16" t="n"/>
      <c r="L143" s="9" t="n"/>
      <c r="M143" s="26" t="n"/>
    </row>
    <row r="144">
      <c r="A144" s="16" t="n"/>
      <c r="B144" s="10" t="n"/>
      <c r="C144" s="17" t="n"/>
      <c r="D144" s="17" t="n"/>
      <c r="E144" s="17" t="n"/>
      <c r="F144" s="10" t="n"/>
      <c r="G144" s="10" t="n"/>
      <c r="H144" s="24" t="n"/>
      <c r="I144" s="10" t="n"/>
      <c r="J144" s="17" t="n"/>
      <c r="K144" s="16" t="n"/>
      <c r="L144" s="9" t="n"/>
      <c r="M144" s="26" t="n"/>
    </row>
    <row r="145">
      <c r="A145" s="16" t="n"/>
      <c r="B145" s="10" t="n"/>
      <c r="C145" s="17" t="n"/>
      <c r="D145" s="17" t="n"/>
      <c r="E145" s="17" t="n"/>
      <c r="F145" s="10" t="n"/>
      <c r="G145" s="10" t="n"/>
      <c r="H145" s="24" t="n"/>
      <c r="I145" s="10" t="n"/>
      <c r="J145" s="17" t="n"/>
      <c r="K145" s="16" t="n"/>
      <c r="L145" s="9" t="n"/>
      <c r="M145" s="26" t="n"/>
    </row>
    <row r="146">
      <c r="A146" s="16" t="n"/>
      <c r="B146" s="10" t="n"/>
      <c r="C146" s="17" t="n"/>
      <c r="D146" s="17" t="n"/>
      <c r="E146" s="17" t="n"/>
      <c r="F146" s="10" t="n"/>
      <c r="G146" s="10" t="n"/>
      <c r="H146" s="24" t="n"/>
      <c r="I146" s="10" t="n"/>
      <c r="J146" s="17" t="n"/>
      <c r="K146" s="16" t="n"/>
      <c r="L146" s="9" t="n"/>
      <c r="M146" s="26" t="n"/>
    </row>
    <row r="147">
      <c r="A147" s="16" t="n"/>
      <c r="B147" s="10" t="n"/>
      <c r="C147" s="17" t="n"/>
      <c r="D147" s="17" t="n"/>
      <c r="E147" s="17" t="n"/>
      <c r="F147" s="10" t="n"/>
      <c r="G147" s="10" t="n"/>
      <c r="H147" s="24" t="n"/>
      <c r="I147" s="10" t="n"/>
      <c r="J147" s="17" t="n"/>
      <c r="K147" s="16" t="n"/>
      <c r="L147" s="9" t="n"/>
      <c r="M147" s="26" t="n"/>
    </row>
    <row r="148">
      <c r="A148" s="16" t="n"/>
      <c r="B148" s="10" t="n"/>
      <c r="C148" s="17" t="n"/>
      <c r="D148" s="17" t="n"/>
      <c r="E148" s="17" t="n"/>
      <c r="F148" s="10" t="n"/>
      <c r="G148" s="10" t="n"/>
      <c r="H148" s="24" t="n"/>
      <c r="I148" s="10" t="n"/>
      <c r="J148" s="17" t="n"/>
      <c r="K148" s="16" t="n"/>
      <c r="L148" s="9" t="n"/>
      <c r="M148" s="26" t="n"/>
    </row>
    <row r="149">
      <c r="A149" s="16" t="n"/>
      <c r="B149" s="10" t="n"/>
      <c r="C149" s="17" t="n"/>
      <c r="D149" s="17" t="n"/>
      <c r="E149" s="17" t="n"/>
      <c r="F149" s="10" t="n"/>
      <c r="G149" s="10" t="n"/>
      <c r="H149" s="24" t="n"/>
      <c r="I149" s="10" t="n"/>
      <c r="J149" s="17" t="n"/>
      <c r="K149" s="16" t="n"/>
      <c r="L149" s="9" t="n"/>
      <c r="M149" s="26" t="n"/>
    </row>
    <row r="150">
      <c r="A150" s="16" t="n"/>
      <c r="B150" s="10" t="n"/>
      <c r="C150" s="17" t="n"/>
      <c r="D150" s="17" t="n"/>
      <c r="E150" s="17" t="n"/>
      <c r="F150" s="10" t="n"/>
      <c r="G150" s="10" t="n"/>
      <c r="H150" s="24" t="n"/>
      <c r="I150" s="10" t="n"/>
      <c r="J150" s="17" t="n"/>
      <c r="K150" s="16" t="n"/>
      <c r="L150" s="9" t="n"/>
      <c r="M150" s="26" t="n"/>
    </row>
    <row r="151">
      <c r="A151" s="16" t="n"/>
      <c r="B151" s="10" t="n"/>
      <c r="C151" s="17" t="n"/>
      <c r="D151" s="17" t="n"/>
      <c r="E151" s="17" t="n"/>
      <c r="F151" s="10" t="n"/>
      <c r="G151" s="10" t="n"/>
      <c r="H151" s="24" t="n"/>
      <c r="I151" s="10" t="n"/>
      <c r="J151" s="17" t="n"/>
      <c r="K151" s="16" t="n"/>
      <c r="L151" s="9" t="n"/>
      <c r="M151" s="26" t="n"/>
    </row>
    <row r="152">
      <c r="A152" s="16" t="n"/>
      <c r="B152" s="10" t="n"/>
      <c r="C152" s="17" t="n"/>
      <c r="D152" s="17" t="n"/>
      <c r="E152" s="17" t="n"/>
      <c r="F152" s="10" t="n"/>
      <c r="G152" s="10" t="n"/>
      <c r="H152" s="24" t="n"/>
      <c r="I152" s="10" t="n"/>
      <c r="J152" s="17" t="n"/>
      <c r="K152" s="16" t="n"/>
      <c r="L152" s="9" t="n"/>
      <c r="M152" s="26" t="n"/>
    </row>
    <row r="153">
      <c r="A153" s="16" t="n"/>
      <c r="B153" s="10" t="n"/>
      <c r="C153" s="17" t="n"/>
      <c r="D153" s="17" t="n"/>
      <c r="E153" s="17" t="n"/>
      <c r="F153" s="10" t="n"/>
      <c r="G153" s="10" t="n"/>
      <c r="H153" s="24" t="n"/>
      <c r="I153" s="10" t="n"/>
      <c r="J153" s="17" t="n"/>
      <c r="K153" s="16" t="n"/>
      <c r="L153" s="9" t="n"/>
      <c r="M153" s="26" t="n"/>
    </row>
    <row r="154">
      <c r="A154" s="16" t="n"/>
      <c r="B154" s="10" t="n"/>
      <c r="C154" s="17" t="n"/>
      <c r="D154" s="17" t="n"/>
      <c r="E154" s="17" t="n"/>
      <c r="F154" s="10" t="n"/>
      <c r="G154" s="10" t="n"/>
      <c r="H154" s="24" t="n"/>
      <c r="I154" s="10" t="n"/>
      <c r="J154" s="17" t="n"/>
      <c r="K154" s="16" t="n"/>
      <c r="L154" s="9" t="n"/>
      <c r="M154" s="26" t="n"/>
    </row>
    <row r="155">
      <c r="A155" s="16" t="n"/>
      <c r="B155" s="10" t="n"/>
      <c r="C155" s="17" t="n"/>
      <c r="D155" s="17" t="n"/>
      <c r="E155" s="17" t="n"/>
      <c r="F155" s="10" t="n"/>
      <c r="G155" s="10" t="n"/>
      <c r="H155" s="24" t="n"/>
      <c r="I155" s="10" t="n"/>
      <c r="J155" s="17" t="n"/>
      <c r="K155" s="16" t="n"/>
      <c r="L155" s="9" t="n"/>
      <c r="M155" s="26" t="n"/>
    </row>
    <row r="156">
      <c r="A156" s="16" t="n"/>
      <c r="B156" s="10" t="n"/>
      <c r="C156" s="17" t="n"/>
      <c r="D156" s="17" t="n"/>
      <c r="E156" s="17" t="n"/>
      <c r="F156" s="10" t="n"/>
      <c r="G156" s="10" t="n"/>
      <c r="H156" s="24" t="n"/>
      <c r="I156" s="10" t="n"/>
      <c r="J156" s="17" t="n"/>
      <c r="K156" s="16" t="n"/>
      <c r="L156" s="9" t="n"/>
      <c r="M156" s="26" t="n"/>
    </row>
    <row r="157">
      <c r="A157" s="16" t="n"/>
      <c r="B157" s="10" t="n"/>
      <c r="C157" s="17" t="n"/>
      <c r="D157" s="17" t="n"/>
      <c r="E157" s="17" t="n"/>
      <c r="F157" s="10" t="n"/>
      <c r="G157" s="10" t="n"/>
      <c r="H157" s="24" t="n"/>
      <c r="I157" s="10" t="n"/>
      <c r="J157" s="17" t="n"/>
      <c r="K157" s="16" t="n"/>
      <c r="L157" s="9" t="n"/>
      <c r="M157" s="26" t="n"/>
    </row>
    <row r="158">
      <c r="A158" s="16" t="n"/>
      <c r="B158" s="10" t="n"/>
      <c r="C158" s="17" t="n"/>
      <c r="D158" s="17" t="n"/>
      <c r="E158" s="17" t="n"/>
      <c r="F158" s="10" t="n"/>
      <c r="G158" s="10" t="n"/>
      <c r="H158" s="24" t="n"/>
      <c r="I158" s="10" t="n"/>
      <c r="J158" s="17" t="n"/>
      <c r="K158" s="16" t="n"/>
      <c r="L158" s="9" t="n"/>
      <c r="M158" s="26" t="n"/>
    </row>
    <row r="159">
      <c r="A159" s="16" t="n"/>
      <c r="B159" s="10" t="n"/>
      <c r="C159" s="17" t="n"/>
      <c r="D159" s="17" t="n"/>
      <c r="E159" s="17" t="n"/>
      <c r="F159" s="10" t="n"/>
      <c r="G159" s="10" t="n"/>
      <c r="H159" s="24" t="n"/>
      <c r="I159" s="10" t="n"/>
      <c r="J159" s="17" t="n"/>
      <c r="K159" s="16" t="n"/>
      <c r="L159" s="9" t="n"/>
      <c r="M159" s="26" t="n"/>
    </row>
    <row r="160">
      <c r="A160" s="16" t="n"/>
      <c r="B160" s="10" t="n"/>
      <c r="C160" s="17" t="n"/>
      <c r="D160" s="17" t="n"/>
      <c r="E160" s="17" t="n"/>
      <c r="F160" s="10" t="n"/>
      <c r="G160" s="10" t="n"/>
      <c r="H160" s="24" t="n"/>
      <c r="I160" s="10" t="n"/>
      <c r="J160" s="17" t="n"/>
      <c r="K160" s="16" t="n"/>
      <c r="L160" s="9" t="n"/>
      <c r="M160" s="26" t="n"/>
    </row>
    <row r="161">
      <c r="A161" s="16" t="n"/>
      <c r="B161" s="10" t="n"/>
      <c r="C161" s="17" t="n"/>
      <c r="D161" s="17" t="n"/>
      <c r="E161" s="17" t="n"/>
      <c r="F161" s="10" t="n"/>
      <c r="G161" s="10" t="n"/>
      <c r="H161" s="24" t="n"/>
      <c r="I161" s="10" t="n"/>
      <c r="J161" s="17" t="n"/>
      <c r="K161" s="16" t="n"/>
      <c r="L161" s="9" t="n"/>
      <c r="M161" s="26" t="n"/>
    </row>
    <row r="162">
      <c r="A162" s="16" t="n"/>
      <c r="B162" s="10" t="n"/>
      <c r="C162" s="17" t="n"/>
      <c r="D162" s="17" t="n"/>
      <c r="E162" s="17" t="n"/>
      <c r="F162" s="10" t="n"/>
      <c r="G162" s="10" t="n"/>
      <c r="H162" s="24" t="n"/>
      <c r="I162" s="10" t="n"/>
      <c r="J162" s="17" t="n"/>
      <c r="K162" s="16" t="n"/>
      <c r="L162" s="9" t="n"/>
      <c r="M162" s="26" t="n"/>
    </row>
    <row r="163">
      <c r="A163" s="16" t="n"/>
      <c r="B163" s="10" t="n"/>
      <c r="C163" s="17" t="n"/>
      <c r="D163" s="17" t="n"/>
      <c r="E163" s="17" t="n"/>
      <c r="F163" s="10" t="n"/>
      <c r="G163" s="10" t="n"/>
      <c r="H163" s="24" t="n"/>
      <c r="I163" s="10" t="n"/>
      <c r="J163" s="17" t="n"/>
      <c r="K163" s="16" t="n"/>
      <c r="L163" s="9" t="n"/>
      <c r="M163" s="26" t="n"/>
    </row>
    <row r="164">
      <c r="A164" s="16" t="n"/>
      <c r="B164" s="10" t="n"/>
      <c r="C164" s="17" t="n"/>
      <c r="D164" s="17" t="n"/>
      <c r="E164" s="17" t="n"/>
      <c r="F164" s="10" t="n"/>
      <c r="G164" s="10" t="n"/>
      <c r="H164" s="24" t="n"/>
      <c r="I164" s="10" t="n"/>
      <c r="J164" s="17" t="n"/>
      <c r="K164" s="16" t="n"/>
      <c r="L164" s="9" t="n"/>
      <c r="M164" s="26" t="n"/>
    </row>
    <row r="165">
      <c r="A165" s="16" t="n"/>
      <c r="B165" s="10" t="n"/>
      <c r="C165" s="17" t="n"/>
      <c r="D165" s="17" t="n"/>
      <c r="E165" s="17" t="n"/>
      <c r="F165" s="10" t="n"/>
      <c r="G165" s="10" t="n"/>
      <c r="H165" s="24" t="n"/>
      <c r="I165" s="10" t="n"/>
      <c r="J165" s="17" t="n"/>
      <c r="K165" s="16" t="n"/>
      <c r="L165" s="9" t="n"/>
      <c r="M165" s="26" t="n"/>
    </row>
    <row r="166">
      <c r="A166" s="16" t="n"/>
      <c r="B166" s="10" t="n"/>
      <c r="C166" s="17" t="n"/>
      <c r="D166" s="17" t="n"/>
      <c r="E166" s="17" t="n"/>
      <c r="F166" s="10" t="n"/>
      <c r="G166" s="10" t="n"/>
      <c r="H166" s="24" t="n"/>
      <c r="I166" s="10" t="n"/>
      <c r="J166" s="17" t="n"/>
      <c r="K166" s="16" t="n"/>
      <c r="L166" s="9" t="n"/>
      <c r="M166" s="26" t="n"/>
    </row>
    <row r="167">
      <c r="A167" s="16" t="n"/>
      <c r="B167" s="10" t="n"/>
      <c r="C167" s="17" t="n"/>
      <c r="D167" s="17" t="n"/>
      <c r="E167" s="17" t="n"/>
      <c r="F167" s="10" t="n"/>
      <c r="G167" s="10" t="n"/>
      <c r="H167" s="24" t="n"/>
      <c r="I167" s="10" t="n"/>
      <c r="J167" s="17" t="n"/>
      <c r="K167" s="16" t="n"/>
      <c r="L167" s="9" t="n"/>
      <c r="M167" s="26" t="n"/>
    </row>
    <row r="168">
      <c r="A168" s="16" t="n"/>
      <c r="B168" s="10" t="n"/>
      <c r="C168" s="17" t="n"/>
      <c r="D168" s="17" t="n"/>
      <c r="E168" s="17" t="n"/>
      <c r="F168" s="10" t="n"/>
      <c r="G168" s="10" t="n"/>
      <c r="H168" s="24" t="n"/>
      <c r="I168" s="10" t="n"/>
      <c r="J168" s="17" t="n"/>
      <c r="K168" s="16" t="n"/>
      <c r="L168" s="9" t="n"/>
      <c r="M168" s="26" t="n"/>
    </row>
    <row r="169">
      <c r="A169" s="16" t="n"/>
      <c r="B169" s="10" t="n"/>
      <c r="C169" s="17" t="n"/>
      <c r="D169" s="17" t="n"/>
      <c r="E169" s="17" t="n"/>
      <c r="F169" s="10" t="n"/>
      <c r="G169" s="10" t="n"/>
      <c r="H169" s="24" t="n"/>
      <c r="I169" s="10" t="n"/>
      <c r="J169" s="17" t="n"/>
      <c r="K169" s="16" t="n"/>
      <c r="L169" s="9" t="n"/>
      <c r="M169" s="26" t="n"/>
    </row>
    <row r="170">
      <c r="A170" s="16" t="n"/>
      <c r="B170" s="10" t="n"/>
      <c r="C170" s="17" t="n"/>
      <c r="D170" s="17" t="n"/>
      <c r="E170" s="17" t="n"/>
      <c r="F170" s="10" t="n"/>
      <c r="G170" s="10" t="n"/>
      <c r="H170" s="24" t="n"/>
      <c r="I170" s="10" t="n"/>
      <c r="J170" s="17" t="n"/>
      <c r="K170" s="16" t="n"/>
      <c r="L170" s="9" t="n"/>
      <c r="M170" s="26" t="n"/>
    </row>
    <row r="171">
      <c r="A171" s="16" t="n"/>
      <c r="B171" s="10" t="n"/>
      <c r="C171" s="17" t="n"/>
      <c r="D171" s="17" t="n"/>
      <c r="E171" s="17" t="n"/>
      <c r="F171" s="10" t="n"/>
      <c r="G171" s="10" t="n"/>
      <c r="H171" s="24" t="n"/>
      <c r="I171" s="10" t="n"/>
      <c r="J171" s="17" t="n"/>
      <c r="K171" s="16" t="n"/>
      <c r="L171" s="9" t="n"/>
      <c r="M171" s="26" t="n"/>
    </row>
    <row r="172">
      <c r="A172" s="16" t="n"/>
      <c r="B172" s="10" t="n"/>
      <c r="C172" s="17" t="n"/>
      <c r="D172" s="17" t="n"/>
      <c r="E172" s="17" t="n"/>
      <c r="F172" s="10" t="n"/>
      <c r="G172" s="10" t="n"/>
      <c r="H172" s="24" t="n"/>
      <c r="I172" s="10" t="n"/>
      <c r="J172" s="17" t="n"/>
      <c r="K172" s="16" t="n"/>
      <c r="L172" s="9" t="n"/>
      <c r="M172" s="26" t="n"/>
    </row>
    <row r="173">
      <c r="A173" s="16" t="n"/>
      <c r="B173" s="10" t="n"/>
      <c r="C173" s="17" t="n"/>
      <c r="D173" s="17" t="n"/>
      <c r="E173" s="17" t="n"/>
      <c r="F173" s="10" t="n"/>
      <c r="G173" s="10" t="n"/>
      <c r="H173" s="24" t="n"/>
      <c r="I173" s="10" t="n"/>
      <c r="J173" s="17" t="n"/>
      <c r="K173" s="16" t="n"/>
      <c r="L173" s="9" t="n"/>
      <c r="M173" s="26" t="n"/>
    </row>
    <row r="174">
      <c r="A174" s="16" t="n"/>
      <c r="B174" s="10" t="n"/>
      <c r="C174" s="17" t="n"/>
      <c r="D174" s="17" t="n"/>
      <c r="E174" s="17" t="n"/>
      <c r="F174" s="10" t="n"/>
      <c r="G174" s="10" t="n"/>
      <c r="H174" s="24" t="n"/>
      <c r="I174" s="10" t="n"/>
      <c r="J174" s="17" t="n"/>
      <c r="K174" s="16" t="n"/>
      <c r="L174" s="9" t="n"/>
      <c r="M174" s="26" t="n"/>
    </row>
    <row r="175">
      <c r="A175" s="16" t="n"/>
      <c r="B175" s="10" t="n"/>
      <c r="C175" s="17" t="n"/>
      <c r="D175" s="17" t="n"/>
      <c r="E175" s="17" t="n"/>
      <c r="F175" s="10" t="n"/>
      <c r="G175" s="10" t="n"/>
      <c r="H175" s="24" t="n"/>
      <c r="I175" s="10" t="n"/>
      <c r="J175" s="17" t="n"/>
      <c r="K175" s="16" t="n"/>
      <c r="L175" s="9" t="n"/>
      <c r="M175" s="26" t="n"/>
    </row>
    <row r="176">
      <c r="A176" s="16" t="n"/>
      <c r="B176" s="10" t="n"/>
      <c r="C176" s="17" t="n"/>
      <c r="D176" s="17" t="n"/>
      <c r="E176" s="17" t="n"/>
      <c r="F176" s="10" t="n"/>
      <c r="G176" s="10" t="n"/>
      <c r="H176" s="24" t="n"/>
      <c r="I176" s="10" t="n"/>
      <c r="J176" s="17" t="n"/>
      <c r="K176" s="16" t="n"/>
      <c r="L176" s="9" t="n"/>
      <c r="M176" s="26" t="n"/>
    </row>
    <row r="177">
      <c r="A177" s="16" t="n"/>
      <c r="B177" s="10" t="n"/>
      <c r="C177" s="17" t="n"/>
      <c r="D177" s="17" t="n"/>
      <c r="E177" s="17" t="n"/>
      <c r="F177" s="10" t="n"/>
      <c r="G177" s="10" t="n"/>
      <c r="H177" s="24" t="n"/>
      <c r="I177" s="10" t="n"/>
      <c r="J177" s="17" t="n"/>
      <c r="K177" s="16" t="n"/>
      <c r="L177" s="9" t="n"/>
      <c r="M177" s="26" t="n"/>
    </row>
    <row r="178">
      <c r="A178" s="16" t="n"/>
      <c r="B178" s="10" t="n"/>
      <c r="C178" s="17" t="n"/>
      <c r="D178" s="17" t="n"/>
      <c r="E178" s="17" t="n"/>
      <c r="F178" s="10" t="n"/>
      <c r="G178" s="10" t="n"/>
      <c r="H178" s="24" t="n"/>
      <c r="I178" s="10" t="n"/>
      <c r="J178" s="17" t="n"/>
      <c r="K178" s="16" t="n"/>
      <c r="L178" s="9" t="n"/>
      <c r="M178" s="26" t="n"/>
    </row>
    <row r="179">
      <c r="A179" s="16" t="n"/>
      <c r="B179" s="10" t="n"/>
      <c r="C179" s="17" t="n"/>
      <c r="D179" s="17" t="n"/>
      <c r="E179" s="17" t="n"/>
      <c r="F179" s="10" t="n"/>
      <c r="G179" s="10" t="n"/>
      <c r="H179" s="24" t="n"/>
      <c r="I179" s="10" t="n"/>
      <c r="J179" s="17" t="n"/>
      <c r="K179" s="16" t="n"/>
      <c r="L179" s="9" t="n"/>
      <c r="M179" s="26" t="n"/>
    </row>
    <row r="180">
      <c r="A180" s="16" t="n"/>
      <c r="B180" s="10" t="n"/>
      <c r="C180" s="17" t="n"/>
      <c r="D180" s="17" t="n"/>
      <c r="E180" s="17" t="n"/>
      <c r="F180" s="10" t="n"/>
      <c r="G180" s="10" t="n"/>
      <c r="H180" s="24" t="n"/>
      <c r="I180" s="10" t="n"/>
      <c r="J180" s="17" t="n"/>
      <c r="K180" s="16" t="n"/>
      <c r="L180" s="9" t="n"/>
      <c r="M180" s="26" t="n"/>
    </row>
    <row r="181">
      <c r="A181" s="16" t="n"/>
      <c r="B181" s="10" t="n"/>
      <c r="C181" s="17" t="n"/>
      <c r="D181" s="17" t="n"/>
      <c r="E181" s="17" t="n"/>
      <c r="F181" s="10" t="n"/>
      <c r="G181" s="10" t="n"/>
      <c r="H181" s="24" t="n"/>
      <c r="I181" s="10" t="n"/>
      <c r="J181" s="17" t="n"/>
      <c r="K181" s="16" t="n"/>
      <c r="L181" s="9" t="n"/>
      <c r="M181" s="26" t="n"/>
    </row>
    <row r="182">
      <c r="A182" s="16" t="n"/>
      <c r="B182" s="10" t="n"/>
      <c r="C182" s="17" t="n"/>
      <c r="D182" s="17" t="n"/>
      <c r="E182" s="17" t="n"/>
      <c r="F182" s="10" t="n"/>
      <c r="G182" s="10" t="n"/>
      <c r="H182" s="24" t="n"/>
      <c r="I182" s="10" t="n"/>
      <c r="J182" s="17" t="n"/>
      <c r="K182" s="16" t="n"/>
      <c r="L182" s="9" t="n"/>
      <c r="M182" s="26" t="n"/>
    </row>
    <row r="183">
      <c r="A183" s="16" t="n"/>
      <c r="B183" s="10" t="n"/>
      <c r="C183" s="17" t="n"/>
      <c r="D183" s="17" t="n"/>
      <c r="E183" s="17" t="n"/>
      <c r="F183" s="10" t="n"/>
      <c r="G183" s="10" t="n"/>
      <c r="H183" s="24" t="n"/>
      <c r="I183" s="10" t="n"/>
      <c r="J183" s="17" t="n"/>
      <c r="K183" s="16" t="n"/>
      <c r="L183" s="9" t="n"/>
      <c r="M183" s="26" t="n"/>
    </row>
    <row r="184">
      <c r="A184" s="16" t="n"/>
      <c r="B184" s="10" t="n"/>
      <c r="C184" s="17" t="n"/>
      <c r="D184" s="17" t="n"/>
      <c r="E184" s="17" t="n"/>
      <c r="F184" s="10" t="n"/>
      <c r="G184" s="10" t="n"/>
      <c r="H184" s="24" t="n"/>
      <c r="I184" s="10" t="n"/>
      <c r="J184" s="17" t="n"/>
      <c r="K184" s="16" t="n"/>
      <c r="L184" s="9" t="n"/>
      <c r="M184" s="26" t="n"/>
    </row>
    <row r="185">
      <c r="A185" s="16" t="n"/>
      <c r="B185" s="10" t="n"/>
      <c r="C185" s="17" t="n"/>
      <c r="D185" s="17" t="n"/>
      <c r="E185" s="17" t="n"/>
      <c r="F185" s="10" t="n"/>
      <c r="G185" s="10" t="n"/>
      <c r="H185" s="24" t="n"/>
      <c r="I185" s="10" t="n"/>
      <c r="J185" s="17" t="n"/>
      <c r="K185" s="16" t="n"/>
      <c r="L185" s="9" t="n"/>
      <c r="M185" s="26" t="n"/>
    </row>
    <row r="186">
      <c r="A186" s="16" t="n"/>
      <c r="B186" s="10" t="n"/>
      <c r="C186" s="17" t="n"/>
      <c r="D186" s="17" t="n"/>
      <c r="E186" s="17" t="n"/>
      <c r="F186" s="10" t="n"/>
      <c r="G186" s="10" t="n"/>
      <c r="H186" s="24" t="n"/>
      <c r="I186" s="10" t="n"/>
      <c r="J186" s="17" t="n"/>
      <c r="K186" s="16" t="n"/>
      <c r="L186" s="9" t="n"/>
      <c r="M186" s="26" t="n"/>
    </row>
    <row r="187">
      <c r="A187" s="16" t="n"/>
      <c r="B187" s="10" t="n"/>
      <c r="C187" s="17" t="n"/>
      <c r="D187" s="17" t="n"/>
      <c r="E187" s="17" t="n"/>
      <c r="F187" s="10" t="n"/>
      <c r="G187" s="10" t="n"/>
      <c r="H187" s="24" t="n"/>
      <c r="I187" s="10" t="n"/>
      <c r="J187" s="17" t="n"/>
      <c r="K187" s="16" t="n"/>
      <c r="L187" s="9" t="n"/>
      <c r="M187" s="26" t="n"/>
    </row>
    <row r="188">
      <c r="A188" s="16" t="n"/>
      <c r="B188" s="10" t="n"/>
      <c r="C188" s="17" t="n"/>
      <c r="D188" s="17" t="n"/>
      <c r="E188" s="17" t="n"/>
      <c r="F188" s="10" t="n"/>
      <c r="G188" s="10" t="n"/>
      <c r="H188" s="24" t="n"/>
      <c r="I188" s="10" t="n"/>
      <c r="J188" s="17" t="n"/>
      <c r="K188" s="16" t="n"/>
      <c r="L188" s="9" t="n"/>
      <c r="M188" s="26" t="n"/>
    </row>
    <row r="189">
      <c r="A189" s="16" t="n"/>
      <c r="B189" s="10" t="n"/>
      <c r="C189" s="17" t="n"/>
      <c r="D189" s="17" t="n"/>
      <c r="E189" s="17" t="n"/>
      <c r="F189" s="10" t="n"/>
      <c r="G189" s="10" t="n"/>
      <c r="H189" s="24" t="n"/>
      <c r="I189" s="10" t="n"/>
      <c r="J189" s="17" t="n"/>
      <c r="K189" s="16" t="n"/>
      <c r="L189" s="9" t="n"/>
      <c r="M189" s="26" t="n"/>
    </row>
    <row r="190">
      <c r="A190" s="16" t="n"/>
      <c r="B190" s="10" t="n"/>
      <c r="C190" s="17" t="n"/>
      <c r="D190" s="17" t="n"/>
      <c r="E190" s="17" t="n"/>
      <c r="F190" s="10" t="n"/>
      <c r="G190" s="10" t="n"/>
      <c r="H190" s="24" t="n"/>
      <c r="I190" s="10" t="n"/>
      <c r="J190" s="17" t="n"/>
      <c r="K190" s="16" t="n"/>
      <c r="L190" s="9" t="n"/>
      <c r="M190" s="26" t="n"/>
    </row>
    <row r="191">
      <c r="A191" s="16" t="n"/>
      <c r="B191" s="10" t="n"/>
      <c r="C191" s="17" t="n"/>
      <c r="D191" s="17" t="n"/>
      <c r="E191" s="17" t="n"/>
      <c r="F191" s="10" t="n"/>
      <c r="G191" s="10" t="n"/>
      <c r="H191" s="24" t="n"/>
      <c r="I191" s="10" t="n"/>
      <c r="J191" s="17" t="n"/>
      <c r="K191" s="16" t="n"/>
      <c r="L191" s="9" t="n"/>
      <c r="M191" s="26" t="n"/>
    </row>
    <row r="192">
      <c r="A192" s="16" t="n"/>
      <c r="B192" s="10" t="n"/>
      <c r="C192" s="17" t="n"/>
      <c r="D192" s="17" t="n"/>
      <c r="E192" s="17" t="n"/>
      <c r="F192" s="10" t="n"/>
      <c r="G192" s="10" t="n"/>
      <c r="H192" s="24" t="n"/>
      <c r="I192" s="10" t="n"/>
      <c r="J192" s="17" t="n"/>
      <c r="K192" s="16" t="n"/>
      <c r="L192" s="9" t="n"/>
      <c r="M192" s="26" t="n"/>
    </row>
    <row r="193">
      <c r="A193" s="16" t="n"/>
      <c r="B193" s="10" t="n"/>
      <c r="C193" s="17" t="n"/>
      <c r="D193" s="17" t="n"/>
      <c r="E193" s="17" t="n"/>
      <c r="F193" s="10" t="n"/>
      <c r="G193" s="10" t="n"/>
      <c r="H193" s="24" t="n"/>
      <c r="I193" s="10" t="n"/>
      <c r="J193" s="17" t="n"/>
      <c r="K193" s="16" t="n"/>
      <c r="L193" s="9" t="n"/>
      <c r="M193" s="26" t="n"/>
    </row>
    <row r="194">
      <c r="A194" s="16" t="n"/>
      <c r="B194" s="10" t="n"/>
      <c r="C194" s="17" t="n"/>
      <c r="D194" s="17" t="n"/>
      <c r="E194" s="17" t="n"/>
      <c r="F194" s="10" t="n"/>
      <c r="G194" s="10" t="n"/>
      <c r="H194" s="24" t="n"/>
      <c r="I194" s="10" t="n"/>
      <c r="J194" s="17" t="n"/>
      <c r="K194" s="16" t="n"/>
      <c r="L194" s="9" t="n"/>
      <c r="M194" s="26" t="n"/>
    </row>
    <row r="195">
      <c r="A195" s="16" t="n"/>
      <c r="B195" s="10" t="n"/>
      <c r="C195" s="17" t="n"/>
      <c r="D195" s="17" t="n"/>
      <c r="E195" s="17" t="n"/>
      <c r="F195" s="10" t="n"/>
      <c r="G195" s="10" t="n"/>
      <c r="H195" s="24" t="n"/>
      <c r="I195" s="10" t="n"/>
      <c r="J195" s="17" t="n"/>
      <c r="K195" s="16" t="n"/>
      <c r="L195" s="9" t="n"/>
      <c r="M195" s="26" t="n"/>
    </row>
    <row r="196">
      <c r="A196" s="16" t="n"/>
      <c r="B196" s="10" t="n"/>
      <c r="C196" s="17" t="n"/>
      <c r="D196" s="17" t="n"/>
      <c r="E196" s="17" t="n"/>
      <c r="F196" s="10" t="n"/>
      <c r="G196" s="10" t="n"/>
      <c r="H196" s="24" t="n"/>
      <c r="I196" s="10" t="n"/>
      <c r="J196" s="17" t="n"/>
      <c r="K196" s="16" t="n"/>
      <c r="L196" s="9" t="n"/>
      <c r="M196" s="26" t="n"/>
    </row>
    <row r="197">
      <c r="A197" s="16" t="n"/>
      <c r="B197" s="10" t="n"/>
      <c r="C197" s="17" t="n"/>
      <c r="D197" s="17" t="n"/>
      <c r="E197" s="17" t="n"/>
      <c r="F197" s="10" t="n"/>
      <c r="G197" s="10" t="n"/>
      <c r="H197" s="24" t="n"/>
      <c r="I197" s="10" t="n"/>
      <c r="J197" s="17" t="n"/>
      <c r="K197" s="16" t="n"/>
      <c r="L197" s="9" t="n"/>
      <c r="M197" s="26" t="n"/>
    </row>
    <row r="198">
      <c r="A198" s="16" t="n"/>
      <c r="B198" s="10" t="n"/>
      <c r="C198" s="17" t="n"/>
      <c r="D198" s="17" t="n"/>
      <c r="E198" s="17" t="n"/>
      <c r="F198" s="10" t="n"/>
      <c r="G198" s="10" t="n"/>
      <c r="H198" s="24" t="n"/>
      <c r="I198" s="10" t="n"/>
      <c r="J198" s="17" t="n"/>
      <c r="K198" s="16" t="n"/>
      <c r="L198" s="9" t="n"/>
      <c r="M198" s="26" t="n"/>
    </row>
    <row r="199">
      <c r="A199" s="16" t="n"/>
      <c r="B199" s="10" t="n"/>
      <c r="C199" s="17" t="n"/>
      <c r="D199" s="17" t="n"/>
      <c r="E199" s="17" t="n"/>
      <c r="F199" s="10" t="n"/>
      <c r="G199" s="10" t="n"/>
      <c r="H199" s="24" t="n"/>
      <c r="I199" s="10" t="n"/>
      <c r="J199" s="17" t="n"/>
      <c r="K199" s="16" t="n"/>
      <c r="L199" s="9" t="n"/>
      <c r="M199" s="26" t="n"/>
    </row>
    <row r="200">
      <c r="A200" s="16" t="n"/>
      <c r="B200" s="10" t="n"/>
      <c r="C200" s="17" t="n"/>
      <c r="D200" s="17" t="n"/>
      <c r="E200" s="17" t="n"/>
      <c r="F200" s="10" t="n"/>
      <c r="G200" s="10" t="n"/>
      <c r="H200" s="24" t="n"/>
      <c r="I200" s="10" t="n"/>
      <c r="J200" s="17" t="n"/>
      <c r="K200" s="16" t="n"/>
      <c r="L200" s="9" t="n"/>
      <c r="M200" s="26" t="n"/>
    </row>
    <row r="201">
      <c r="A201" s="16" t="n"/>
      <c r="B201" s="10" t="n"/>
      <c r="C201" s="17" t="n"/>
      <c r="D201" s="17" t="n"/>
      <c r="E201" s="17" t="n"/>
      <c r="F201" s="10" t="n"/>
      <c r="G201" s="10" t="n"/>
      <c r="H201" s="24" t="n"/>
      <c r="I201" s="10" t="n"/>
      <c r="J201" s="17" t="n"/>
      <c r="K201" s="16" t="n"/>
      <c r="L201" s="9" t="n"/>
      <c r="M201" s="26" t="n"/>
    </row>
    <row r="202">
      <c r="A202" s="16" t="n"/>
      <c r="B202" s="10" t="n"/>
      <c r="C202" s="17" t="n"/>
      <c r="D202" s="17" t="n"/>
      <c r="E202" s="17" t="n"/>
      <c r="F202" s="10" t="n"/>
      <c r="G202" s="10" t="n"/>
      <c r="H202" s="24" t="n"/>
      <c r="I202" s="10" t="n"/>
      <c r="J202" s="17" t="n"/>
      <c r="K202" s="16" t="n"/>
      <c r="L202" s="9" t="n"/>
      <c r="M202" s="26" t="n"/>
    </row>
    <row r="203">
      <c r="A203" s="16" t="n"/>
      <c r="B203" s="10" t="n"/>
      <c r="C203" s="17" t="n"/>
      <c r="D203" s="17" t="n"/>
      <c r="E203" s="17" t="n"/>
      <c r="F203" s="10" t="n"/>
      <c r="G203" s="10" t="n"/>
      <c r="H203" s="24" t="n"/>
      <c r="I203" s="10" t="n"/>
      <c r="J203" s="17" t="n"/>
      <c r="K203" s="16" t="n"/>
      <c r="L203" s="9" t="n"/>
      <c r="M203" s="26" t="n"/>
    </row>
    <row r="204">
      <c r="A204" s="16" t="n"/>
      <c r="B204" s="10" t="n"/>
      <c r="C204" s="17" t="n"/>
      <c r="D204" s="17" t="n"/>
      <c r="E204" s="17" t="n"/>
      <c r="F204" s="10" t="n"/>
      <c r="G204" s="10" t="n"/>
      <c r="H204" s="24" t="n"/>
      <c r="I204" s="10" t="n"/>
      <c r="J204" s="17" t="n"/>
      <c r="K204" s="16" t="n"/>
      <c r="L204" s="9" t="n"/>
      <c r="M204" s="26" t="n"/>
    </row>
    <row r="205">
      <c r="A205" s="16" t="n"/>
      <c r="B205" s="10" t="n"/>
      <c r="C205" s="17" t="n"/>
      <c r="D205" s="17" t="n"/>
      <c r="E205" s="17" t="n"/>
      <c r="F205" s="10" t="n"/>
      <c r="G205" s="10" t="n"/>
      <c r="H205" s="24" t="n"/>
      <c r="I205" s="10" t="n"/>
      <c r="J205" s="17" t="n"/>
      <c r="K205" s="16" t="n"/>
      <c r="L205" s="9" t="n"/>
      <c r="M205" s="26" t="n"/>
    </row>
    <row r="206">
      <c r="A206" s="16" t="n"/>
      <c r="B206" s="10" t="n"/>
      <c r="C206" s="17" t="n"/>
      <c r="D206" s="17" t="n"/>
      <c r="E206" s="17" t="n"/>
      <c r="F206" s="10" t="n"/>
      <c r="G206" s="10" t="n"/>
      <c r="H206" s="24" t="n"/>
      <c r="I206" s="10" t="n"/>
      <c r="J206" s="17" t="n"/>
      <c r="K206" s="16" t="n"/>
      <c r="L206" s="9" t="n"/>
      <c r="M206" s="26" t="n"/>
    </row>
    <row r="207">
      <c r="A207" s="16" t="n"/>
      <c r="B207" s="10" t="n"/>
      <c r="C207" s="17" t="n"/>
      <c r="D207" s="17" t="n"/>
      <c r="E207" s="17" t="n"/>
      <c r="F207" s="10" t="n"/>
      <c r="G207" s="10" t="n"/>
      <c r="H207" s="24" t="n"/>
      <c r="I207" s="10" t="n"/>
      <c r="J207" s="17" t="n"/>
      <c r="K207" s="16" t="n"/>
      <c r="L207" s="9" t="n"/>
      <c r="M207" s="26" t="n"/>
    </row>
    <row r="208">
      <c r="A208" s="16" t="n"/>
      <c r="B208" s="10" t="n"/>
      <c r="C208" s="17" t="n"/>
      <c r="D208" s="17" t="n"/>
      <c r="E208" s="17" t="n"/>
      <c r="F208" s="10" t="n"/>
      <c r="G208" s="10" t="n"/>
      <c r="H208" s="24" t="n"/>
      <c r="I208" s="10" t="n"/>
      <c r="J208" s="17" t="n"/>
      <c r="K208" s="16" t="n"/>
      <c r="L208" s="9" t="n"/>
      <c r="M208" s="26" t="n"/>
    </row>
    <row r="209">
      <c r="A209" s="16" t="n"/>
      <c r="B209" s="10" t="n"/>
      <c r="C209" s="17" t="n"/>
      <c r="D209" s="17" t="n"/>
      <c r="E209" s="17" t="n"/>
      <c r="F209" s="10" t="n"/>
      <c r="G209" s="10" t="n"/>
      <c r="H209" s="24" t="n"/>
      <c r="I209" s="10" t="n"/>
      <c r="J209" s="17" t="n"/>
      <c r="K209" s="16" t="n"/>
      <c r="L209" s="9" t="n"/>
      <c r="M209" s="26" t="n"/>
    </row>
    <row r="210">
      <c r="A210" s="16" t="n"/>
      <c r="B210" s="10" t="n"/>
      <c r="C210" s="17" t="n"/>
      <c r="D210" s="17" t="n"/>
      <c r="E210" s="17" t="n"/>
      <c r="F210" s="10" t="n"/>
      <c r="G210" s="10" t="n"/>
      <c r="H210" s="24" t="n"/>
      <c r="I210" s="10" t="n"/>
      <c r="J210" s="17" t="n"/>
      <c r="K210" s="16" t="n"/>
      <c r="L210" s="9" t="n"/>
      <c r="M210" s="26" t="n"/>
    </row>
    <row r="211">
      <c r="A211" s="16" t="n"/>
      <c r="B211" s="10" t="n"/>
      <c r="C211" s="17" t="n"/>
      <c r="D211" s="17" t="n"/>
      <c r="E211" s="17" t="n"/>
      <c r="F211" s="10" t="n"/>
      <c r="G211" s="10" t="n"/>
      <c r="H211" s="24" t="n"/>
      <c r="I211" s="10" t="n"/>
      <c r="J211" s="17" t="n"/>
      <c r="K211" s="16" t="n"/>
      <c r="L211" s="9" t="n"/>
      <c r="M211" s="26" t="n"/>
    </row>
    <row r="212">
      <c r="A212" s="16" t="n"/>
      <c r="B212" s="10" t="n"/>
      <c r="C212" s="17" t="n"/>
      <c r="D212" s="17" t="n"/>
      <c r="E212" s="17" t="n"/>
      <c r="F212" s="10" t="n"/>
      <c r="G212" s="10" t="n"/>
      <c r="H212" s="24" t="n"/>
      <c r="I212" s="10" t="n"/>
      <c r="J212" s="17" t="n"/>
      <c r="K212" s="16" t="n"/>
      <c r="L212" s="9" t="n"/>
      <c r="M212" s="26" t="n"/>
    </row>
    <row r="213">
      <c r="A213" s="16" t="n"/>
      <c r="B213" s="10" t="n"/>
      <c r="C213" s="17" t="n"/>
      <c r="D213" s="17" t="n"/>
      <c r="E213" s="17" t="n"/>
      <c r="F213" s="10" t="n"/>
      <c r="G213" s="10" t="n"/>
      <c r="H213" s="24" t="n"/>
      <c r="I213" s="10" t="n"/>
      <c r="J213" s="17" t="n"/>
      <c r="K213" s="16" t="n"/>
      <c r="L213" s="9" t="n"/>
      <c r="M213" s="26" t="n"/>
    </row>
    <row r="214">
      <c r="A214" s="16" t="n"/>
      <c r="B214" s="10" t="n"/>
      <c r="C214" s="17" t="n"/>
      <c r="D214" s="17" t="n"/>
      <c r="E214" s="17" t="n"/>
      <c r="F214" s="10" t="n"/>
      <c r="G214" s="10" t="n"/>
      <c r="H214" s="24" t="n"/>
      <c r="I214" s="10" t="n"/>
      <c r="J214" s="17" t="n"/>
      <c r="K214" s="16" t="n"/>
      <c r="L214" s="9" t="n"/>
      <c r="M214" s="26" t="n"/>
    </row>
    <row r="215">
      <c r="A215" s="16" t="n"/>
      <c r="B215" s="10" t="n"/>
      <c r="C215" s="17" t="n"/>
      <c r="D215" s="17" t="n"/>
      <c r="E215" s="17" t="n"/>
      <c r="F215" s="10" t="n"/>
      <c r="G215" s="10" t="n"/>
      <c r="H215" s="24" t="n"/>
      <c r="I215" s="10" t="n"/>
      <c r="J215" s="17" t="n"/>
      <c r="K215" s="16" t="n"/>
      <c r="L215" s="9" t="n"/>
      <c r="M215" s="26" t="n"/>
    </row>
    <row r="216">
      <c r="A216" s="16" t="n"/>
      <c r="B216" s="10" t="n"/>
      <c r="C216" s="17" t="n"/>
      <c r="D216" s="17" t="n"/>
      <c r="E216" s="17" t="n"/>
      <c r="F216" s="10" t="n"/>
      <c r="G216" s="10" t="n"/>
      <c r="H216" s="24" t="n"/>
      <c r="I216" s="10" t="n"/>
      <c r="J216" s="17" t="n"/>
      <c r="K216" s="16" t="n"/>
      <c r="L216" s="9" t="n"/>
      <c r="M216" s="26" t="n"/>
    </row>
    <row r="217">
      <c r="A217" s="16" t="n"/>
      <c r="B217" s="10" t="n"/>
      <c r="C217" s="17" t="n"/>
      <c r="D217" s="17" t="n"/>
      <c r="E217" s="17" t="n"/>
      <c r="F217" s="10" t="n"/>
      <c r="G217" s="10" t="n"/>
      <c r="H217" s="24" t="n"/>
      <c r="I217" s="10" t="n"/>
      <c r="J217" s="17" t="n"/>
      <c r="K217" s="16" t="n"/>
      <c r="L217" s="9" t="n"/>
      <c r="M217" s="26" t="n"/>
    </row>
    <row r="218">
      <c r="A218" s="16" t="n"/>
      <c r="B218" s="10" t="n"/>
      <c r="C218" s="17" t="n"/>
      <c r="D218" s="17" t="n"/>
      <c r="E218" s="17" t="n"/>
      <c r="F218" s="10" t="n"/>
      <c r="G218" s="10" t="n"/>
      <c r="H218" s="24" t="n"/>
      <c r="I218" s="10" t="n"/>
      <c r="J218" s="17" t="n"/>
      <c r="K218" s="16" t="n"/>
      <c r="L218" s="9" t="n"/>
      <c r="M218" s="26" t="n"/>
    </row>
    <row r="219">
      <c r="A219" s="16" t="n"/>
      <c r="B219" s="10" t="n"/>
      <c r="C219" s="17" t="n"/>
      <c r="D219" s="17" t="n"/>
      <c r="E219" s="17" t="n"/>
      <c r="F219" s="10" t="n"/>
      <c r="G219" s="10" t="n"/>
      <c r="H219" s="24" t="n"/>
      <c r="I219" s="10" t="n"/>
      <c r="J219" s="17" t="n"/>
      <c r="K219" s="16" t="n"/>
      <c r="L219" s="9" t="n"/>
      <c r="M219" s="26" t="n"/>
    </row>
    <row r="220">
      <c r="A220" s="16" t="n"/>
      <c r="B220" s="10" t="n"/>
      <c r="C220" s="17" t="n"/>
      <c r="D220" s="17" t="n"/>
      <c r="E220" s="17" t="n"/>
      <c r="F220" s="10" t="n"/>
      <c r="G220" s="10" t="n"/>
      <c r="H220" s="24" t="n"/>
      <c r="I220" s="10" t="n"/>
      <c r="J220" s="17" t="n"/>
      <c r="K220" s="16" t="n"/>
      <c r="L220" s="9" t="n"/>
      <c r="M220" s="26" t="n"/>
    </row>
    <row r="221">
      <c r="A221" s="16" t="n"/>
      <c r="B221" s="10" t="n"/>
      <c r="C221" s="17" t="n"/>
      <c r="D221" s="17" t="n"/>
      <c r="E221" s="17" t="n"/>
      <c r="F221" s="10" t="n"/>
      <c r="G221" s="10" t="n"/>
      <c r="H221" s="24" t="n"/>
      <c r="I221" s="10" t="n"/>
      <c r="J221" s="17" t="n"/>
      <c r="K221" s="16" t="n"/>
      <c r="L221" s="9" t="n"/>
      <c r="M221" s="26" t="n"/>
    </row>
    <row r="222">
      <c r="A222" s="16" t="n"/>
      <c r="B222" s="10" t="n"/>
      <c r="C222" s="17" t="n"/>
      <c r="D222" s="17" t="n"/>
      <c r="E222" s="17" t="n"/>
      <c r="F222" s="10" t="n"/>
      <c r="G222" s="10" t="n"/>
      <c r="H222" s="24" t="n"/>
      <c r="I222" s="10" t="n"/>
      <c r="J222" s="17" t="n"/>
      <c r="K222" s="16" t="n"/>
      <c r="L222" s="9" t="n"/>
      <c r="M222" s="26" t="n"/>
    </row>
    <row r="223">
      <c r="A223" s="16" t="n"/>
      <c r="B223" s="10" t="n"/>
      <c r="C223" s="17" t="n"/>
      <c r="D223" s="17" t="n"/>
      <c r="E223" s="17" t="n"/>
      <c r="F223" s="10" t="n"/>
      <c r="G223" s="10" t="n"/>
      <c r="H223" s="24" t="n"/>
      <c r="I223" s="10" t="n"/>
      <c r="J223" s="17" t="n"/>
      <c r="K223" s="16" t="n"/>
      <c r="L223" s="9" t="n"/>
      <c r="M223" s="26" t="n"/>
    </row>
    <row r="224">
      <c r="A224" s="16" t="n"/>
      <c r="B224" s="10" t="n"/>
      <c r="C224" s="17" t="n"/>
      <c r="D224" s="17" t="n"/>
      <c r="E224" s="17" t="n"/>
      <c r="F224" s="10" t="n"/>
      <c r="G224" s="10" t="n"/>
      <c r="H224" s="24" t="n"/>
      <c r="I224" s="10" t="n"/>
      <c r="J224" s="17" t="n"/>
      <c r="K224" s="16" t="n"/>
      <c r="L224" s="9" t="n"/>
      <c r="M224" s="26" t="n"/>
    </row>
    <row r="225">
      <c r="A225" s="16" t="n"/>
      <c r="B225" s="10" t="n"/>
      <c r="C225" s="17" t="n"/>
      <c r="D225" s="17" t="n"/>
      <c r="E225" s="17" t="n"/>
      <c r="F225" s="10" t="n"/>
      <c r="G225" s="10" t="n"/>
      <c r="H225" s="24" t="n"/>
      <c r="I225" s="10" t="n"/>
      <c r="J225" s="17" t="n"/>
      <c r="K225" s="16" t="n"/>
      <c r="L225" s="9" t="n"/>
      <c r="M225" s="26" t="n"/>
    </row>
    <row r="226">
      <c r="A226" s="16" t="n"/>
      <c r="B226" s="10" t="n"/>
      <c r="C226" s="17" t="n"/>
      <c r="D226" s="17" t="n"/>
      <c r="E226" s="17" t="n"/>
      <c r="F226" s="10" t="n"/>
      <c r="G226" s="10" t="n"/>
      <c r="H226" s="24" t="n"/>
      <c r="I226" s="10" t="n"/>
      <c r="J226" s="17" t="n"/>
      <c r="K226" s="16" t="n"/>
      <c r="L226" s="9" t="n"/>
      <c r="M226" s="26" t="n"/>
    </row>
    <row r="227">
      <c r="A227" s="16" t="n"/>
      <c r="B227" s="10" t="n"/>
      <c r="C227" s="17" t="n"/>
      <c r="D227" s="17" t="n"/>
      <c r="E227" s="17" t="n"/>
      <c r="F227" s="10" t="n"/>
      <c r="G227" s="10" t="n"/>
      <c r="H227" s="24" t="n"/>
      <c r="I227" s="10" t="n"/>
      <c r="J227" s="17" t="n"/>
      <c r="K227" s="16" t="n"/>
      <c r="L227" s="9" t="n"/>
      <c r="M227" s="26" t="n"/>
    </row>
    <row r="228">
      <c r="A228" s="16" t="n"/>
      <c r="B228" s="10" t="n"/>
      <c r="C228" s="17" t="n"/>
      <c r="D228" s="17" t="n"/>
      <c r="E228" s="17" t="n"/>
      <c r="F228" s="10" t="n"/>
      <c r="G228" s="10" t="n"/>
      <c r="H228" s="24" t="n"/>
      <c r="I228" s="10" t="n"/>
      <c r="J228" s="17" t="n"/>
      <c r="K228" s="16" t="n"/>
      <c r="L228" s="9" t="n"/>
      <c r="M228" s="26" t="n"/>
    </row>
    <row r="229">
      <c r="A229" s="16" t="n"/>
      <c r="B229" s="10" t="n"/>
      <c r="C229" s="17" t="n"/>
      <c r="D229" s="17" t="n"/>
      <c r="E229" s="17" t="n"/>
      <c r="F229" s="10" t="n"/>
      <c r="G229" s="10" t="n"/>
      <c r="H229" s="24" t="n"/>
      <c r="I229" s="10" t="n"/>
      <c r="J229" s="17" t="n"/>
      <c r="K229" s="16" t="n"/>
      <c r="L229" s="9" t="n"/>
      <c r="M229" s="26" t="n"/>
    </row>
    <row r="230">
      <c r="A230" s="16" t="n"/>
      <c r="B230" s="10" t="n"/>
      <c r="C230" s="17" t="n"/>
      <c r="D230" s="17" t="n"/>
      <c r="E230" s="17" t="n"/>
      <c r="F230" s="10" t="n"/>
      <c r="G230" s="10" t="n"/>
      <c r="H230" s="24" t="n"/>
      <c r="I230" s="10" t="n"/>
      <c r="J230" s="17" t="n"/>
      <c r="K230" s="16" t="n"/>
      <c r="L230" s="9" t="n"/>
      <c r="M230" s="26" t="n"/>
    </row>
    <row r="231">
      <c r="A231" s="16" t="n"/>
      <c r="B231" s="10" t="n"/>
      <c r="C231" s="17" t="n"/>
      <c r="D231" s="17" t="n"/>
      <c r="E231" s="17" t="n"/>
      <c r="F231" s="10" t="n"/>
      <c r="G231" s="10" t="n"/>
      <c r="H231" s="24" t="n"/>
      <c r="I231" s="10" t="n"/>
      <c r="J231" s="17" t="n"/>
      <c r="K231" s="16" t="n"/>
      <c r="L231" s="9" t="n"/>
      <c r="M231" s="26" t="n"/>
    </row>
    <row r="232">
      <c r="A232" s="16" t="n"/>
      <c r="B232" s="10" t="n"/>
      <c r="C232" s="17" t="n"/>
      <c r="D232" s="17" t="n"/>
      <c r="E232" s="17" t="n"/>
      <c r="F232" s="10" t="n"/>
      <c r="G232" s="10" t="n"/>
      <c r="H232" s="24" t="n"/>
      <c r="I232" s="10" t="n"/>
      <c r="J232" s="17" t="n"/>
      <c r="K232" s="16" t="n"/>
      <c r="L232" s="9" t="n"/>
      <c r="M232" s="26" t="n"/>
    </row>
    <row r="233">
      <c r="A233" s="16" t="n"/>
      <c r="B233" s="10" t="n"/>
      <c r="C233" s="17" t="n"/>
      <c r="D233" s="17" t="n"/>
      <c r="E233" s="17" t="n"/>
      <c r="F233" s="10" t="n"/>
      <c r="G233" s="10" t="n"/>
      <c r="H233" s="24" t="n"/>
      <c r="I233" s="10" t="n"/>
      <c r="J233" s="17" t="n"/>
      <c r="K233" s="16" t="n"/>
      <c r="L233" s="9" t="n"/>
      <c r="M233" s="26" t="n"/>
    </row>
    <row r="234">
      <c r="A234" s="16" t="n"/>
      <c r="B234" s="10" t="n"/>
      <c r="C234" s="17" t="n"/>
      <c r="D234" s="17" t="n"/>
      <c r="E234" s="17" t="n"/>
      <c r="F234" s="10" t="n"/>
      <c r="G234" s="10" t="n"/>
      <c r="H234" s="24" t="n"/>
      <c r="I234" s="10" t="n"/>
      <c r="J234" s="17" t="n"/>
      <c r="K234" s="16" t="n"/>
      <c r="L234" s="9" t="n"/>
      <c r="M234" s="26" t="n"/>
    </row>
    <row r="235">
      <c r="A235" s="16" t="n"/>
      <c r="B235" s="10" t="n"/>
      <c r="C235" s="17" t="n"/>
      <c r="D235" s="17" t="n"/>
      <c r="E235" s="17" t="n"/>
      <c r="F235" s="10" t="n"/>
      <c r="G235" s="10" t="n"/>
      <c r="H235" s="24" t="n"/>
      <c r="I235" s="10" t="n"/>
      <c r="J235" s="17" t="n"/>
      <c r="K235" s="16" t="n"/>
      <c r="L235" s="9" t="n"/>
      <c r="M235" s="26" t="n"/>
    </row>
    <row r="236">
      <c r="A236" s="16" t="n"/>
      <c r="B236" s="10" t="n"/>
      <c r="C236" s="17" t="n"/>
      <c r="D236" s="17" t="n"/>
      <c r="E236" s="17" t="n"/>
      <c r="F236" s="10" t="n"/>
      <c r="G236" s="10" t="n"/>
      <c r="H236" s="24" t="n"/>
      <c r="I236" s="10" t="n"/>
      <c r="J236" s="17" t="n"/>
      <c r="K236" s="16" t="n"/>
      <c r="L236" s="9" t="n"/>
      <c r="M236" s="26" t="n"/>
    </row>
    <row r="237">
      <c r="A237" s="16" t="n"/>
      <c r="B237" s="10" t="n"/>
      <c r="C237" s="17" t="n"/>
      <c r="D237" s="17" t="n"/>
      <c r="E237" s="17" t="n"/>
      <c r="F237" s="10" t="n"/>
      <c r="G237" s="10" t="n"/>
      <c r="H237" s="24" t="n"/>
      <c r="I237" s="10" t="n"/>
      <c r="J237" s="17" t="n"/>
      <c r="K237" s="16" t="n"/>
      <c r="L237" s="9" t="n"/>
      <c r="M237" s="26" t="n"/>
    </row>
    <row r="238">
      <c r="A238" s="16" t="n"/>
      <c r="B238" s="10" t="n"/>
      <c r="C238" s="17" t="n"/>
      <c r="D238" s="17" t="n"/>
      <c r="E238" s="17" t="n"/>
      <c r="F238" s="10" t="n"/>
      <c r="G238" s="10" t="n"/>
      <c r="H238" s="24" t="n"/>
      <c r="I238" s="10" t="n"/>
      <c r="J238" s="17" t="n"/>
      <c r="K238" s="16" t="n"/>
      <c r="L238" s="9" t="n"/>
      <c r="M238" s="26" t="n"/>
    </row>
    <row r="239">
      <c r="A239" s="16" t="n"/>
      <c r="B239" s="10" t="n"/>
      <c r="C239" s="17" t="n"/>
      <c r="D239" s="17" t="n"/>
      <c r="E239" s="17" t="n"/>
      <c r="F239" s="10" t="n"/>
      <c r="G239" s="10" t="n"/>
      <c r="H239" s="24" t="n"/>
      <c r="I239" s="10" t="n"/>
      <c r="J239" s="17" t="n"/>
      <c r="K239" s="16" t="n"/>
      <c r="L239" s="9" t="n"/>
      <c r="M239" s="26" t="n"/>
    </row>
    <row r="240">
      <c r="A240" s="16" t="n"/>
      <c r="B240" s="10" t="n"/>
      <c r="C240" s="17" t="n"/>
      <c r="D240" s="17" t="n"/>
      <c r="E240" s="17" t="n"/>
      <c r="F240" s="10" t="n"/>
      <c r="G240" s="10" t="n"/>
      <c r="H240" s="24" t="n"/>
      <c r="I240" s="10" t="n"/>
      <c r="J240" s="17" t="n"/>
      <c r="K240" s="16" t="n"/>
      <c r="L240" s="9" t="n"/>
      <c r="M240" s="26" t="n"/>
    </row>
    <row r="241">
      <c r="A241" s="16" t="n"/>
      <c r="B241" s="10" t="n"/>
      <c r="C241" s="17" t="n"/>
      <c r="D241" s="17" t="n"/>
      <c r="E241" s="17" t="n"/>
      <c r="F241" s="10" t="n"/>
      <c r="G241" s="10" t="n"/>
      <c r="H241" s="24" t="n"/>
      <c r="I241" s="10" t="n"/>
      <c r="J241" s="17" t="n"/>
      <c r="K241" s="16" t="n"/>
      <c r="L241" s="9" t="n"/>
      <c r="M241" s="26" t="n"/>
    </row>
    <row r="242">
      <c r="A242" s="16" t="n"/>
      <c r="B242" s="10" t="n"/>
      <c r="C242" s="17" t="n"/>
      <c r="D242" s="17" t="n"/>
      <c r="E242" s="17" t="n"/>
      <c r="F242" s="10" t="n"/>
      <c r="G242" s="10" t="n"/>
      <c r="H242" s="24" t="n"/>
      <c r="I242" s="10" t="n"/>
      <c r="J242" s="17" t="n"/>
      <c r="K242" s="16" t="n"/>
      <c r="L242" s="9" t="n"/>
      <c r="M242" s="26" t="n"/>
    </row>
    <row r="243">
      <c r="A243" s="16" t="n"/>
      <c r="B243" s="10" t="n"/>
      <c r="C243" s="17" t="n"/>
      <c r="D243" s="17" t="n"/>
      <c r="E243" s="17" t="n"/>
      <c r="F243" s="10" t="n"/>
      <c r="G243" s="10" t="n"/>
      <c r="H243" s="24" t="n"/>
      <c r="I243" s="10" t="n"/>
      <c r="J243" s="17" t="n"/>
      <c r="K243" s="16" t="n"/>
      <c r="L243" s="9" t="n"/>
      <c r="M243" s="26" t="n"/>
    </row>
    <row r="244">
      <c r="A244" s="16" t="n"/>
      <c r="B244" s="10" t="n"/>
      <c r="C244" s="17" t="n"/>
      <c r="D244" s="17" t="n"/>
      <c r="E244" s="17" t="n"/>
      <c r="F244" s="10" t="n"/>
      <c r="G244" s="10" t="n"/>
      <c r="H244" s="24" t="n"/>
      <c r="I244" s="10" t="n"/>
      <c r="J244" s="17" t="n"/>
      <c r="K244" s="16" t="n"/>
      <c r="L244" s="9" t="n"/>
      <c r="M244" s="26" t="n"/>
    </row>
    <row r="245">
      <c r="A245" s="16" t="n"/>
      <c r="B245" s="10" t="n"/>
      <c r="C245" s="17" t="n"/>
      <c r="D245" s="17" t="n"/>
      <c r="E245" s="17" t="n"/>
      <c r="F245" s="10" t="n"/>
      <c r="G245" s="10" t="n"/>
      <c r="H245" s="24" t="n"/>
      <c r="I245" s="10" t="n"/>
      <c r="J245" s="17" t="n"/>
      <c r="K245" s="16" t="n"/>
      <c r="L245" s="9" t="n"/>
      <c r="M245" s="26" t="n"/>
    </row>
    <row r="246">
      <c r="A246" s="16" t="n"/>
      <c r="B246" s="10" t="n"/>
      <c r="C246" s="17" t="n"/>
      <c r="D246" s="17" t="n"/>
      <c r="E246" s="17" t="n"/>
      <c r="F246" s="10" t="n"/>
      <c r="G246" s="10" t="n"/>
      <c r="H246" s="24" t="n"/>
      <c r="I246" s="10" t="n"/>
      <c r="J246" s="17" t="n"/>
      <c r="K246" s="16" t="n"/>
      <c r="L246" s="9" t="n"/>
      <c r="M246" s="26" t="n"/>
    </row>
    <row r="247">
      <c r="A247" s="16" t="n"/>
      <c r="B247" s="10" t="n"/>
      <c r="C247" s="17" t="n"/>
      <c r="D247" s="17" t="n"/>
      <c r="E247" s="17" t="n"/>
      <c r="F247" s="10" t="n"/>
      <c r="G247" s="10" t="n"/>
      <c r="H247" s="24" t="n"/>
      <c r="I247" s="10" t="n"/>
      <c r="J247" s="17" t="n"/>
      <c r="K247" s="16" t="n"/>
      <c r="L247" s="9" t="n"/>
      <c r="M247" s="26" t="n"/>
    </row>
    <row r="248">
      <c r="A248" s="16" t="n"/>
      <c r="B248" s="10" t="n"/>
      <c r="C248" s="17" t="n"/>
      <c r="D248" s="17" t="n"/>
      <c r="E248" s="17" t="n"/>
      <c r="F248" s="10" t="n"/>
      <c r="G248" s="10" t="n"/>
      <c r="H248" s="24" t="n"/>
      <c r="I248" s="10" t="n"/>
      <c r="J248" s="17" t="n"/>
      <c r="K248" s="16" t="n"/>
      <c r="L248" s="9" t="n"/>
      <c r="M248" s="26" t="n"/>
    </row>
    <row r="249">
      <c r="A249" s="16" t="n"/>
      <c r="B249" s="10" t="n"/>
      <c r="C249" s="17" t="n"/>
      <c r="D249" s="17" t="n"/>
      <c r="E249" s="17" t="n"/>
      <c r="F249" s="10" t="n"/>
      <c r="G249" s="10" t="n"/>
      <c r="H249" s="24" t="n"/>
      <c r="I249" s="10" t="n"/>
      <c r="J249" s="17" t="n"/>
      <c r="K249" s="16" t="n"/>
      <c r="L249" s="9" t="n"/>
      <c r="M249" s="26" t="n"/>
    </row>
    <row r="250">
      <c r="A250" s="16" t="n"/>
      <c r="B250" s="10" t="n"/>
      <c r="C250" s="17" t="n"/>
      <c r="D250" s="17" t="n"/>
      <c r="E250" s="17" t="n"/>
      <c r="F250" s="10" t="n"/>
      <c r="G250" s="10" t="n"/>
      <c r="H250" s="24" t="n"/>
      <c r="I250" s="10" t="n"/>
      <c r="J250" s="17" t="n"/>
      <c r="K250" s="16" t="n"/>
      <c r="L250" s="9" t="n"/>
      <c r="M250" s="26" t="n"/>
    </row>
    <row r="251">
      <c r="A251" s="16" t="n"/>
      <c r="B251" s="10" t="n"/>
      <c r="C251" s="17" t="n"/>
      <c r="D251" s="17" t="n"/>
      <c r="E251" s="17" t="n"/>
      <c r="F251" s="10" t="n"/>
      <c r="G251" s="10" t="n"/>
      <c r="H251" s="24" t="n"/>
      <c r="I251" s="10" t="n"/>
      <c r="J251" s="17" t="n"/>
      <c r="K251" s="16" t="n"/>
      <c r="L251" s="9" t="n"/>
      <c r="M251" s="26" t="n"/>
    </row>
    <row r="252">
      <c r="A252" s="16" t="n"/>
      <c r="B252" s="10" t="n"/>
      <c r="C252" s="17" t="n"/>
      <c r="D252" s="17" t="n"/>
      <c r="E252" s="17" t="n"/>
      <c r="F252" s="10" t="n"/>
      <c r="G252" s="10" t="n"/>
      <c r="H252" s="24" t="n"/>
      <c r="I252" s="10" t="n"/>
      <c r="J252" s="17" t="n"/>
      <c r="K252" s="16" t="n"/>
      <c r="L252" s="9" t="n"/>
      <c r="M252" s="26" t="n"/>
    </row>
    <row r="253">
      <c r="A253" s="16" t="n"/>
      <c r="B253" s="10" t="n"/>
      <c r="C253" s="17" t="n"/>
      <c r="D253" s="17" t="n"/>
      <c r="E253" s="17" t="n"/>
      <c r="F253" s="10" t="n"/>
      <c r="G253" s="10" t="n"/>
      <c r="H253" s="24" t="n"/>
      <c r="I253" s="10" t="n"/>
      <c r="J253" s="17" t="n"/>
      <c r="K253" s="16" t="n"/>
      <c r="L253" s="9" t="n"/>
      <c r="M253" s="26" t="n"/>
    </row>
    <row r="254">
      <c r="A254" s="16" t="n"/>
      <c r="B254" s="10" t="n"/>
      <c r="C254" s="17" t="n"/>
      <c r="D254" s="17" t="n"/>
      <c r="E254" s="17" t="n"/>
      <c r="F254" s="10" t="n"/>
      <c r="G254" s="10" t="n"/>
      <c r="H254" s="24" t="n"/>
      <c r="I254" s="10" t="n"/>
      <c r="J254" s="17" t="n"/>
      <c r="K254" s="16" t="n"/>
      <c r="L254" s="9" t="n"/>
      <c r="M254" s="26" t="n"/>
    </row>
    <row r="255">
      <c r="A255" s="16" t="n"/>
      <c r="B255" s="10" t="n"/>
      <c r="C255" s="17" t="n"/>
      <c r="D255" s="17" t="n"/>
      <c r="E255" s="17" t="n"/>
      <c r="F255" s="10" t="n"/>
      <c r="G255" s="10" t="n"/>
      <c r="H255" s="24" t="n"/>
      <c r="I255" s="10" t="n"/>
      <c r="J255" s="17" t="n"/>
      <c r="K255" s="16" t="n"/>
      <c r="L255" s="9" t="n"/>
      <c r="M255" s="26" t="n"/>
    </row>
    <row r="256">
      <c r="A256" s="16" t="n"/>
      <c r="B256" s="10" t="n"/>
      <c r="C256" s="17" t="n"/>
      <c r="D256" s="17" t="n"/>
      <c r="E256" s="17" t="n"/>
      <c r="F256" s="10" t="n"/>
      <c r="G256" s="10" t="n"/>
      <c r="H256" s="24" t="n"/>
      <c r="I256" s="10" t="n"/>
      <c r="J256" s="17" t="n"/>
      <c r="K256" s="16" t="n"/>
      <c r="L256" s="9" t="n"/>
      <c r="M256" s="26" t="n"/>
    </row>
    <row r="257">
      <c r="A257" s="16" t="n"/>
      <c r="B257" s="10" t="n"/>
      <c r="C257" s="17" t="n"/>
      <c r="D257" s="17" t="n"/>
      <c r="E257" s="17" t="n"/>
      <c r="F257" s="10" t="n"/>
      <c r="G257" s="10" t="n"/>
      <c r="H257" s="24" t="n"/>
      <c r="I257" s="10" t="n"/>
      <c r="J257" s="17" t="n"/>
      <c r="K257" s="16" t="n"/>
      <c r="L257" s="9" t="n"/>
      <c r="M257" s="26" t="n"/>
    </row>
    <row r="258">
      <c r="A258" s="16" t="n"/>
      <c r="B258" s="10" t="n"/>
      <c r="C258" s="17" t="n"/>
      <c r="D258" s="17" t="n"/>
      <c r="E258" s="17" t="n"/>
      <c r="F258" s="10" t="n"/>
      <c r="G258" s="10" t="n"/>
      <c r="H258" s="24" t="n"/>
      <c r="I258" s="10" t="n"/>
      <c r="J258" s="17" t="n"/>
      <c r="K258" s="16" t="n"/>
      <c r="L258" s="9" t="n"/>
      <c r="M258" s="26" t="n"/>
    </row>
    <row r="259">
      <c r="A259" s="16" t="n"/>
      <c r="B259" s="10" t="n"/>
      <c r="C259" s="17" t="n"/>
      <c r="D259" s="17" t="n"/>
      <c r="E259" s="17" t="n"/>
      <c r="F259" s="10" t="n"/>
      <c r="G259" s="10" t="n"/>
      <c r="H259" s="24" t="n"/>
      <c r="I259" s="10" t="n"/>
      <c r="J259" s="17" t="n"/>
      <c r="K259" s="16" t="n"/>
      <c r="L259" s="9" t="n"/>
      <c r="M259" s="26" t="n"/>
    </row>
    <row r="260">
      <c r="A260" s="16" t="n"/>
      <c r="B260" s="10" t="n"/>
      <c r="C260" s="17" t="n"/>
      <c r="D260" s="17" t="n"/>
      <c r="E260" s="17" t="n"/>
      <c r="F260" s="10" t="n"/>
      <c r="G260" s="10" t="n"/>
      <c r="H260" s="24" t="n"/>
      <c r="I260" s="10" t="n"/>
      <c r="J260" s="17" t="n"/>
      <c r="K260" s="16" t="n"/>
      <c r="L260" s="9" t="n"/>
      <c r="M260" s="26" t="n"/>
    </row>
    <row r="261">
      <c r="A261" s="16" t="n"/>
      <c r="B261" s="10" t="n"/>
      <c r="C261" s="17" t="n"/>
      <c r="D261" s="17" t="n"/>
      <c r="E261" s="17" t="n"/>
      <c r="F261" s="10" t="n"/>
      <c r="G261" s="10" t="n"/>
      <c r="H261" s="24" t="n"/>
      <c r="I261" s="10" t="n"/>
      <c r="J261" s="17" t="n"/>
      <c r="K261" s="16" t="n"/>
      <c r="L261" s="9" t="n"/>
      <c r="M261" s="26" t="n"/>
    </row>
    <row r="262">
      <c r="A262" s="16" t="n"/>
      <c r="B262" s="10" t="n"/>
      <c r="C262" s="17" t="n"/>
      <c r="D262" s="17" t="n"/>
      <c r="E262" s="17" t="n"/>
      <c r="F262" s="10" t="n"/>
      <c r="G262" s="10" t="n"/>
      <c r="H262" s="24" t="n"/>
      <c r="I262" s="10" t="n"/>
      <c r="J262" s="17" t="n"/>
      <c r="K262" s="16" t="n"/>
      <c r="L262" s="9" t="n"/>
      <c r="M262" s="26" t="n"/>
    </row>
    <row r="263">
      <c r="A263" s="16" t="n"/>
      <c r="B263" s="10" t="n"/>
      <c r="C263" s="17" t="n"/>
      <c r="D263" s="17" t="n"/>
      <c r="E263" s="17" t="n"/>
      <c r="F263" s="10" t="n"/>
      <c r="G263" s="10" t="n"/>
      <c r="H263" s="24" t="n"/>
      <c r="I263" s="10" t="n"/>
      <c r="J263" s="17" t="n"/>
      <c r="K263" s="16" t="n"/>
      <c r="L263" s="9" t="n"/>
      <c r="M263" s="26" t="n"/>
    </row>
    <row r="264">
      <c r="A264" s="16" t="n"/>
      <c r="B264" s="10" t="n"/>
      <c r="C264" s="17" t="n"/>
      <c r="D264" s="17" t="n"/>
      <c r="E264" s="17" t="n"/>
      <c r="F264" s="10" t="n"/>
      <c r="G264" s="10" t="n"/>
      <c r="H264" s="24" t="n"/>
      <c r="I264" s="10" t="n"/>
      <c r="J264" s="17" t="n"/>
      <c r="K264" s="16" t="n"/>
      <c r="L264" s="9" t="n"/>
      <c r="M264" s="26" t="n"/>
    </row>
    <row r="265">
      <c r="A265" s="16" t="n"/>
      <c r="B265" s="10" t="n"/>
      <c r="C265" s="17" t="n"/>
      <c r="D265" s="17" t="n"/>
      <c r="E265" s="17" t="n"/>
      <c r="F265" s="10" t="n"/>
      <c r="G265" s="10" t="n"/>
      <c r="H265" s="24" t="n"/>
      <c r="I265" s="10" t="n"/>
      <c r="J265" s="17" t="n"/>
      <c r="K265" s="16" t="n"/>
      <c r="L265" s="9" t="n"/>
      <c r="M265" s="26" t="n"/>
    </row>
    <row r="266">
      <c r="A266" s="16" t="n"/>
      <c r="B266" s="10" t="n"/>
      <c r="C266" s="17" t="n"/>
      <c r="D266" s="17" t="n"/>
      <c r="E266" s="17" t="n"/>
      <c r="F266" s="10" t="n"/>
      <c r="G266" s="10" t="n"/>
      <c r="H266" s="24" t="n"/>
      <c r="I266" s="10" t="n"/>
      <c r="J266" s="17" t="n"/>
      <c r="K266" s="16" t="n"/>
      <c r="L266" s="9" t="n"/>
      <c r="M266" s="26" t="n"/>
    </row>
    <row r="267">
      <c r="A267" s="16" t="n"/>
      <c r="B267" s="10" t="n"/>
      <c r="C267" s="17" t="n"/>
      <c r="D267" s="17" t="n"/>
      <c r="E267" s="17" t="n"/>
      <c r="F267" s="10" t="n"/>
      <c r="G267" s="10" t="n"/>
      <c r="H267" s="24" t="n"/>
      <c r="I267" s="10" t="n"/>
      <c r="J267" s="17" t="n"/>
      <c r="K267" s="16" t="n"/>
      <c r="L267" s="9" t="n"/>
      <c r="M267" s="26" t="n"/>
    </row>
    <row r="268">
      <c r="A268" s="16" t="n"/>
      <c r="B268" s="10" t="n"/>
      <c r="C268" s="17" t="n"/>
      <c r="D268" s="17" t="n"/>
      <c r="E268" s="17" t="n"/>
      <c r="F268" s="10" t="n"/>
      <c r="G268" s="10" t="n"/>
      <c r="H268" s="24" t="n"/>
      <c r="I268" s="10" t="n"/>
      <c r="J268" s="17" t="n"/>
      <c r="K268" s="16" t="n"/>
      <c r="L268" s="9" t="n"/>
      <c r="M268" s="26" t="n"/>
    </row>
    <row r="269">
      <c r="A269" s="16" t="n"/>
      <c r="B269" s="10" t="n"/>
      <c r="C269" s="17" t="n"/>
      <c r="D269" s="17" t="n"/>
      <c r="E269" s="17" t="n"/>
      <c r="F269" s="10" t="n"/>
      <c r="G269" s="10" t="n"/>
      <c r="H269" s="24" t="n"/>
      <c r="I269" s="10" t="n"/>
      <c r="J269" s="17" t="n"/>
      <c r="K269" s="16" t="n"/>
      <c r="L269" s="9" t="n"/>
      <c r="M269" s="26" t="n"/>
    </row>
    <row r="270">
      <c r="A270" s="16" t="n"/>
      <c r="B270" s="10" t="n"/>
      <c r="C270" s="17" t="n"/>
      <c r="D270" s="17" t="n"/>
      <c r="E270" s="17" t="n"/>
      <c r="F270" s="10" t="n"/>
      <c r="G270" s="10" t="n"/>
      <c r="H270" s="24" t="n"/>
      <c r="I270" s="10" t="n"/>
      <c r="J270" s="17" t="n"/>
      <c r="K270" s="16" t="n"/>
      <c r="L270" s="9" t="n"/>
      <c r="M270" s="26" t="n"/>
    </row>
    <row r="271">
      <c r="A271" s="16" t="n"/>
      <c r="B271" s="10" t="n"/>
      <c r="C271" s="17" t="n"/>
      <c r="D271" s="17" t="n"/>
      <c r="E271" s="17" t="n"/>
      <c r="F271" s="10" t="n"/>
      <c r="G271" s="10" t="n"/>
      <c r="H271" s="24" t="n"/>
      <c r="I271" s="10" t="n"/>
      <c r="J271" s="17" t="n"/>
      <c r="K271" s="16" t="n"/>
      <c r="L271" s="9" t="n"/>
      <c r="M271" s="26" t="n"/>
    </row>
    <row r="272">
      <c r="A272" s="16" t="n"/>
      <c r="B272" s="10" t="n"/>
      <c r="C272" s="17" t="n"/>
      <c r="D272" s="17" t="n"/>
      <c r="E272" s="17" t="n"/>
      <c r="F272" s="10" t="n"/>
      <c r="G272" s="10" t="n"/>
      <c r="H272" s="24" t="n"/>
      <c r="I272" s="10" t="n"/>
      <c r="J272" s="17" t="n"/>
      <c r="K272" s="16" t="n"/>
      <c r="L272" s="9" t="n"/>
      <c r="M272" s="26" t="n"/>
    </row>
    <row r="273">
      <c r="A273" s="16" t="n"/>
      <c r="B273" s="10" t="n"/>
      <c r="C273" s="17" t="n"/>
      <c r="D273" s="17" t="n"/>
      <c r="E273" s="17" t="n"/>
      <c r="F273" s="10" t="n"/>
      <c r="G273" s="10" t="n"/>
      <c r="H273" s="24" t="n"/>
      <c r="I273" s="10" t="n"/>
      <c r="J273" s="17" t="n"/>
      <c r="K273" s="16" t="n"/>
      <c r="L273" s="9" t="n"/>
      <c r="M273" s="26" t="n"/>
    </row>
    <row r="274">
      <c r="A274" s="16" t="n"/>
      <c r="B274" s="10" t="n"/>
      <c r="C274" s="17" t="n"/>
      <c r="D274" s="17" t="n"/>
      <c r="E274" s="17" t="n"/>
      <c r="F274" s="10" t="n"/>
      <c r="G274" s="10" t="n"/>
      <c r="H274" s="24" t="n"/>
      <c r="I274" s="10" t="n"/>
      <c r="J274" s="17" t="n"/>
      <c r="K274" s="16" t="n"/>
      <c r="L274" s="9" t="n"/>
      <c r="M274" s="26" t="n"/>
    </row>
    <row r="275">
      <c r="A275" s="16" t="n"/>
      <c r="B275" s="10" t="n"/>
      <c r="C275" s="17" t="n"/>
      <c r="D275" s="17" t="n"/>
      <c r="E275" s="17" t="n"/>
      <c r="F275" s="10" t="n"/>
      <c r="G275" s="10" t="n"/>
      <c r="H275" s="24" t="n"/>
      <c r="I275" s="10" t="n"/>
      <c r="J275" s="17" t="n"/>
      <c r="K275" s="16" t="n"/>
      <c r="L275" s="9" t="n"/>
      <c r="M275" s="26" t="n"/>
    </row>
    <row r="276">
      <c r="A276" s="16" t="n"/>
      <c r="B276" s="10" t="n"/>
      <c r="C276" s="17" t="n"/>
      <c r="D276" s="17" t="n"/>
      <c r="E276" s="17" t="n"/>
      <c r="F276" s="10" t="n"/>
      <c r="G276" s="10" t="n"/>
      <c r="H276" s="24" t="n"/>
      <c r="I276" s="10" t="n"/>
      <c r="J276" s="17" t="n"/>
      <c r="K276" s="16" t="n"/>
      <c r="L276" s="9" t="n"/>
      <c r="M276" s="26" t="n"/>
    </row>
    <row r="277">
      <c r="A277" s="16" t="n"/>
      <c r="B277" s="10" t="n"/>
      <c r="C277" s="17" t="n"/>
      <c r="D277" s="17" t="n"/>
      <c r="E277" s="17" t="n"/>
      <c r="F277" s="10" t="n"/>
      <c r="G277" s="10" t="n"/>
      <c r="H277" s="24" t="n"/>
      <c r="I277" s="10" t="n"/>
      <c r="J277" s="17" t="n"/>
      <c r="K277" s="16" t="n"/>
      <c r="L277" s="9" t="n"/>
      <c r="M277" s="26" t="n"/>
    </row>
    <row r="278">
      <c r="A278" s="16" t="n"/>
      <c r="B278" s="10" t="n"/>
      <c r="C278" s="17" t="n"/>
      <c r="D278" s="17" t="n"/>
      <c r="E278" s="17" t="n"/>
      <c r="F278" s="10" t="n"/>
      <c r="G278" s="10" t="n"/>
      <c r="H278" s="24" t="n"/>
      <c r="I278" s="10" t="n"/>
      <c r="J278" s="17" t="n"/>
      <c r="K278" s="16" t="n"/>
      <c r="L278" s="9" t="n"/>
      <c r="M278" s="26" t="n"/>
    </row>
    <row r="279">
      <c r="A279" s="16" t="n"/>
      <c r="B279" s="10" t="n"/>
      <c r="C279" s="17" t="n"/>
      <c r="D279" s="17" t="n"/>
      <c r="E279" s="17" t="n"/>
      <c r="F279" s="10" t="n"/>
      <c r="G279" s="10" t="n"/>
      <c r="H279" s="24" t="n"/>
      <c r="I279" s="10" t="n"/>
      <c r="J279" s="17" t="n"/>
      <c r="K279" s="16" t="n"/>
      <c r="L279" s="9" t="n"/>
      <c r="M279" s="26" t="n"/>
    </row>
    <row r="280">
      <c r="A280" s="16" t="n"/>
      <c r="B280" s="10" t="n"/>
      <c r="C280" s="17" t="n"/>
      <c r="D280" s="17" t="n"/>
      <c r="E280" s="17" t="n"/>
      <c r="F280" s="10" t="n"/>
      <c r="G280" s="10" t="n"/>
      <c r="H280" s="24" t="n"/>
      <c r="I280" s="10" t="n"/>
      <c r="J280" s="17" t="n"/>
      <c r="K280" s="16" t="n"/>
      <c r="L280" s="9" t="n"/>
      <c r="M280" s="26" t="n"/>
    </row>
    <row r="281">
      <c r="A281" s="16" t="n"/>
      <c r="B281" s="10" t="n"/>
      <c r="C281" s="17" t="n"/>
      <c r="D281" s="17" t="n"/>
      <c r="E281" s="17" t="n"/>
      <c r="F281" s="10" t="n"/>
      <c r="G281" s="10" t="n"/>
      <c r="H281" s="24" t="n"/>
      <c r="I281" s="10" t="n"/>
      <c r="J281" s="17" t="n"/>
      <c r="K281" s="16" t="n"/>
      <c r="L281" s="9" t="n"/>
      <c r="M281" s="26" t="n"/>
    </row>
    <row r="282">
      <c r="A282" s="16" t="n"/>
      <c r="B282" s="10" t="n"/>
      <c r="C282" s="17" t="n"/>
      <c r="D282" s="17" t="n"/>
      <c r="E282" s="17" t="n"/>
      <c r="F282" s="10" t="n"/>
      <c r="G282" s="10" t="n"/>
      <c r="H282" s="24" t="n"/>
      <c r="I282" s="10" t="n"/>
      <c r="J282" s="17" t="n"/>
      <c r="K282" s="16" t="n"/>
      <c r="L282" s="9" t="n"/>
      <c r="M282" s="26" t="n"/>
    </row>
    <row r="283">
      <c r="A283" s="16" t="n"/>
      <c r="B283" s="10" t="n"/>
      <c r="C283" s="17" t="n"/>
      <c r="D283" s="17" t="n"/>
      <c r="E283" s="17" t="n"/>
      <c r="F283" s="10" t="n"/>
      <c r="G283" s="10" t="n"/>
      <c r="H283" s="24" t="n"/>
      <c r="I283" s="10" t="n"/>
      <c r="J283" s="17" t="n"/>
      <c r="K283" s="16" t="n"/>
      <c r="L283" s="9" t="n"/>
      <c r="M283" s="26" t="n"/>
    </row>
    <row r="284">
      <c r="A284" s="16" t="n"/>
      <c r="B284" s="10" t="n"/>
      <c r="C284" s="17" t="n"/>
      <c r="D284" s="17" t="n"/>
      <c r="E284" s="17" t="n"/>
      <c r="F284" s="10" t="n"/>
      <c r="G284" s="10" t="n"/>
      <c r="H284" s="24" t="n"/>
      <c r="I284" s="10" t="n"/>
      <c r="J284" s="17" t="n"/>
      <c r="K284" s="16" t="n"/>
      <c r="L284" s="9" t="n"/>
      <c r="M284" s="26" t="n"/>
    </row>
    <row r="285">
      <c r="A285" s="16" t="n"/>
      <c r="B285" s="10" t="n"/>
      <c r="C285" s="17" t="n"/>
      <c r="D285" s="17" t="n"/>
      <c r="E285" s="17" t="n"/>
      <c r="F285" s="10" t="n"/>
      <c r="G285" s="10" t="n"/>
      <c r="H285" s="24" t="n"/>
      <c r="I285" s="10" t="n"/>
      <c r="J285" s="17" t="n"/>
      <c r="K285" s="16" t="n"/>
      <c r="L285" s="9" t="n"/>
      <c r="M285" s="26" t="n"/>
    </row>
    <row r="286">
      <c r="A286" s="16" t="n"/>
      <c r="B286" s="10" t="n"/>
      <c r="C286" s="17" t="n"/>
      <c r="D286" s="17" t="n"/>
      <c r="E286" s="17" t="n"/>
      <c r="F286" s="10" t="n"/>
      <c r="G286" s="10" t="n"/>
      <c r="H286" s="24" t="n"/>
      <c r="I286" s="10" t="n"/>
      <c r="J286" s="17" t="n"/>
      <c r="K286" s="16" t="n"/>
      <c r="L286" s="9" t="n"/>
      <c r="M286" s="26" t="n"/>
    </row>
    <row r="287">
      <c r="A287" s="16" t="n"/>
      <c r="B287" s="10" t="n"/>
      <c r="C287" s="17" t="n"/>
      <c r="D287" s="17" t="n"/>
      <c r="E287" s="17" t="n"/>
      <c r="F287" s="10" t="n"/>
      <c r="G287" s="10" t="n"/>
      <c r="H287" s="24" t="n"/>
      <c r="I287" s="10" t="n"/>
      <c r="J287" s="17" t="n"/>
      <c r="K287" s="16" t="n"/>
      <c r="L287" s="9" t="n"/>
      <c r="M287" s="26" t="n"/>
    </row>
    <row r="288">
      <c r="A288" s="16" t="n"/>
      <c r="B288" s="10" t="n"/>
      <c r="C288" s="17" t="n"/>
      <c r="D288" s="17" t="n"/>
      <c r="E288" s="17" t="n"/>
      <c r="F288" s="10" t="n"/>
      <c r="G288" s="10" t="n"/>
      <c r="H288" s="24" t="n"/>
      <c r="I288" s="10" t="n"/>
      <c r="J288" s="17" t="n"/>
      <c r="K288" s="16" t="n"/>
      <c r="L288" s="9" t="n"/>
      <c r="M288" s="26" t="n"/>
    </row>
    <row r="289">
      <c r="A289" s="16" t="n"/>
      <c r="B289" s="10" t="n"/>
      <c r="C289" s="17" t="n"/>
      <c r="D289" s="17" t="n"/>
      <c r="E289" s="17" t="n"/>
      <c r="F289" s="10" t="n"/>
      <c r="G289" s="10" t="n"/>
      <c r="H289" s="24" t="n"/>
      <c r="I289" s="10" t="n"/>
      <c r="J289" s="17" t="n"/>
      <c r="K289" s="16" t="n"/>
      <c r="L289" s="9" t="n"/>
      <c r="M289" s="26" t="n"/>
    </row>
    <row r="290">
      <c r="A290" s="16" t="n"/>
      <c r="B290" s="10" t="n"/>
      <c r="C290" s="17" t="n"/>
      <c r="D290" s="17" t="n"/>
      <c r="E290" s="17" t="n"/>
      <c r="F290" s="10" t="n"/>
      <c r="G290" s="10" t="n"/>
      <c r="H290" s="24" t="n"/>
      <c r="I290" s="10" t="n"/>
      <c r="J290" s="17" t="n"/>
      <c r="K290" s="16" t="n"/>
      <c r="L290" s="9" t="n"/>
      <c r="M290" s="26" t="n"/>
    </row>
    <row r="291">
      <c r="A291" s="16" t="n"/>
      <c r="B291" s="10" t="n"/>
      <c r="C291" s="17" t="n"/>
      <c r="D291" s="17" t="n"/>
      <c r="E291" s="17" t="n"/>
      <c r="F291" s="10" t="n"/>
      <c r="G291" s="10" t="n"/>
      <c r="H291" s="24" t="n"/>
      <c r="I291" s="10" t="n"/>
      <c r="J291" s="17" t="n"/>
      <c r="K291" s="16" t="n"/>
      <c r="L291" s="9" t="n"/>
      <c r="M291" s="26" t="n"/>
    </row>
    <row r="292">
      <c r="A292" s="16" t="n"/>
      <c r="B292" s="10" t="n"/>
      <c r="C292" s="17" t="n"/>
      <c r="D292" s="17" t="n"/>
      <c r="E292" s="17" t="n"/>
      <c r="F292" s="10" t="n"/>
      <c r="G292" s="10" t="n"/>
      <c r="H292" s="24" t="n"/>
      <c r="I292" s="10" t="n"/>
      <c r="J292" s="17" t="n"/>
      <c r="K292" s="16" t="n"/>
      <c r="L292" s="9" t="n"/>
      <c r="M292" s="26" t="n"/>
    </row>
    <row r="293">
      <c r="A293" s="16" t="n"/>
      <c r="B293" s="10" t="n"/>
      <c r="C293" s="17" t="n"/>
      <c r="D293" s="17" t="n"/>
      <c r="E293" s="17" t="n"/>
      <c r="F293" s="10" t="n"/>
      <c r="G293" s="10" t="n"/>
      <c r="H293" s="24" t="n"/>
      <c r="I293" s="10" t="n"/>
      <c r="J293" s="17" t="n"/>
      <c r="K293" s="16" t="n"/>
      <c r="L293" s="9" t="n"/>
      <c r="M293" s="26" t="n"/>
    </row>
    <row r="294">
      <c r="A294" s="16" t="n"/>
      <c r="B294" s="10" t="n"/>
      <c r="C294" s="17" t="n"/>
      <c r="D294" s="17" t="n"/>
      <c r="E294" s="17" t="n"/>
      <c r="F294" s="10" t="n"/>
      <c r="G294" s="10" t="n"/>
      <c r="H294" s="24" t="n"/>
      <c r="I294" s="10" t="n"/>
      <c r="J294" s="17" t="n"/>
      <c r="K294" s="16" t="n"/>
      <c r="L294" s="9" t="n"/>
      <c r="M294" s="26" t="n"/>
    </row>
    <row r="295">
      <c r="A295" s="16" t="n"/>
      <c r="B295" s="10" t="n"/>
      <c r="C295" s="17" t="n"/>
      <c r="D295" s="17" t="n"/>
      <c r="E295" s="17" t="n"/>
      <c r="F295" s="10" t="n"/>
      <c r="G295" s="10" t="n"/>
      <c r="H295" s="24" t="n"/>
      <c r="I295" s="10" t="n"/>
      <c r="J295" s="17" t="n"/>
      <c r="K295" s="16" t="n"/>
      <c r="L295" s="9" t="n"/>
      <c r="M295" s="26" t="n"/>
    </row>
    <row r="296">
      <c r="A296" s="16" t="n"/>
      <c r="B296" s="10" t="n"/>
      <c r="C296" s="17" t="n"/>
      <c r="D296" s="17" t="n"/>
      <c r="E296" s="17" t="n"/>
      <c r="F296" s="10" t="n"/>
      <c r="G296" s="10" t="n"/>
      <c r="H296" s="24" t="n"/>
      <c r="I296" s="10" t="n"/>
      <c r="J296" s="17" t="n"/>
      <c r="K296" s="16" t="n"/>
      <c r="L296" s="9" t="n"/>
      <c r="M296" s="26" t="n"/>
    </row>
    <row r="297">
      <c r="A297" s="16" t="n"/>
      <c r="B297" s="10" t="n"/>
      <c r="C297" s="17" t="n"/>
      <c r="D297" s="17" t="n"/>
      <c r="E297" s="17" t="n"/>
      <c r="F297" s="10" t="n"/>
      <c r="G297" s="10" t="n"/>
      <c r="H297" s="24" t="n"/>
      <c r="I297" s="10" t="n"/>
      <c r="J297" s="17" t="n"/>
      <c r="K297" s="16" t="n"/>
      <c r="L297" s="9" t="n"/>
      <c r="M297" s="26" t="n"/>
    </row>
    <row r="298">
      <c r="A298" s="16" t="n"/>
      <c r="B298" s="10" t="n"/>
      <c r="C298" s="17" t="n"/>
      <c r="D298" s="17" t="n"/>
      <c r="E298" s="17" t="n"/>
      <c r="F298" s="10" t="n"/>
      <c r="G298" s="10" t="n"/>
      <c r="H298" s="24" t="n"/>
      <c r="I298" s="10" t="n"/>
      <c r="J298" s="17" t="n"/>
      <c r="K298" s="16" t="n"/>
      <c r="L298" s="9" t="n"/>
      <c r="M298" s="26" t="n"/>
    </row>
    <row r="299">
      <c r="A299" s="16" t="n"/>
      <c r="B299" s="10" t="n"/>
      <c r="C299" s="17" t="n"/>
      <c r="D299" s="17" t="n"/>
      <c r="E299" s="17" t="n"/>
      <c r="F299" s="10" t="n"/>
      <c r="G299" s="10" t="n"/>
      <c r="H299" s="24" t="n"/>
      <c r="I299" s="10" t="n"/>
      <c r="J299" s="17" t="n"/>
      <c r="K299" s="16" t="n"/>
      <c r="L299" s="9" t="n"/>
      <c r="M299" s="26" t="n"/>
    </row>
    <row r="300">
      <c r="A300" s="16" t="n"/>
      <c r="B300" s="10" t="n"/>
      <c r="C300" s="17" t="n"/>
      <c r="D300" s="17" t="n"/>
      <c r="E300" s="17" t="n"/>
      <c r="F300" s="10" t="n"/>
      <c r="G300" s="10" t="n"/>
      <c r="H300" s="24" t="n"/>
      <c r="I300" s="10" t="n"/>
      <c r="J300" s="17" t="n"/>
      <c r="K300" s="16" t="n"/>
      <c r="L300" s="9" t="n"/>
      <c r="M300" s="26" t="n"/>
    </row>
    <row r="301">
      <c r="A301" s="16" t="n"/>
      <c r="B301" s="10" t="n"/>
      <c r="C301" s="17" t="n"/>
      <c r="D301" s="17" t="n"/>
      <c r="E301" s="17" t="n"/>
      <c r="F301" s="10" t="n"/>
      <c r="G301" s="10" t="n"/>
      <c r="H301" s="24" t="n"/>
      <c r="I301" s="10" t="n"/>
      <c r="J301" s="17" t="n"/>
      <c r="K301" s="16" t="n"/>
      <c r="L301" s="9" t="n"/>
      <c r="M301" s="26" t="n"/>
    </row>
    <row r="302">
      <c r="A302" s="16" t="n"/>
      <c r="B302" s="10" t="n"/>
      <c r="C302" s="17" t="n"/>
      <c r="D302" s="17" t="n"/>
      <c r="E302" s="17" t="n"/>
      <c r="F302" s="10" t="n"/>
      <c r="G302" s="10" t="n"/>
      <c r="H302" s="24" t="n"/>
      <c r="I302" s="10" t="n"/>
      <c r="J302" s="17" t="n"/>
      <c r="K302" s="16" t="n"/>
      <c r="L302" s="9" t="n"/>
      <c r="M302" s="26" t="n"/>
    </row>
    <row r="303">
      <c r="A303" s="16" t="n"/>
      <c r="B303" s="10" t="n"/>
      <c r="C303" s="17" t="n"/>
      <c r="D303" s="17" t="n"/>
      <c r="E303" s="17" t="n"/>
      <c r="F303" s="10" t="n"/>
      <c r="G303" s="10" t="n"/>
      <c r="H303" s="24" t="n"/>
      <c r="I303" s="10" t="n"/>
      <c r="J303" s="17" t="n"/>
      <c r="K303" s="16" t="n"/>
      <c r="L303" s="9" t="n"/>
      <c r="M303" s="26" t="n"/>
    </row>
    <row r="304">
      <c r="A304" s="16" t="n"/>
      <c r="B304" s="10" t="n"/>
      <c r="C304" s="17" t="n"/>
      <c r="D304" s="17" t="n"/>
      <c r="E304" s="17" t="n"/>
      <c r="F304" s="10" t="n"/>
      <c r="G304" s="10" t="n"/>
      <c r="H304" s="24" t="n"/>
      <c r="I304" s="10" t="n"/>
      <c r="J304" s="17" t="n"/>
      <c r="K304" s="16" t="n"/>
      <c r="L304" s="9" t="n"/>
      <c r="M304" s="26" t="n"/>
    </row>
    <row r="305">
      <c r="A305" s="16" t="n"/>
      <c r="B305" s="10" t="n"/>
      <c r="C305" s="17" t="n"/>
      <c r="D305" s="17" t="n"/>
      <c r="E305" s="17" t="n"/>
      <c r="F305" s="10" t="n"/>
      <c r="G305" s="10" t="n"/>
      <c r="H305" s="24" t="n"/>
      <c r="I305" s="10" t="n"/>
      <c r="J305" s="17" t="n"/>
      <c r="K305" s="16" t="n"/>
      <c r="L305" s="9" t="n"/>
      <c r="M305" s="2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M305"/>
  <mergeCells count="1">
    <mergeCell ref="A2:M2"/>
  </mergeCells>
  <conditionalFormatting sqref="K6:K305">
    <cfRule type="expression" priority="1" dxfId="0">
      <formula>OR(K6="Pending Review",K6="Draft",K6="Needs Review",K6="Suggested")</formula>
    </cfRule>
    <cfRule type="expression" priority="2" dxfId="1">
      <formula>OR(K6="Rejected",K6="Expired")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3864"/>
    <outlinePr summaryBelow="1" summaryRight="1"/>
    <pageSetUpPr/>
  </sheetPr>
  <dimension ref="A1:H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60" customWidth="1" min="3" max="3"/>
    <col width="10" customWidth="1" min="4" max="4"/>
    <col width="14" customWidth="1" min="5" max="5"/>
    <col width="10" customWidth="1" min="6" max="6"/>
    <col width="40" customWidth="1" min="7" max="7"/>
    <col width="16" customWidth="1" min="8" max="8"/>
  </cols>
  <sheetData>
    <row r="1">
      <c r="A1" s="4" t="inlineStr">
        <is>
          <t>Inclusions, Exclusions &amp; Qualifications</t>
        </is>
      </c>
    </row>
    <row r="2" ht="48" customHeight="1">
      <c r="A2" s="3" t="inlineStr">
        <is>
          <t>Every material requirement must be priced, explicitly excluded/qualified (approved), covered by an approved allowance, or marked unresolved. Entries import as Draft and need approval.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kind</t>
        </is>
      </c>
      <c r="C4" t="inlineStr">
        <is>
          <t>description</t>
        </is>
      </c>
      <c r="D4" t="inlineStr">
        <is>
          <t>trade</t>
        </is>
      </c>
      <c r="E4" t="inlineStr">
        <is>
          <t>boq_item_key</t>
        </is>
      </c>
      <c r="F4" t="inlineStr">
        <is>
          <t>cost_code</t>
        </is>
      </c>
      <c r="G4" t="inlineStr">
        <is>
          <t>rationale</t>
        </is>
      </c>
      <c r="H4" t="inlineStr">
        <is>
          <t>status</t>
        </is>
      </c>
    </row>
    <row r="5" ht="34" customHeight="1">
      <c r="A5" s="15" t="inlineStr">
        <is>
          <t>ID</t>
        </is>
      </c>
      <c r="B5" s="15" t="inlineStr">
        <is>
          <t>Kind</t>
        </is>
      </c>
      <c r="C5" s="15" t="inlineStr">
        <is>
          <t>Description</t>
        </is>
      </c>
      <c r="D5" s="15" t="inlineStr">
        <is>
          <t>Trade</t>
        </is>
      </c>
      <c r="E5" s="15" t="inlineStr">
        <is>
          <t>BOQ item</t>
        </is>
      </c>
      <c r="F5" s="15" t="inlineStr">
        <is>
          <t>Cost code</t>
        </is>
      </c>
      <c r="G5" s="15" t="inlineStr">
        <is>
          <t>Rationale</t>
        </is>
      </c>
      <c r="H5" s="15" t="inlineStr">
        <is>
          <t>Status</t>
        </is>
      </c>
    </row>
    <row r="6">
      <c r="A6" s="16" t="n"/>
      <c r="B6" s="17" t="n"/>
      <c r="C6" s="10" t="n"/>
      <c r="D6" s="17" t="n"/>
      <c r="E6" s="17" t="n"/>
      <c r="F6" s="17" t="n"/>
      <c r="G6" s="10" t="n"/>
      <c r="H6" s="16" t="n"/>
    </row>
    <row r="7">
      <c r="A7" s="16" t="n"/>
      <c r="B7" s="17" t="n"/>
      <c r="C7" s="10" t="n"/>
      <c r="D7" s="17" t="n"/>
      <c r="E7" s="17" t="n"/>
      <c r="F7" s="17" t="n"/>
      <c r="G7" s="10" t="n"/>
      <c r="H7" s="16" t="n"/>
    </row>
    <row r="8">
      <c r="A8" s="16" t="n"/>
      <c r="B8" s="17" t="n"/>
      <c r="C8" s="10" t="n"/>
      <c r="D8" s="17" t="n"/>
      <c r="E8" s="17" t="n"/>
      <c r="F8" s="17" t="n"/>
      <c r="G8" s="10" t="n"/>
      <c r="H8" s="16" t="n"/>
    </row>
    <row r="9">
      <c r="A9" s="16" t="n"/>
      <c r="B9" s="17" t="n"/>
      <c r="C9" s="10" t="n"/>
      <c r="D9" s="17" t="n"/>
      <c r="E9" s="17" t="n"/>
      <c r="F9" s="17" t="n"/>
      <c r="G9" s="10" t="n"/>
      <c r="H9" s="16" t="n"/>
    </row>
    <row r="10">
      <c r="A10" s="16" t="n"/>
      <c r="B10" s="17" t="n"/>
      <c r="C10" s="10" t="n"/>
      <c r="D10" s="17" t="n"/>
      <c r="E10" s="17" t="n"/>
      <c r="F10" s="17" t="n"/>
      <c r="G10" s="10" t="n"/>
      <c r="H10" s="16" t="n"/>
    </row>
    <row r="11">
      <c r="A11" s="16" t="n"/>
      <c r="B11" s="17" t="n"/>
      <c r="C11" s="10" t="n"/>
      <c r="D11" s="17" t="n"/>
      <c r="E11" s="17" t="n"/>
      <c r="F11" s="17" t="n"/>
      <c r="G11" s="10" t="n"/>
      <c r="H11" s="16" t="n"/>
    </row>
    <row r="12">
      <c r="A12" s="16" t="n"/>
      <c r="B12" s="17" t="n"/>
      <c r="C12" s="10" t="n"/>
      <c r="D12" s="17" t="n"/>
      <c r="E12" s="17" t="n"/>
      <c r="F12" s="17" t="n"/>
      <c r="G12" s="10" t="n"/>
      <c r="H12" s="16" t="n"/>
    </row>
    <row r="13">
      <c r="A13" s="16" t="n"/>
      <c r="B13" s="17" t="n"/>
      <c r="C13" s="10" t="n"/>
      <c r="D13" s="17" t="n"/>
      <c r="E13" s="17" t="n"/>
      <c r="F13" s="17" t="n"/>
      <c r="G13" s="10" t="n"/>
      <c r="H13" s="16" t="n"/>
    </row>
    <row r="14">
      <c r="A14" s="16" t="n"/>
      <c r="B14" s="17" t="n"/>
      <c r="C14" s="10" t="n"/>
      <c r="D14" s="17" t="n"/>
      <c r="E14" s="17" t="n"/>
      <c r="F14" s="17" t="n"/>
      <c r="G14" s="10" t="n"/>
      <c r="H14" s="16" t="n"/>
    </row>
    <row r="15">
      <c r="A15" s="16" t="n"/>
      <c r="B15" s="17" t="n"/>
      <c r="C15" s="10" t="n"/>
      <c r="D15" s="17" t="n"/>
      <c r="E15" s="17" t="n"/>
      <c r="F15" s="17" t="n"/>
      <c r="G15" s="10" t="n"/>
      <c r="H15" s="16" t="n"/>
    </row>
    <row r="16">
      <c r="A16" s="16" t="n"/>
      <c r="B16" s="17" t="n"/>
      <c r="C16" s="10" t="n"/>
      <c r="D16" s="17" t="n"/>
      <c r="E16" s="17" t="n"/>
      <c r="F16" s="17" t="n"/>
      <c r="G16" s="10" t="n"/>
      <c r="H16" s="16" t="n"/>
    </row>
    <row r="17">
      <c r="A17" s="16" t="n"/>
      <c r="B17" s="17" t="n"/>
      <c r="C17" s="10" t="n"/>
      <c r="D17" s="17" t="n"/>
      <c r="E17" s="17" t="n"/>
      <c r="F17" s="17" t="n"/>
      <c r="G17" s="10" t="n"/>
      <c r="H17" s="16" t="n"/>
    </row>
    <row r="18">
      <c r="A18" s="16" t="n"/>
      <c r="B18" s="17" t="n"/>
      <c r="C18" s="10" t="n"/>
      <c r="D18" s="17" t="n"/>
      <c r="E18" s="17" t="n"/>
      <c r="F18" s="17" t="n"/>
      <c r="G18" s="10" t="n"/>
      <c r="H18" s="16" t="n"/>
    </row>
    <row r="19">
      <c r="A19" s="16" t="n"/>
      <c r="B19" s="17" t="n"/>
      <c r="C19" s="10" t="n"/>
      <c r="D19" s="17" t="n"/>
      <c r="E19" s="17" t="n"/>
      <c r="F19" s="17" t="n"/>
      <c r="G19" s="10" t="n"/>
      <c r="H19" s="16" t="n"/>
    </row>
    <row r="20">
      <c r="A20" s="16" t="n"/>
      <c r="B20" s="17" t="n"/>
      <c r="C20" s="10" t="n"/>
      <c r="D20" s="17" t="n"/>
      <c r="E20" s="17" t="n"/>
      <c r="F20" s="17" t="n"/>
      <c r="G20" s="10" t="n"/>
      <c r="H20" s="16" t="n"/>
    </row>
    <row r="21">
      <c r="A21" s="16" t="n"/>
      <c r="B21" s="17" t="n"/>
      <c r="C21" s="10" t="n"/>
      <c r="D21" s="17" t="n"/>
      <c r="E21" s="17" t="n"/>
      <c r="F21" s="17" t="n"/>
      <c r="G21" s="10" t="n"/>
      <c r="H21" s="16" t="n"/>
    </row>
    <row r="22">
      <c r="A22" s="16" t="n"/>
      <c r="B22" s="17" t="n"/>
      <c r="C22" s="10" t="n"/>
      <c r="D22" s="17" t="n"/>
      <c r="E22" s="17" t="n"/>
      <c r="F22" s="17" t="n"/>
      <c r="G22" s="10" t="n"/>
      <c r="H22" s="16" t="n"/>
    </row>
    <row r="23">
      <c r="A23" s="16" t="n"/>
      <c r="B23" s="17" t="n"/>
      <c r="C23" s="10" t="n"/>
      <c r="D23" s="17" t="n"/>
      <c r="E23" s="17" t="n"/>
      <c r="F23" s="17" t="n"/>
      <c r="G23" s="10" t="n"/>
      <c r="H23" s="16" t="n"/>
    </row>
    <row r="24">
      <c r="A24" s="16" t="n"/>
      <c r="B24" s="17" t="n"/>
      <c r="C24" s="10" t="n"/>
      <c r="D24" s="17" t="n"/>
      <c r="E24" s="17" t="n"/>
      <c r="F24" s="17" t="n"/>
      <c r="G24" s="10" t="n"/>
      <c r="H24" s="16" t="n"/>
    </row>
    <row r="25">
      <c r="A25" s="16" t="n"/>
      <c r="B25" s="17" t="n"/>
      <c r="C25" s="10" t="n"/>
      <c r="D25" s="17" t="n"/>
      <c r="E25" s="17" t="n"/>
      <c r="F25" s="17" t="n"/>
      <c r="G25" s="10" t="n"/>
      <c r="H25" s="16" t="n"/>
    </row>
    <row r="26">
      <c r="A26" s="16" t="n"/>
      <c r="B26" s="17" t="n"/>
      <c r="C26" s="10" t="n"/>
      <c r="D26" s="17" t="n"/>
      <c r="E26" s="17" t="n"/>
      <c r="F26" s="17" t="n"/>
      <c r="G26" s="10" t="n"/>
      <c r="H26" s="16" t="n"/>
    </row>
    <row r="27">
      <c r="A27" s="16" t="n"/>
      <c r="B27" s="17" t="n"/>
      <c r="C27" s="10" t="n"/>
      <c r="D27" s="17" t="n"/>
      <c r="E27" s="17" t="n"/>
      <c r="F27" s="17" t="n"/>
      <c r="G27" s="10" t="n"/>
      <c r="H27" s="16" t="n"/>
    </row>
    <row r="28">
      <c r="A28" s="16" t="n"/>
      <c r="B28" s="17" t="n"/>
      <c r="C28" s="10" t="n"/>
      <c r="D28" s="17" t="n"/>
      <c r="E28" s="17" t="n"/>
      <c r="F28" s="17" t="n"/>
      <c r="G28" s="10" t="n"/>
      <c r="H28" s="16" t="n"/>
    </row>
    <row r="29">
      <c r="A29" s="16" t="n"/>
      <c r="B29" s="17" t="n"/>
      <c r="C29" s="10" t="n"/>
      <c r="D29" s="17" t="n"/>
      <c r="E29" s="17" t="n"/>
      <c r="F29" s="17" t="n"/>
      <c r="G29" s="10" t="n"/>
      <c r="H29" s="16" t="n"/>
    </row>
    <row r="30">
      <c r="A30" s="16" t="n"/>
      <c r="B30" s="17" t="n"/>
      <c r="C30" s="10" t="n"/>
      <c r="D30" s="17" t="n"/>
      <c r="E30" s="17" t="n"/>
      <c r="F30" s="17" t="n"/>
      <c r="G30" s="10" t="n"/>
      <c r="H30" s="16" t="n"/>
    </row>
    <row r="31">
      <c r="A31" s="16" t="n"/>
      <c r="B31" s="17" t="n"/>
      <c r="C31" s="10" t="n"/>
      <c r="D31" s="17" t="n"/>
      <c r="E31" s="17" t="n"/>
      <c r="F31" s="17" t="n"/>
      <c r="G31" s="10" t="n"/>
      <c r="H31" s="16" t="n"/>
    </row>
    <row r="32">
      <c r="A32" s="16" t="n"/>
      <c r="B32" s="17" t="n"/>
      <c r="C32" s="10" t="n"/>
      <c r="D32" s="17" t="n"/>
      <c r="E32" s="17" t="n"/>
      <c r="F32" s="17" t="n"/>
      <c r="G32" s="10" t="n"/>
      <c r="H32" s="16" t="n"/>
    </row>
    <row r="33">
      <c r="A33" s="16" t="n"/>
      <c r="B33" s="17" t="n"/>
      <c r="C33" s="10" t="n"/>
      <c r="D33" s="17" t="n"/>
      <c r="E33" s="17" t="n"/>
      <c r="F33" s="17" t="n"/>
      <c r="G33" s="10" t="n"/>
      <c r="H33" s="16" t="n"/>
    </row>
    <row r="34">
      <c r="A34" s="16" t="n"/>
      <c r="B34" s="17" t="n"/>
      <c r="C34" s="10" t="n"/>
      <c r="D34" s="17" t="n"/>
      <c r="E34" s="17" t="n"/>
      <c r="F34" s="17" t="n"/>
      <c r="G34" s="10" t="n"/>
      <c r="H34" s="16" t="n"/>
    </row>
    <row r="35">
      <c r="A35" s="16" t="n"/>
      <c r="B35" s="17" t="n"/>
      <c r="C35" s="10" t="n"/>
      <c r="D35" s="17" t="n"/>
      <c r="E35" s="17" t="n"/>
      <c r="F35" s="17" t="n"/>
      <c r="G35" s="10" t="n"/>
      <c r="H35" s="16" t="n"/>
    </row>
    <row r="36">
      <c r="A36" s="16" t="n"/>
      <c r="B36" s="17" t="n"/>
      <c r="C36" s="10" t="n"/>
      <c r="D36" s="17" t="n"/>
      <c r="E36" s="17" t="n"/>
      <c r="F36" s="17" t="n"/>
      <c r="G36" s="10" t="n"/>
      <c r="H36" s="16" t="n"/>
    </row>
    <row r="37">
      <c r="A37" s="16" t="n"/>
      <c r="B37" s="17" t="n"/>
      <c r="C37" s="10" t="n"/>
      <c r="D37" s="17" t="n"/>
      <c r="E37" s="17" t="n"/>
      <c r="F37" s="17" t="n"/>
      <c r="G37" s="10" t="n"/>
      <c r="H37" s="16" t="n"/>
    </row>
    <row r="38">
      <c r="A38" s="16" t="n"/>
      <c r="B38" s="17" t="n"/>
      <c r="C38" s="10" t="n"/>
      <c r="D38" s="17" t="n"/>
      <c r="E38" s="17" t="n"/>
      <c r="F38" s="17" t="n"/>
      <c r="G38" s="10" t="n"/>
      <c r="H38" s="16" t="n"/>
    </row>
    <row r="39">
      <c r="A39" s="16" t="n"/>
      <c r="B39" s="17" t="n"/>
      <c r="C39" s="10" t="n"/>
      <c r="D39" s="17" t="n"/>
      <c r="E39" s="17" t="n"/>
      <c r="F39" s="17" t="n"/>
      <c r="G39" s="10" t="n"/>
      <c r="H39" s="16" t="n"/>
    </row>
    <row r="40">
      <c r="A40" s="16" t="n"/>
      <c r="B40" s="17" t="n"/>
      <c r="C40" s="10" t="n"/>
      <c r="D40" s="17" t="n"/>
      <c r="E40" s="17" t="n"/>
      <c r="F40" s="17" t="n"/>
      <c r="G40" s="10" t="n"/>
      <c r="H40" s="16" t="n"/>
    </row>
    <row r="41">
      <c r="A41" s="16" t="n"/>
      <c r="B41" s="17" t="n"/>
      <c r="C41" s="10" t="n"/>
      <c r="D41" s="17" t="n"/>
      <c r="E41" s="17" t="n"/>
      <c r="F41" s="17" t="n"/>
      <c r="G41" s="10" t="n"/>
      <c r="H41" s="16" t="n"/>
    </row>
    <row r="42">
      <c r="A42" s="16" t="n"/>
      <c r="B42" s="17" t="n"/>
      <c r="C42" s="10" t="n"/>
      <c r="D42" s="17" t="n"/>
      <c r="E42" s="17" t="n"/>
      <c r="F42" s="17" t="n"/>
      <c r="G42" s="10" t="n"/>
      <c r="H42" s="16" t="n"/>
    </row>
    <row r="43">
      <c r="A43" s="16" t="n"/>
      <c r="B43" s="17" t="n"/>
      <c r="C43" s="10" t="n"/>
      <c r="D43" s="17" t="n"/>
      <c r="E43" s="17" t="n"/>
      <c r="F43" s="17" t="n"/>
      <c r="G43" s="10" t="n"/>
      <c r="H43" s="16" t="n"/>
    </row>
    <row r="44">
      <c r="A44" s="16" t="n"/>
      <c r="B44" s="17" t="n"/>
      <c r="C44" s="10" t="n"/>
      <c r="D44" s="17" t="n"/>
      <c r="E44" s="17" t="n"/>
      <c r="F44" s="17" t="n"/>
      <c r="G44" s="10" t="n"/>
      <c r="H44" s="16" t="n"/>
    </row>
    <row r="45">
      <c r="A45" s="16" t="n"/>
      <c r="B45" s="17" t="n"/>
      <c r="C45" s="10" t="n"/>
      <c r="D45" s="17" t="n"/>
      <c r="E45" s="17" t="n"/>
      <c r="F45" s="17" t="n"/>
      <c r="G45" s="10" t="n"/>
      <c r="H45" s="16" t="n"/>
    </row>
    <row r="46">
      <c r="A46" s="16" t="n"/>
      <c r="B46" s="17" t="n"/>
      <c r="C46" s="10" t="n"/>
      <c r="D46" s="17" t="n"/>
      <c r="E46" s="17" t="n"/>
      <c r="F46" s="17" t="n"/>
      <c r="G46" s="10" t="n"/>
      <c r="H46" s="16" t="n"/>
    </row>
    <row r="47">
      <c r="A47" s="16" t="n"/>
      <c r="B47" s="17" t="n"/>
      <c r="C47" s="10" t="n"/>
      <c r="D47" s="17" t="n"/>
      <c r="E47" s="17" t="n"/>
      <c r="F47" s="17" t="n"/>
      <c r="G47" s="10" t="n"/>
      <c r="H47" s="16" t="n"/>
    </row>
    <row r="48">
      <c r="A48" s="16" t="n"/>
      <c r="B48" s="17" t="n"/>
      <c r="C48" s="10" t="n"/>
      <c r="D48" s="17" t="n"/>
      <c r="E48" s="17" t="n"/>
      <c r="F48" s="17" t="n"/>
      <c r="G48" s="10" t="n"/>
      <c r="H48" s="16" t="n"/>
    </row>
    <row r="49">
      <c r="A49" s="16" t="n"/>
      <c r="B49" s="17" t="n"/>
      <c r="C49" s="10" t="n"/>
      <c r="D49" s="17" t="n"/>
      <c r="E49" s="17" t="n"/>
      <c r="F49" s="17" t="n"/>
      <c r="G49" s="10" t="n"/>
      <c r="H49" s="16" t="n"/>
    </row>
    <row r="50">
      <c r="A50" s="16" t="n"/>
      <c r="B50" s="17" t="n"/>
      <c r="C50" s="10" t="n"/>
      <c r="D50" s="17" t="n"/>
      <c r="E50" s="17" t="n"/>
      <c r="F50" s="17" t="n"/>
      <c r="G50" s="10" t="n"/>
      <c r="H50" s="16" t="n"/>
    </row>
    <row r="51">
      <c r="A51" s="16" t="n"/>
      <c r="B51" s="17" t="n"/>
      <c r="C51" s="10" t="n"/>
      <c r="D51" s="17" t="n"/>
      <c r="E51" s="17" t="n"/>
      <c r="F51" s="17" t="n"/>
      <c r="G51" s="10" t="n"/>
      <c r="H51" s="16" t="n"/>
    </row>
    <row r="52">
      <c r="A52" s="16" t="n"/>
      <c r="B52" s="17" t="n"/>
      <c r="C52" s="10" t="n"/>
      <c r="D52" s="17" t="n"/>
      <c r="E52" s="17" t="n"/>
      <c r="F52" s="17" t="n"/>
      <c r="G52" s="10" t="n"/>
      <c r="H52" s="16" t="n"/>
    </row>
    <row r="53">
      <c r="A53" s="16" t="n"/>
      <c r="B53" s="17" t="n"/>
      <c r="C53" s="10" t="n"/>
      <c r="D53" s="17" t="n"/>
      <c r="E53" s="17" t="n"/>
      <c r="F53" s="17" t="n"/>
      <c r="G53" s="10" t="n"/>
      <c r="H53" s="16" t="n"/>
    </row>
    <row r="54">
      <c r="A54" s="16" t="n"/>
      <c r="B54" s="17" t="n"/>
      <c r="C54" s="10" t="n"/>
      <c r="D54" s="17" t="n"/>
      <c r="E54" s="17" t="n"/>
      <c r="F54" s="17" t="n"/>
      <c r="G54" s="10" t="n"/>
      <c r="H54" s="16" t="n"/>
    </row>
    <row r="55">
      <c r="A55" s="16" t="n"/>
      <c r="B55" s="17" t="n"/>
      <c r="C55" s="10" t="n"/>
      <c r="D55" s="17" t="n"/>
      <c r="E55" s="17" t="n"/>
      <c r="F55" s="17" t="n"/>
      <c r="G55" s="10" t="n"/>
      <c r="H55" s="16" t="n"/>
    </row>
    <row r="56">
      <c r="A56" s="16" t="n"/>
      <c r="B56" s="17" t="n"/>
      <c r="C56" s="10" t="n"/>
      <c r="D56" s="17" t="n"/>
      <c r="E56" s="17" t="n"/>
      <c r="F56" s="17" t="n"/>
      <c r="G56" s="10" t="n"/>
      <c r="H56" s="16" t="n"/>
    </row>
    <row r="57">
      <c r="A57" s="16" t="n"/>
      <c r="B57" s="17" t="n"/>
      <c r="C57" s="10" t="n"/>
      <c r="D57" s="17" t="n"/>
      <c r="E57" s="17" t="n"/>
      <c r="F57" s="17" t="n"/>
      <c r="G57" s="10" t="n"/>
      <c r="H57" s="16" t="n"/>
    </row>
    <row r="58">
      <c r="A58" s="16" t="n"/>
      <c r="B58" s="17" t="n"/>
      <c r="C58" s="10" t="n"/>
      <c r="D58" s="17" t="n"/>
      <c r="E58" s="17" t="n"/>
      <c r="F58" s="17" t="n"/>
      <c r="G58" s="10" t="n"/>
      <c r="H58" s="16" t="n"/>
    </row>
    <row r="59">
      <c r="A59" s="16" t="n"/>
      <c r="B59" s="17" t="n"/>
      <c r="C59" s="10" t="n"/>
      <c r="D59" s="17" t="n"/>
      <c r="E59" s="17" t="n"/>
      <c r="F59" s="17" t="n"/>
      <c r="G59" s="10" t="n"/>
      <c r="H59" s="16" t="n"/>
    </row>
    <row r="60">
      <c r="A60" s="16" t="n"/>
      <c r="B60" s="17" t="n"/>
      <c r="C60" s="10" t="n"/>
      <c r="D60" s="17" t="n"/>
      <c r="E60" s="17" t="n"/>
      <c r="F60" s="17" t="n"/>
      <c r="G60" s="10" t="n"/>
      <c r="H60" s="16" t="n"/>
    </row>
    <row r="61">
      <c r="A61" s="16" t="n"/>
      <c r="B61" s="17" t="n"/>
      <c r="C61" s="10" t="n"/>
      <c r="D61" s="17" t="n"/>
      <c r="E61" s="17" t="n"/>
      <c r="F61" s="17" t="n"/>
      <c r="G61" s="10" t="n"/>
      <c r="H61" s="16" t="n"/>
    </row>
    <row r="62">
      <c r="A62" s="16" t="n"/>
      <c r="B62" s="17" t="n"/>
      <c r="C62" s="10" t="n"/>
      <c r="D62" s="17" t="n"/>
      <c r="E62" s="17" t="n"/>
      <c r="F62" s="17" t="n"/>
      <c r="G62" s="10" t="n"/>
      <c r="H62" s="16" t="n"/>
    </row>
    <row r="63">
      <c r="A63" s="16" t="n"/>
      <c r="B63" s="17" t="n"/>
      <c r="C63" s="10" t="n"/>
      <c r="D63" s="17" t="n"/>
      <c r="E63" s="17" t="n"/>
      <c r="F63" s="17" t="n"/>
      <c r="G63" s="10" t="n"/>
      <c r="H63" s="16" t="n"/>
    </row>
    <row r="64">
      <c r="A64" s="16" t="n"/>
      <c r="B64" s="17" t="n"/>
      <c r="C64" s="10" t="n"/>
      <c r="D64" s="17" t="n"/>
      <c r="E64" s="17" t="n"/>
      <c r="F64" s="17" t="n"/>
      <c r="G64" s="10" t="n"/>
      <c r="H64" s="16" t="n"/>
    </row>
    <row r="65">
      <c r="A65" s="16" t="n"/>
      <c r="B65" s="17" t="n"/>
      <c r="C65" s="10" t="n"/>
      <c r="D65" s="17" t="n"/>
      <c r="E65" s="17" t="n"/>
      <c r="F65" s="17" t="n"/>
      <c r="G65" s="10" t="n"/>
      <c r="H65" s="16" t="n"/>
    </row>
    <row r="66">
      <c r="A66" s="16" t="n"/>
      <c r="B66" s="17" t="n"/>
      <c r="C66" s="10" t="n"/>
      <c r="D66" s="17" t="n"/>
      <c r="E66" s="17" t="n"/>
      <c r="F66" s="17" t="n"/>
      <c r="G66" s="10" t="n"/>
      <c r="H66" s="16" t="n"/>
    </row>
    <row r="67">
      <c r="A67" s="16" t="n"/>
      <c r="B67" s="17" t="n"/>
      <c r="C67" s="10" t="n"/>
      <c r="D67" s="17" t="n"/>
      <c r="E67" s="17" t="n"/>
      <c r="F67" s="17" t="n"/>
      <c r="G67" s="10" t="n"/>
      <c r="H67" s="16" t="n"/>
    </row>
    <row r="68">
      <c r="A68" s="16" t="n"/>
      <c r="B68" s="17" t="n"/>
      <c r="C68" s="10" t="n"/>
      <c r="D68" s="17" t="n"/>
      <c r="E68" s="17" t="n"/>
      <c r="F68" s="17" t="n"/>
      <c r="G68" s="10" t="n"/>
      <c r="H68" s="16" t="n"/>
    </row>
    <row r="69">
      <c r="A69" s="16" t="n"/>
      <c r="B69" s="17" t="n"/>
      <c r="C69" s="10" t="n"/>
      <c r="D69" s="17" t="n"/>
      <c r="E69" s="17" t="n"/>
      <c r="F69" s="17" t="n"/>
      <c r="G69" s="10" t="n"/>
      <c r="H69" s="16" t="n"/>
    </row>
    <row r="70">
      <c r="A70" s="16" t="n"/>
      <c r="B70" s="17" t="n"/>
      <c r="C70" s="10" t="n"/>
      <c r="D70" s="17" t="n"/>
      <c r="E70" s="17" t="n"/>
      <c r="F70" s="17" t="n"/>
      <c r="G70" s="10" t="n"/>
      <c r="H70" s="16" t="n"/>
    </row>
    <row r="71">
      <c r="A71" s="16" t="n"/>
      <c r="B71" s="17" t="n"/>
      <c r="C71" s="10" t="n"/>
      <c r="D71" s="17" t="n"/>
      <c r="E71" s="17" t="n"/>
      <c r="F71" s="17" t="n"/>
      <c r="G71" s="10" t="n"/>
      <c r="H71" s="16" t="n"/>
    </row>
    <row r="72">
      <c r="A72" s="16" t="n"/>
      <c r="B72" s="17" t="n"/>
      <c r="C72" s="10" t="n"/>
      <c r="D72" s="17" t="n"/>
      <c r="E72" s="17" t="n"/>
      <c r="F72" s="17" t="n"/>
      <c r="G72" s="10" t="n"/>
      <c r="H72" s="16" t="n"/>
    </row>
    <row r="73">
      <c r="A73" s="16" t="n"/>
      <c r="B73" s="17" t="n"/>
      <c r="C73" s="10" t="n"/>
      <c r="D73" s="17" t="n"/>
      <c r="E73" s="17" t="n"/>
      <c r="F73" s="17" t="n"/>
      <c r="G73" s="10" t="n"/>
      <c r="H73" s="16" t="n"/>
    </row>
    <row r="74">
      <c r="A74" s="16" t="n"/>
      <c r="B74" s="17" t="n"/>
      <c r="C74" s="10" t="n"/>
      <c r="D74" s="17" t="n"/>
      <c r="E74" s="17" t="n"/>
      <c r="F74" s="17" t="n"/>
      <c r="G74" s="10" t="n"/>
      <c r="H74" s="16" t="n"/>
    </row>
    <row r="75">
      <c r="A75" s="16" t="n"/>
      <c r="B75" s="17" t="n"/>
      <c r="C75" s="10" t="n"/>
      <c r="D75" s="17" t="n"/>
      <c r="E75" s="17" t="n"/>
      <c r="F75" s="17" t="n"/>
      <c r="G75" s="10" t="n"/>
      <c r="H75" s="16" t="n"/>
    </row>
    <row r="76">
      <c r="A76" s="16" t="n"/>
      <c r="B76" s="17" t="n"/>
      <c r="C76" s="10" t="n"/>
      <c r="D76" s="17" t="n"/>
      <c r="E76" s="17" t="n"/>
      <c r="F76" s="17" t="n"/>
      <c r="G76" s="10" t="n"/>
      <c r="H76" s="16" t="n"/>
    </row>
    <row r="77">
      <c r="A77" s="16" t="n"/>
      <c r="B77" s="17" t="n"/>
      <c r="C77" s="10" t="n"/>
      <c r="D77" s="17" t="n"/>
      <c r="E77" s="17" t="n"/>
      <c r="F77" s="17" t="n"/>
      <c r="G77" s="10" t="n"/>
      <c r="H77" s="16" t="n"/>
    </row>
    <row r="78">
      <c r="A78" s="16" t="n"/>
      <c r="B78" s="17" t="n"/>
      <c r="C78" s="10" t="n"/>
      <c r="D78" s="17" t="n"/>
      <c r="E78" s="17" t="n"/>
      <c r="F78" s="17" t="n"/>
      <c r="G78" s="10" t="n"/>
      <c r="H78" s="16" t="n"/>
    </row>
    <row r="79">
      <c r="A79" s="16" t="n"/>
      <c r="B79" s="17" t="n"/>
      <c r="C79" s="10" t="n"/>
      <c r="D79" s="17" t="n"/>
      <c r="E79" s="17" t="n"/>
      <c r="F79" s="17" t="n"/>
      <c r="G79" s="10" t="n"/>
      <c r="H79" s="16" t="n"/>
    </row>
    <row r="80">
      <c r="A80" s="16" t="n"/>
      <c r="B80" s="17" t="n"/>
      <c r="C80" s="10" t="n"/>
      <c r="D80" s="17" t="n"/>
      <c r="E80" s="17" t="n"/>
      <c r="F80" s="17" t="n"/>
      <c r="G80" s="10" t="n"/>
      <c r="H80" s="16" t="n"/>
    </row>
    <row r="81">
      <c r="A81" s="16" t="n"/>
      <c r="B81" s="17" t="n"/>
      <c r="C81" s="10" t="n"/>
      <c r="D81" s="17" t="n"/>
      <c r="E81" s="17" t="n"/>
      <c r="F81" s="17" t="n"/>
      <c r="G81" s="10" t="n"/>
      <c r="H81" s="16" t="n"/>
    </row>
    <row r="82">
      <c r="A82" s="16" t="n"/>
      <c r="B82" s="17" t="n"/>
      <c r="C82" s="10" t="n"/>
      <c r="D82" s="17" t="n"/>
      <c r="E82" s="17" t="n"/>
      <c r="F82" s="17" t="n"/>
      <c r="G82" s="10" t="n"/>
      <c r="H82" s="16" t="n"/>
    </row>
    <row r="83">
      <c r="A83" s="16" t="n"/>
      <c r="B83" s="17" t="n"/>
      <c r="C83" s="10" t="n"/>
      <c r="D83" s="17" t="n"/>
      <c r="E83" s="17" t="n"/>
      <c r="F83" s="17" t="n"/>
      <c r="G83" s="10" t="n"/>
      <c r="H83" s="16" t="n"/>
    </row>
    <row r="84">
      <c r="A84" s="16" t="n"/>
      <c r="B84" s="17" t="n"/>
      <c r="C84" s="10" t="n"/>
      <c r="D84" s="17" t="n"/>
      <c r="E84" s="17" t="n"/>
      <c r="F84" s="17" t="n"/>
      <c r="G84" s="10" t="n"/>
      <c r="H84" s="16" t="n"/>
    </row>
    <row r="85">
      <c r="A85" s="16" t="n"/>
      <c r="B85" s="17" t="n"/>
      <c r="C85" s="10" t="n"/>
      <c r="D85" s="17" t="n"/>
      <c r="E85" s="17" t="n"/>
      <c r="F85" s="17" t="n"/>
      <c r="G85" s="10" t="n"/>
      <c r="H85" s="16" t="n"/>
    </row>
    <row r="86">
      <c r="A86" s="16" t="n"/>
      <c r="B86" s="17" t="n"/>
      <c r="C86" s="10" t="n"/>
      <c r="D86" s="17" t="n"/>
      <c r="E86" s="17" t="n"/>
      <c r="F86" s="17" t="n"/>
      <c r="G86" s="10" t="n"/>
      <c r="H86" s="16" t="n"/>
    </row>
    <row r="87">
      <c r="A87" s="16" t="n"/>
      <c r="B87" s="17" t="n"/>
      <c r="C87" s="10" t="n"/>
      <c r="D87" s="17" t="n"/>
      <c r="E87" s="17" t="n"/>
      <c r="F87" s="17" t="n"/>
      <c r="G87" s="10" t="n"/>
      <c r="H87" s="16" t="n"/>
    </row>
    <row r="88">
      <c r="A88" s="16" t="n"/>
      <c r="B88" s="17" t="n"/>
      <c r="C88" s="10" t="n"/>
      <c r="D88" s="17" t="n"/>
      <c r="E88" s="17" t="n"/>
      <c r="F88" s="17" t="n"/>
      <c r="G88" s="10" t="n"/>
      <c r="H88" s="16" t="n"/>
    </row>
    <row r="89">
      <c r="A89" s="16" t="n"/>
      <c r="B89" s="17" t="n"/>
      <c r="C89" s="10" t="n"/>
      <c r="D89" s="17" t="n"/>
      <c r="E89" s="17" t="n"/>
      <c r="F89" s="17" t="n"/>
      <c r="G89" s="10" t="n"/>
      <c r="H89" s="16" t="n"/>
    </row>
    <row r="90">
      <c r="A90" s="16" t="n"/>
      <c r="B90" s="17" t="n"/>
      <c r="C90" s="10" t="n"/>
      <c r="D90" s="17" t="n"/>
      <c r="E90" s="17" t="n"/>
      <c r="F90" s="17" t="n"/>
      <c r="G90" s="10" t="n"/>
      <c r="H90" s="16" t="n"/>
    </row>
    <row r="91">
      <c r="A91" s="16" t="n"/>
      <c r="B91" s="17" t="n"/>
      <c r="C91" s="10" t="n"/>
      <c r="D91" s="17" t="n"/>
      <c r="E91" s="17" t="n"/>
      <c r="F91" s="17" t="n"/>
      <c r="G91" s="10" t="n"/>
      <c r="H91" s="16" t="n"/>
    </row>
    <row r="92">
      <c r="A92" s="16" t="n"/>
      <c r="B92" s="17" t="n"/>
      <c r="C92" s="10" t="n"/>
      <c r="D92" s="17" t="n"/>
      <c r="E92" s="17" t="n"/>
      <c r="F92" s="17" t="n"/>
      <c r="G92" s="10" t="n"/>
      <c r="H92" s="16" t="n"/>
    </row>
    <row r="93">
      <c r="A93" s="16" t="n"/>
      <c r="B93" s="17" t="n"/>
      <c r="C93" s="10" t="n"/>
      <c r="D93" s="17" t="n"/>
      <c r="E93" s="17" t="n"/>
      <c r="F93" s="17" t="n"/>
      <c r="G93" s="10" t="n"/>
      <c r="H93" s="16" t="n"/>
    </row>
    <row r="94">
      <c r="A94" s="16" t="n"/>
      <c r="B94" s="17" t="n"/>
      <c r="C94" s="10" t="n"/>
      <c r="D94" s="17" t="n"/>
      <c r="E94" s="17" t="n"/>
      <c r="F94" s="17" t="n"/>
      <c r="G94" s="10" t="n"/>
      <c r="H94" s="16" t="n"/>
    </row>
    <row r="95">
      <c r="A95" s="16" t="n"/>
      <c r="B95" s="17" t="n"/>
      <c r="C95" s="10" t="n"/>
      <c r="D95" s="17" t="n"/>
      <c r="E95" s="17" t="n"/>
      <c r="F95" s="17" t="n"/>
      <c r="G95" s="10" t="n"/>
      <c r="H95" s="16" t="n"/>
    </row>
    <row r="96">
      <c r="A96" s="16" t="n"/>
      <c r="B96" s="17" t="n"/>
      <c r="C96" s="10" t="n"/>
      <c r="D96" s="17" t="n"/>
      <c r="E96" s="17" t="n"/>
      <c r="F96" s="17" t="n"/>
      <c r="G96" s="10" t="n"/>
      <c r="H96" s="16" t="n"/>
    </row>
    <row r="97">
      <c r="A97" s="16" t="n"/>
      <c r="B97" s="17" t="n"/>
      <c r="C97" s="10" t="n"/>
      <c r="D97" s="17" t="n"/>
      <c r="E97" s="17" t="n"/>
      <c r="F97" s="17" t="n"/>
      <c r="G97" s="10" t="n"/>
      <c r="H97" s="16" t="n"/>
    </row>
    <row r="98">
      <c r="A98" s="16" t="n"/>
      <c r="B98" s="17" t="n"/>
      <c r="C98" s="10" t="n"/>
      <c r="D98" s="17" t="n"/>
      <c r="E98" s="17" t="n"/>
      <c r="F98" s="17" t="n"/>
      <c r="G98" s="10" t="n"/>
      <c r="H98" s="16" t="n"/>
    </row>
    <row r="99">
      <c r="A99" s="16" t="n"/>
      <c r="B99" s="17" t="n"/>
      <c r="C99" s="10" t="n"/>
      <c r="D99" s="17" t="n"/>
      <c r="E99" s="17" t="n"/>
      <c r="F99" s="17" t="n"/>
      <c r="G99" s="10" t="n"/>
      <c r="H99" s="16" t="n"/>
    </row>
    <row r="100">
      <c r="A100" s="16" t="n"/>
      <c r="B100" s="17" t="n"/>
      <c r="C100" s="10" t="n"/>
      <c r="D100" s="17" t="n"/>
      <c r="E100" s="17" t="n"/>
      <c r="F100" s="17" t="n"/>
      <c r="G100" s="10" t="n"/>
      <c r="H100" s="16" t="n"/>
    </row>
    <row r="101">
      <c r="A101" s="16" t="n"/>
      <c r="B101" s="17" t="n"/>
      <c r="C101" s="10" t="n"/>
      <c r="D101" s="17" t="n"/>
      <c r="E101" s="17" t="n"/>
      <c r="F101" s="17" t="n"/>
      <c r="G101" s="10" t="n"/>
      <c r="H101" s="16" t="n"/>
    </row>
    <row r="102">
      <c r="A102" s="16" t="n"/>
      <c r="B102" s="17" t="n"/>
      <c r="C102" s="10" t="n"/>
      <c r="D102" s="17" t="n"/>
      <c r="E102" s="17" t="n"/>
      <c r="F102" s="17" t="n"/>
      <c r="G102" s="10" t="n"/>
      <c r="H102" s="16" t="n"/>
    </row>
    <row r="103">
      <c r="A103" s="16" t="n"/>
      <c r="B103" s="17" t="n"/>
      <c r="C103" s="10" t="n"/>
      <c r="D103" s="17" t="n"/>
      <c r="E103" s="17" t="n"/>
      <c r="F103" s="17" t="n"/>
      <c r="G103" s="10" t="n"/>
      <c r="H103" s="16" t="n"/>
    </row>
    <row r="104">
      <c r="A104" s="16" t="n"/>
      <c r="B104" s="17" t="n"/>
      <c r="C104" s="10" t="n"/>
      <c r="D104" s="17" t="n"/>
      <c r="E104" s="17" t="n"/>
      <c r="F104" s="17" t="n"/>
      <c r="G104" s="10" t="n"/>
      <c r="H104" s="16" t="n"/>
    </row>
    <row r="105">
      <c r="A105" s="16" t="n"/>
      <c r="B105" s="17" t="n"/>
      <c r="C105" s="10" t="n"/>
      <c r="D105" s="17" t="n"/>
      <c r="E105" s="17" t="n"/>
      <c r="F105" s="17" t="n"/>
      <c r="G105" s="10" t="n"/>
      <c r="H105" s="16" t="n"/>
    </row>
    <row r="106">
      <c r="A106" s="16" t="n"/>
      <c r="B106" s="17" t="n"/>
      <c r="C106" s="10" t="n"/>
      <c r="D106" s="17" t="n"/>
      <c r="E106" s="17" t="n"/>
      <c r="F106" s="17" t="n"/>
      <c r="G106" s="10" t="n"/>
      <c r="H106" s="16" t="n"/>
    </row>
    <row r="107">
      <c r="A107" s="16" t="n"/>
      <c r="B107" s="17" t="n"/>
      <c r="C107" s="10" t="n"/>
      <c r="D107" s="17" t="n"/>
      <c r="E107" s="17" t="n"/>
      <c r="F107" s="17" t="n"/>
      <c r="G107" s="10" t="n"/>
      <c r="H107" s="16" t="n"/>
    </row>
    <row r="108">
      <c r="A108" s="16" t="n"/>
      <c r="B108" s="17" t="n"/>
      <c r="C108" s="10" t="n"/>
      <c r="D108" s="17" t="n"/>
      <c r="E108" s="17" t="n"/>
      <c r="F108" s="17" t="n"/>
      <c r="G108" s="10" t="n"/>
      <c r="H108" s="16" t="n"/>
    </row>
    <row r="109">
      <c r="A109" s="16" t="n"/>
      <c r="B109" s="17" t="n"/>
      <c r="C109" s="10" t="n"/>
      <c r="D109" s="17" t="n"/>
      <c r="E109" s="17" t="n"/>
      <c r="F109" s="17" t="n"/>
      <c r="G109" s="10" t="n"/>
      <c r="H109" s="16" t="n"/>
    </row>
    <row r="110">
      <c r="A110" s="16" t="n"/>
      <c r="B110" s="17" t="n"/>
      <c r="C110" s="10" t="n"/>
      <c r="D110" s="17" t="n"/>
      <c r="E110" s="17" t="n"/>
      <c r="F110" s="17" t="n"/>
      <c r="G110" s="10" t="n"/>
      <c r="H110" s="16" t="n"/>
    </row>
    <row r="111">
      <c r="A111" s="16" t="n"/>
      <c r="B111" s="17" t="n"/>
      <c r="C111" s="10" t="n"/>
      <c r="D111" s="17" t="n"/>
      <c r="E111" s="17" t="n"/>
      <c r="F111" s="17" t="n"/>
      <c r="G111" s="10" t="n"/>
      <c r="H111" s="16" t="n"/>
    </row>
    <row r="112">
      <c r="A112" s="16" t="n"/>
      <c r="B112" s="17" t="n"/>
      <c r="C112" s="10" t="n"/>
      <c r="D112" s="17" t="n"/>
      <c r="E112" s="17" t="n"/>
      <c r="F112" s="17" t="n"/>
      <c r="G112" s="10" t="n"/>
      <c r="H112" s="16" t="n"/>
    </row>
    <row r="113">
      <c r="A113" s="16" t="n"/>
      <c r="B113" s="17" t="n"/>
      <c r="C113" s="10" t="n"/>
      <c r="D113" s="17" t="n"/>
      <c r="E113" s="17" t="n"/>
      <c r="F113" s="17" t="n"/>
      <c r="G113" s="10" t="n"/>
      <c r="H113" s="16" t="n"/>
    </row>
    <row r="114">
      <c r="A114" s="16" t="n"/>
      <c r="B114" s="17" t="n"/>
      <c r="C114" s="10" t="n"/>
      <c r="D114" s="17" t="n"/>
      <c r="E114" s="17" t="n"/>
      <c r="F114" s="17" t="n"/>
      <c r="G114" s="10" t="n"/>
      <c r="H114" s="16" t="n"/>
    </row>
    <row r="115">
      <c r="A115" s="16" t="n"/>
      <c r="B115" s="17" t="n"/>
      <c r="C115" s="10" t="n"/>
      <c r="D115" s="17" t="n"/>
      <c r="E115" s="17" t="n"/>
      <c r="F115" s="17" t="n"/>
      <c r="G115" s="10" t="n"/>
      <c r="H115" s="16" t="n"/>
    </row>
    <row r="116">
      <c r="A116" s="16" t="n"/>
      <c r="B116" s="17" t="n"/>
      <c r="C116" s="10" t="n"/>
      <c r="D116" s="17" t="n"/>
      <c r="E116" s="17" t="n"/>
      <c r="F116" s="17" t="n"/>
      <c r="G116" s="10" t="n"/>
      <c r="H116" s="16" t="n"/>
    </row>
    <row r="117">
      <c r="A117" s="16" t="n"/>
      <c r="B117" s="17" t="n"/>
      <c r="C117" s="10" t="n"/>
      <c r="D117" s="17" t="n"/>
      <c r="E117" s="17" t="n"/>
      <c r="F117" s="17" t="n"/>
      <c r="G117" s="10" t="n"/>
      <c r="H117" s="16" t="n"/>
    </row>
    <row r="118">
      <c r="A118" s="16" t="n"/>
      <c r="B118" s="17" t="n"/>
      <c r="C118" s="10" t="n"/>
      <c r="D118" s="17" t="n"/>
      <c r="E118" s="17" t="n"/>
      <c r="F118" s="17" t="n"/>
      <c r="G118" s="10" t="n"/>
      <c r="H118" s="16" t="n"/>
    </row>
    <row r="119">
      <c r="A119" s="16" t="n"/>
      <c r="B119" s="17" t="n"/>
      <c r="C119" s="10" t="n"/>
      <c r="D119" s="17" t="n"/>
      <c r="E119" s="17" t="n"/>
      <c r="F119" s="17" t="n"/>
      <c r="G119" s="10" t="n"/>
      <c r="H119" s="16" t="n"/>
    </row>
    <row r="120">
      <c r="A120" s="16" t="n"/>
      <c r="B120" s="17" t="n"/>
      <c r="C120" s="10" t="n"/>
      <c r="D120" s="17" t="n"/>
      <c r="E120" s="17" t="n"/>
      <c r="F120" s="17" t="n"/>
      <c r="G120" s="10" t="n"/>
      <c r="H120" s="16" t="n"/>
    </row>
    <row r="121">
      <c r="A121" s="16" t="n"/>
      <c r="B121" s="17" t="n"/>
      <c r="C121" s="10" t="n"/>
      <c r="D121" s="17" t="n"/>
      <c r="E121" s="17" t="n"/>
      <c r="F121" s="17" t="n"/>
      <c r="G121" s="10" t="n"/>
      <c r="H121" s="16" t="n"/>
    </row>
    <row r="122">
      <c r="A122" s="16" t="n"/>
      <c r="B122" s="17" t="n"/>
      <c r="C122" s="10" t="n"/>
      <c r="D122" s="17" t="n"/>
      <c r="E122" s="17" t="n"/>
      <c r="F122" s="17" t="n"/>
      <c r="G122" s="10" t="n"/>
      <c r="H122" s="16" t="n"/>
    </row>
    <row r="123">
      <c r="A123" s="16" t="n"/>
      <c r="B123" s="17" t="n"/>
      <c r="C123" s="10" t="n"/>
      <c r="D123" s="17" t="n"/>
      <c r="E123" s="17" t="n"/>
      <c r="F123" s="17" t="n"/>
      <c r="G123" s="10" t="n"/>
      <c r="H123" s="16" t="n"/>
    </row>
    <row r="124">
      <c r="A124" s="16" t="n"/>
      <c r="B124" s="17" t="n"/>
      <c r="C124" s="10" t="n"/>
      <c r="D124" s="17" t="n"/>
      <c r="E124" s="17" t="n"/>
      <c r="F124" s="17" t="n"/>
      <c r="G124" s="10" t="n"/>
      <c r="H124" s="16" t="n"/>
    </row>
    <row r="125">
      <c r="A125" s="16" t="n"/>
      <c r="B125" s="17" t="n"/>
      <c r="C125" s="10" t="n"/>
      <c r="D125" s="17" t="n"/>
      <c r="E125" s="17" t="n"/>
      <c r="F125" s="17" t="n"/>
      <c r="G125" s="10" t="n"/>
      <c r="H125" s="16" t="n"/>
    </row>
    <row r="126">
      <c r="A126" s="16" t="n"/>
      <c r="B126" s="17" t="n"/>
      <c r="C126" s="10" t="n"/>
      <c r="D126" s="17" t="n"/>
      <c r="E126" s="17" t="n"/>
      <c r="F126" s="17" t="n"/>
      <c r="G126" s="10" t="n"/>
      <c r="H126" s="16" t="n"/>
    </row>
    <row r="127">
      <c r="A127" s="16" t="n"/>
      <c r="B127" s="17" t="n"/>
      <c r="C127" s="10" t="n"/>
      <c r="D127" s="17" t="n"/>
      <c r="E127" s="17" t="n"/>
      <c r="F127" s="17" t="n"/>
      <c r="G127" s="10" t="n"/>
      <c r="H127" s="16" t="n"/>
    </row>
    <row r="128">
      <c r="A128" s="16" t="n"/>
      <c r="B128" s="17" t="n"/>
      <c r="C128" s="10" t="n"/>
      <c r="D128" s="17" t="n"/>
      <c r="E128" s="17" t="n"/>
      <c r="F128" s="17" t="n"/>
      <c r="G128" s="10" t="n"/>
      <c r="H128" s="16" t="n"/>
    </row>
    <row r="129">
      <c r="A129" s="16" t="n"/>
      <c r="B129" s="17" t="n"/>
      <c r="C129" s="10" t="n"/>
      <c r="D129" s="17" t="n"/>
      <c r="E129" s="17" t="n"/>
      <c r="F129" s="17" t="n"/>
      <c r="G129" s="10" t="n"/>
      <c r="H129" s="16" t="n"/>
    </row>
    <row r="130">
      <c r="A130" s="16" t="n"/>
      <c r="B130" s="17" t="n"/>
      <c r="C130" s="10" t="n"/>
      <c r="D130" s="17" t="n"/>
      <c r="E130" s="17" t="n"/>
      <c r="F130" s="17" t="n"/>
      <c r="G130" s="10" t="n"/>
      <c r="H130" s="16" t="n"/>
    </row>
    <row r="131">
      <c r="A131" s="16" t="n"/>
      <c r="B131" s="17" t="n"/>
      <c r="C131" s="10" t="n"/>
      <c r="D131" s="17" t="n"/>
      <c r="E131" s="17" t="n"/>
      <c r="F131" s="17" t="n"/>
      <c r="G131" s="10" t="n"/>
      <c r="H131" s="16" t="n"/>
    </row>
    <row r="132">
      <c r="A132" s="16" t="n"/>
      <c r="B132" s="17" t="n"/>
      <c r="C132" s="10" t="n"/>
      <c r="D132" s="17" t="n"/>
      <c r="E132" s="17" t="n"/>
      <c r="F132" s="17" t="n"/>
      <c r="G132" s="10" t="n"/>
      <c r="H132" s="16" t="n"/>
    </row>
    <row r="133">
      <c r="A133" s="16" t="n"/>
      <c r="B133" s="17" t="n"/>
      <c r="C133" s="10" t="n"/>
      <c r="D133" s="17" t="n"/>
      <c r="E133" s="17" t="n"/>
      <c r="F133" s="17" t="n"/>
      <c r="G133" s="10" t="n"/>
      <c r="H133" s="16" t="n"/>
    </row>
    <row r="134">
      <c r="A134" s="16" t="n"/>
      <c r="B134" s="17" t="n"/>
      <c r="C134" s="10" t="n"/>
      <c r="D134" s="17" t="n"/>
      <c r="E134" s="17" t="n"/>
      <c r="F134" s="17" t="n"/>
      <c r="G134" s="10" t="n"/>
      <c r="H134" s="16" t="n"/>
    </row>
    <row r="135">
      <c r="A135" s="16" t="n"/>
      <c r="B135" s="17" t="n"/>
      <c r="C135" s="10" t="n"/>
      <c r="D135" s="17" t="n"/>
      <c r="E135" s="17" t="n"/>
      <c r="F135" s="17" t="n"/>
      <c r="G135" s="10" t="n"/>
      <c r="H135" s="16" t="n"/>
    </row>
    <row r="136">
      <c r="A136" s="16" t="n"/>
      <c r="B136" s="17" t="n"/>
      <c r="C136" s="10" t="n"/>
      <c r="D136" s="17" t="n"/>
      <c r="E136" s="17" t="n"/>
      <c r="F136" s="17" t="n"/>
      <c r="G136" s="10" t="n"/>
      <c r="H136" s="16" t="n"/>
    </row>
    <row r="137">
      <c r="A137" s="16" t="n"/>
      <c r="B137" s="17" t="n"/>
      <c r="C137" s="10" t="n"/>
      <c r="D137" s="17" t="n"/>
      <c r="E137" s="17" t="n"/>
      <c r="F137" s="17" t="n"/>
      <c r="G137" s="10" t="n"/>
      <c r="H137" s="16" t="n"/>
    </row>
    <row r="138">
      <c r="A138" s="16" t="n"/>
      <c r="B138" s="17" t="n"/>
      <c r="C138" s="10" t="n"/>
      <c r="D138" s="17" t="n"/>
      <c r="E138" s="17" t="n"/>
      <c r="F138" s="17" t="n"/>
      <c r="G138" s="10" t="n"/>
      <c r="H138" s="16" t="n"/>
    </row>
    <row r="139">
      <c r="A139" s="16" t="n"/>
      <c r="B139" s="17" t="n"/>
      <c r="C139" s="10" t="n"/>
      <c r="D139" s="17" t="n"/>
      <c r="E139" s="17" t="n"/>
      <c r="F139" s="17" t="n"/>
      <c r="G139" s="10" t="n"/>
      <c r="H139" s="16" t="n"/>
    </row>
    <row r="140">
      <c r="A140" s="16" t="n"/>
      <c r="B140" s="17" t="n"/>
      <c r="C140" s="10" t="n"/>
      <c r="D140" s="17" t="n"/>
      <c r="E140" s="17" t="n"/>
      <c r="F140" s="17" t="n"/>
      <c r="G140" s="10" t="n"/>
      <c r="H140" s="16" t="n"/>
    </row>
    <row r="141">
      <c r="A141" s="16" t="n"/>
      <c r="B141" s="17" t="n"/>
      <c r="C141" s="10" t="n"/>
      <c r="D141" s="17" t="n"/>
      <c r="E141" s="17" t="n"/>
      <c r="F141" s="17" t="n"/>
      <c r="G141" s="10" t="n"/>
      <c r="H141" s="16" t="n"/>
    </row>
    <row r="142">
      <c r="A142" s="16" t="n"/>
      <c r="B142" s="17" t="n"/>
      <c r="C142" s="10" t="n"/>
      <c r="D142" s="17" t="n"/>
      <c r="E142" s="17" t="n"/>
      <c r="F142" s="17" t="n"/>
      <c r="G142" s="10" t="n"/>
      <c r="H142" s="16" t="n"/>
    </row>
    <row r="143">
      <c r="A143" s="16" t="n"/>
      <c r="B143" s="17" t="n"/>
      <c r="C143" s="10" t="n"/>
      <c r="D143" s="17" t="n"/>
      <c r="E143" s="17" t="n"/>
      <c r="F143" s="17" t="n"/>
      <c r="G143" s="10" t="n"/>
      <c r="H143" s="16" t="n"/>
    </row>
    <row r="144">
      <c r="A144" s="16" t="n"/>
      <c r="B144" s="17" t="n"/>
      <c r="C144" s="10" t="n"/>
      <c r="D144" s="17" t="n"/>
      <c r="E144" s="17" t="n"/>
      <c r="F144" s="17" t="n"/>
      <c r="G144" s="10" t="n"/>
      <c r="H144" s="16" t="n"/>
    </row>
    <row r="145">
      <c r="A145" s="16" t="n"/>
      <c r="B145" s="17" t="n"/>
      <c r="C145" s="10" t="n"/>
      <c r="D145" s="17" t="n"/>
      <c r="E145" s="17" t="n"/>
      <c r="F145" s="17" t="n"/>
      <c r="G145" s="10" t="n"/>
      <c r="H145" s="16" t="n"/>
    </row>
    <row r="146">
      <c r="A146" s="16" t="n"/>
      <c r="B146" s="17" t="n"/>
      <c r="C146" s="10" t="n"/>
      <c r="D146" s="17" t="n"/>
      <c r="E146" s="17" t="n"/>
      <c r="F146" s="17" t="n"/>
      <c r="G146" s="10" t="n"/>
      <c r="H146" s="16" t="n"/>
    </row>
    <row r="147">
      <c r="A147" s="16" t="n"/>
      <c r="B147" s="17" t="n"/>
      <c r="C147" s="10" t="n"/>
      <c r="D147" s="17" t="n"/>
      <c r="E147" s="17" t="n"/>
      <c r="F147" s="17" t="n"/>
      <c r="G147" s="10" t="n"/>
      <c r="H147" s="16" t="n"/>
    </row>
    <row r="148">
      <c r="A148" s="16" t="n"/>
      <c r="B148" s="17" t="n"/>
      <c r="C148" s="10" t="n"/>
      <c r="D148" s="17" t="n"/>
      <c r="E148" s="17" t="n"/>
      <c r="F148" s="17" t="n"/>
      <c r="G148" s="10" t="n"/>
      <c r="H148" s="16" t="n"/>
    </row>
    <row r="149">
      <c r="A149" s="16" t="n"/>
      <c r="B149" s="17" t="n"/>
      <c r="C149" s="10" t="n"/>
      <c r="D149" s="17" t="n"/>
      <c r="E149" s="17" t="n"/>
      <c r="F149" s="17" t="n"/>
      <c r="G149" s="10" t="n"/>
      <c r="H149" s="16" t="n"/>
    </row>
    <row r="150">
      <c r="A150" s="16" t="n"/>
      <c r="B150" s="17" t="n"/>
      <c r="C150" s="10" t="n"/>
      <c r="D150" s="17" t="n"/>
      <c r="E150" s="17" t="n"/>
      <c r="F150" s="17" t="n"/>
      <c r="G150" s="10" t="n"/>
      <c r="H150" s="16" t="n"/>
    </row>
    <row r="151">
      <c r="A151" s="16" t="n"/>
      <c r="B151" s="17" t="n"/>
      <c r="C151" s="10" t="n"/>
      <c r="D151" s="17" t="n"/>
      <c r="E151" s="17" t="n"/>
      <c r="F151" s="17" t="n"/>
      <c r="G151" s="10" t="n"/>
      <c r="H151" s="16" t="n"/>
    </row>
    <row r="152">
      <c r="A152" s="16" t="n"/>
      <c r="B152" s="17" t="n"/>
      <c r="C152" s="10" t="n"/>
      <c r="D152" s="17" t="n"/>
      <c r="E152" s="17" t="n"/>
      <c r="F152" s="17" t="n"/>
      <c r="G152" s="10" t="n"/>
      <c r="H152" s="16" t="n"/>
    </row>
    <row r="153">
      <c r="A153" s="16" t="n"/>
      <c r="B153" s="17" t="n"/>
      <c r="C153" s="10" t="n"/>
      <c r="D153" s="17" t="n"/>
      <c r="E153" s="17" t="n"/>
      <c r="F153" s="17" t="n"/>
      <c r="G153" s="10" t="n"/>
      <c r="H153" s="16" t="n"/>
    </row>
    <row r="154">
      <c r="A154" s="16" t="n"/>
      <c r="B154" s="17" t="n"/>
      <c r="C154" s="10" t="n"/>
      <c r="D154" s="17" t="n"/>
      <c r="E154" s="17" t="n"/>
      <c r="F154" s="17" t="n"/>
      <c r="G154" s="10" t="n"/>
      <c r="H154" s="16" t="n"/>
    </row>
    <row r="155">
      <c r="A155" s="16" t="n"/>
      <c r="B155" s="17" t="n"/>
      <c r="C155" s="10" t="n"/>
      <c r="D155" s="17" t="n"/>
      <c r="E155" s="17" t="n"/>
      <c r="F155" s="17" t="n"/>
      <c r="G155" s="10" t="n"/>
      <c r="H155" s="16" t="n"/>
    </row>
    <row r="156">
      <c r="A156" s="16" t="n"/>
      <c r="B156" s="17" t="n"/>
      <c r="C156" s="10" t="n"/>
      <c r="D156" s="17" t="n"/>
      <c r="E156" s="17" t="n"/>
      <c r="F156" s="17" t="n"/>
      <c r="G156" s="10" t="n"/>
      <c r="H156" s="16" t="n"/>
    </row>
    <row r="157">
      <c r="A157" s="16" t="n"/>
      <c r="B157" s="17" t="n"/>
      <c r="C157" s="10" t="n"/>
      <c r="D157" s="17" t="n"/>
      <c r="E157" s="17" t="n"/>
      <c r="F157" s="17" t="n"/>
      <c r="G157" s="10" t="n"/>
      <c r="H157" s="16" t="n"/>
    </row>
    <row r="158">
      <c r="A158" s="16" t="n"/>
      <c r="B158" s="17" t="n"/>
      <c r="C158" s="10" t="n"/>
      <c r="D158" s="17" t="n"/>
      <c r="E158" s="17" t="n"/>
      <c r="F158" s="17" t="n"/>
      <c r="G158" s="10" t="n"/>
      <c r="H158" s="16" t="n"/>
    </row>
    <row r="159">
      <c r="A159" s="16" t="n"/>
      <c r="B159" s="17" t="n"/>
      <c r="C159" s="10" t="n"/>
      <c r="D159" s="17" t="n"/>
      <c r="E159" s="17" t="n"/>
      <c r="F159" s="17" t="n"/>
      <c r="G159" s="10" t="n"/>
      <c r="H159" s="16" t="n"/>
    </row>
    <row r="160">
      <c r="A160" s="16" t="n"/>
      <c r="B160" s="17" t="n"/>
      <c r="C160" s="10" t="n"/>
      <c r="D160" s="17" t="n"/>
      <c r="E160" s="17" t="n"/>
      <c r="F160" s="17" t="n"/>
      <c r="G160" s="10" t="n"/>
      <c r="H160" s="16" t="n"/>
    </row>
    <row r="161">
      <c r="A161" s="16" t="n"/>
      <c r="B161" s="17" t="n"/>
      <c r="C161" s="10" t="n"/>
      <c r="D161" s="17" t="n"/>
      <c r="E161" s="17" t="n"/>
      <c r="F161" s="17" t="n"/>
      <c r="G161" s="10" t="n"/>
      <c r="H161" s="16" t="n"/>
    </row>
    <row r="162">
      <c r="A162" s="16" t="n"/>
      <c r="B162" s="17" t="n"/>
      <c r="C162" s="10" t="n"/>
      <c r="D162" s="17" t="n"/>
      <c r="E162" s="17" t="n"/>
      <c r="F162" s="17" t="n"/>
      <c r="G162" s="10" t="n"/>
      <c r="H162" s="16" t="n"/>
    </row>
    <row r="163">
      <c r="A163" s="16" t="n"/>
      <c r="B163" s="17" t="n"/>
      <c r="C163" s="10" t="n"/>
      <c r="D163" s="17" t="n"/>
      <c r="E163" s="17" t="n"/>
      <c r="F163" s="17" t="n"/>
      <c r="G163" s="10" t="n"/>
      <c r="H163" s="16" t="n"/>
    </row>
    <row r="164">
      <c r="A164" s="16" t="n"/>
      <c r="B164" s="17" t="n"/>
      <c r="C164" s="10" t="n"/>
      <c r="D164" s="17" t="n"/>
      <c r="E164" s="17" t="n"/>
      <c r="F164" s="17" t="n"/>
      <c r="G164" s="10" t="n"/>
      <c r="H164" s="16" t="n"/>
    </row>
    <row r="165">
      <c r="A165" s="16" t="n"/>
      <c r="B165" s="17" t="n"/>
      <c r="C165" s="10" t="n"/>
      <c r="D165" s="17" t="n"/>
      <c r="E165" s="17" t="n"/>
      <c r="F165" s="17" t="n"/>
      <c r="G165" s="10" t="n"/>
      <c r="H165" s="16" t="n"/>
    </row>
    <row r="166">
      <c r="A166" s="16" t="n"/>
      <c r="B166" s="17" t="n"/>
      <c r="C166" s="10" t="n"/>
      <c r="D166" s="17" t="n"/>
      <c r="E166" s="17" t="n"/>
      <c r="F166" s="17" t="n"/>
      <c r="G166" s="10" t="n"/>
      <c r="H166" s="16" t="n"/>
    </row>
    <row r="167">
      <c r="A167" s="16" t="n"/>
      <c r="B167" s="17" t="n"/>
      <c r="C167" s="10" t="n"/>
      <c r="D167" s="17" t="n"/>
      <c r="E167" s="17" t="n"/>
      <c r="F167" s="17" t="n"/>
      <c r="G167" s="10" t="n"/>
      <c r="H167" s="16" t="n"/>
    </row>
    <row r="168">
      <c r="A168" s="16" t="n"/>
      <c r="B168" s="17" t="n"/>
      <c r="C168" s="10" t="n"/>
      <c r="D168" s="17" t="n"/>
      <c r="E168" s="17" t="n"/>
      <c r="F168" s="17" t="n"/>
      <c r="G168" s="10" t="n"/>
      <c r="H168" s="16" t="n"/>
    </row>
    <row r="169">
      <c r="A169" s="16" t="n"/>
      <c r="B169" s="17" t="n"/>
      <c r="C169" s="10" t="n"/>
      <c r="D169" s="17" t="n"/>
      <c r="E169" s="17" t="n"/>
      <c r="F169" s="17" t="n"/>
      <c r="G169" s="10" t="n"/>
      <c r="H169" s="16" t="n"/>
    </row>
    <row r="170">
      <c r="A170" s="16" t="n"/>
      <c r="B170" s="17" t="n"/>
      <c r="C170" s="10" t="n"/>
      <c r="D170" s="17" t="n"/>
      <c r="E170" s="17" t="n"/>
      <c r="F170" s="17" t="n"/>
      <c r="G170" s="10" t="n"/>
      <c r="H170" s="16" t="n"/>
    </row>
    <row r="171">
      <c r="A171" s="16" t="n"/>
      <c r="B171" s="17" t="n"/>
      <c r="C171" s="10" t="n"/>
      <c r="D171" s="17" t="n"/>
      <c r="E171" s="17" t="n"/>
      <c r="F171" s="17" t="n"/>
      <c r="G171" s="10" t="n"/>
      <c r="H171" s="16" t="n"/>
    </row>
    <row r="172">
      <c r="A172" s="16" t="n"/>
      <c r="B172" s="17" t="n"/>
      <c r="C172" s="10" t="n"/>
      <c r="D172" s="17" t="n"/>
      <c r="E172" s="17" t="n"/>
      <c r="F172" s="17" t="n"/>
      <c r="G172" s="10" t="n"/>
      <c r="H172" s="16" t="n"/>
    </row>
    <row r="173">
      <c r="A173" s="16" t="n"/>
      <c r="B173" s="17" t="n"/>
      <c r="C173" s="10" t="n"/>
      <c r="D173" s="17" t="n"/>
      <c r="E173" s="17" t="n"/>
      <c r="F173" s="17" t="n"/>
      <c r="G173" s="10" t="n"/>
      <c r="H173" s="16" t="n"/>
    </row>
    <row r="174">
      <c r="A174" s="16" t="n"/>
      <c r="B174" s="17" t="n"/>
      <c r="C174" s="10" t="n"/>
      <c r="D174" s="17" t="n"/>
      <c r="E174" s="17" t="n"/>
      <c r="F174" s="17" t="n"/>
      <c r="G174" s="10" t="n"/>
      <c r="H174" s="16" t="n"/>
    </row>
    <row r="175">
      <c r="A175" s="16" t="n"/>
      <c r="B175" s="17" t="n"/>
      <c r="C175" s="10" t="n"/>
      <c r="D175" s="17" t="n"/>
      <c r="E175" s="17" t="n"/>
      <c r="F175" s="17" t="n"/>
      <c r="G175" s="10" t="n"/>
      <c r="H175" s="16" t="n"/>
    </row>
    <row r="176">
      <c r="A176" s="16" t="n"/>
      <c r="B176" s="17" t="n"/>
      <c r="C176" s="10" t="n"/>
      <c r="D176" s="17" t="n"/>
      <c r="E176" s="17" t="n"/>
      <c r="F176" s="17" t="n"/>
      <c r="G176" s="10" t="n"/>
      <c r="H176" s="16" t="n"/>
    </row>
    <row r="177">
      <c r="A177" s="16" t="n"/>
      <c r="B177" s="17" t="n"/>
      <c r="C177" s="10" t="n"/>
      <c r="D177" s="17" t="n"/>
      <c r="E177" s="17" t="n"/>
      <c r="F177" s="17" t="n"/>
      <c r="G177" s="10" t="n"/>
      <c r="H177" s="16" t="n"/>
    </row>
    <row r="178">
      <c r="A178" s="16" t="n"/>
      <c r="B178" s="17" t="n"/>
      <c r="C178" s="10" t="n"/>
      <c r="D178" s="17" t="n"/>
      <c r="E178" s="17" t="n"/>
      <c r="F178" s="17" t="n"/>
      <c r="G178" s="10" t="n"/>
      <c r="H178" s="16" t="n"/>
    </row>
    <row r="179">
      <c r="A179" s="16" t="n"/>
      <c r="B179" s="17" t="n"/>
      <c r="C179" s="10" t="n"/>
      <c r="D179" s="17" t="n"/>
      <c r="E179" s="17" t="n"/>
      <c r="F179" s="17" t="n"/>
      <c r="G179" s="10" t="n"/>
      <c r="H179" s="16" t="n"/>
    </row>
    <row r="180">
      <c r="A180" s="16" t="n"/>
      <c r="B180" s="17" t="n"/>
      <c r="C180" s="10" t="n"/>
      <c r="D180" s="17" t="n"/>
      <c r="E180" s="17" t="n"/>
      <c r="F180" s="17" t="n"/>
      <c r="G180" s="10" t="n"/>
      <c r="H180" s="16" t="n"/>
    </row>
    <row r="181">
      <c r="A181" s="16" t="n"/>
      <c r="B181" s="17" t="n"/>
      <c r="C181" s="10" t="n"/>
      <c r="D181" s="17" t="n"/>
      <c r="E181" s="17" t="n"/>
      <c r="F181" s="17" t="n"/>
      <c r="G181" s="10" t="n"/>
      <c r="H181" s="16" t="n"/>
    </row>
    <row r="182">
      <c r="A182" s="16" t="n"/>
      <c r="B182" s="17" t="n"/>
      <c r="C182" s="10" t="n"/>
      <c r="D182" s="17" t="n"/>
      <c r="E182" s="17" t="n"/>
      <c r="F182" s="17" t="n"/>
      <c r="G182" s="10" t="n"/>
      <c r="H182" s="16" t="n"/>
    </row>
    <row r="183">
      <c r="A183" s="16" t="n"/>
      <c r="B183" s="17" t="n"/>
      <c r="C183" s="10" t="n"/>
      <c r="D183" s="17" t="n"/>
      <c r="E183" s="17" t="n"/>
      <c r="F183" s="17" t="n"/>
      <c r="G183" s="10" t="n"/>
      <c r="H183" s="16" t="n"/>
    </row>
    <row r="184">
      <c r="A184" s="16" t="n"/>
      <c r="B184" s="17" t="n"/>
      <c r="C184" s="10" t="n"/>
      <c r="D184" s="17" t="n"/>
      <c r="E184" s="17" t="n"/>
      <c r="F184" s="17" t="n"/>
      <c r="G184" s="10" t="n"/>
      <c r="H184" s="16" t="n"/>
    </row>
    <row r="185">
      <c r="A185" s="16" t="n"/>
      <c r="B185" s="17" t="n"/>
      <c r="C185" s="10" t="n"/>
      <c r="D185" s="17" t="n"/>
      <c r="E185" s="17" t="n"/>
      <c r="F185" s="17" t="n"/>
      <c r="G185" s="10" t="n"/>
      <c r="H185" s="16" t="n"/>
    </row>
    <row r="186">
      <c r="A186" s="16" t="n"/>
      <c r="B186" s="17" t="n"/>
      <c r="C186" s="10" t="n"/>
      <c r="D186" s="17" t="n"/>
      <c r="E186" s="17" t="n"/>
      <c r="F186" s="17" t="n"/>
      <c r="G186" s="10" t="n"/>
      <c r="H186" s="16" t="n"/>
    </row>
    <row r="187">
      <c r="A187" s="16" t="n"/>
      <c r="B187" s="17" t="n"/>
      <c r="C187" s="10" t="n"/>
      <c r="D187" s="17" t="n"/>
      <c r="E187" s="17" t="n"/>
      <c r="F187" s="17" t="n"/>
      <c r="G187" s="10" t="n"/>
      <c r="H187" s="16" t="n"/>
    </row>
    <row r="188">
      <c r="A188" s="16" t="n"/>
      <c r="B188" s="17" t="n"/>
      <c r="C188" s="10" t="n"/>
      <c r="D188" s="17" t="n"/>
      <c r="E188" s="17" t="n"/>
      <c r="F188" s="17" t="n"/>
      <c r="G188" s="10" t="n"/>
      <c r="H188" s="16" t="n"/>
    </row>
    <row r="189">
      <c r="A189" s="16" t="n"/>
      <c r="B189" s="17" t="n"/>
      <c r="C189" s="10" t="n"/>
      <c r="D189" s="17" t="n"/>
      <c r="E189" s="17" t="n"/>
      <c r="F189" s="17" t="n"/>
      <c r="G189" s="10" t="n"/>
      <c r="H189" s="16" t="n"/>
    </row>
    <row r="190">
      <c r="A190" s="16" t="n"/>
      <c r="B190" s="17" t="n"/>
      <c r="C190" s="10" t="n"/>
      <c r="D190" s="17" t="n"/>
      <c r="E190" s="17" t="n"/>
      <c r="F190" s="17" t="n"/>
      <c r="G190" s="10" t="n"/>
      <c r="H190" s="16" t="n"/>
    </row>
    <row r="191">
      <c r="A191" s="16" t="n"/>
      <c r="B191" s="17" t="n"/>
      <c r="C191" s="10" t="n"/>
      <c r="D191" s="17" t="n"/>
      <c r="E191" s="17" t="n"/>
      <c r="F191" s="17" t="n"/>
      <c r="G191" s="10" t="n"/>
      <c r="H191" s="16" t="n"/>
    </row>
    <row r="192">
      <c r="A192" s="16" t="n"/>
      <c r="B192" s="17" t="n"/>
      <c r="C192" s="10" t="n"/>
      <c r="D192" s="17" t="n"/>
      <c r="E192" s="17" t="n"/>
      <c r="F192" s="17" t="n"/>
      <c r="G192" s="10" t="n"/>
      <c r="H192" s="16" t="n"/>
    </row>
    <row r="193">
      <c r="A193" s="16" t="n"/>
      <c r="B193" s="17" t="n"/>
      <c r="C193" s="10" t="n"/>
      <c r="D193" s="17" t="n"/>
      <c r="E193" s="17" t="n"/>
      <c r="F193" s="17" t="n"/>
      <c r="G193" s="10" t="n"/>
      <c r="H193" s="16" t="n"/>
    </row>
    <row r="194">
      <c r="A194" s="16" t="n"/>
      <c r="B194" s="17" t="n"/>
      <c r="C194" s="10" t="n"/>
      <c r="D194" s="17" t="n"/>
      <c r="E194" s="17" t="n"/>
      <c r="F194" s="17" t="n"/>
      <c r="G194" s="10" t="n"/>
      <c r="H194" s="16" t="n"/>
    </row>
    <row r="195">
      <c r="A195" s="16" t="n"/>
      <c r="B195" s="17" t="n"/>
      <c r="C195" s="10" t="n"/>
      <c r="D195" s="17" t="n"/>
      <c r="E195" s="17" t="n"/>
      <c r="F195" s="17" t="n"/>
      <c r="G195" s="10" t="n"/>
      <c r="H195" s="16" t="n"/>
    </row>
    <row r="196">
      <c r="A196" s="16" t="n"/>
      <c r="B196" s="17" t="n"/>
      <c r="C196" s="10" t="n"/>
      <c r="D196" s="17" t="n"/>
      <c r="E196" s="17" t="n"/>
      <c r="F196" s="17" t="n"/>
      <c r="G196" s="10" t="n"/>
      <c r="H196" s="16" t="n"/>
    </row>
    <row r="197">
      <c r="A197" s="16" t="n"/>
      <c r="B197" s="17" t="n"/>
      <c r="C197" s="10" t="n"/>
      <c r="D197" s="17" t="n"/>
      <c r="E197" s="17" t="n"/>
      <c r="F197" s="17" t="n"/>
      <c r="G197" s="10" t="n"/>
      <c r="H197" s="16" t="n"/>
    </row>
    <row r="198">
      <c r="A198" s="16" t="n"/>
      <c r="B198" s="17" t="n"/>
      <c r="C198" s="10" t="n"/>
      <c r="D198" s="17" t="n"/>
      <c r="E198" s="17" t="n"/>
      <c r="F198" s="17" t="n"/>
      <c r="G198" s="10" t="n"/>
      <c r="H198" s="16" t="n"/>
    </row>
    <row r="199">
      <c r="A199" s="16" t="n"/>
      <c r="B199" s="17" t="n"/>
      <c r="C199" s="10" t="n"/>
      <c r="D199" s="17" t="n"/>
      <c r="E199" s="17" t="n"/>
      <c r="F199" s="17" t="n"/>
      <c r="G199" s="10" t="n"/>
      <c r="H199" s="16" t="n"/>
    </row>
    <row r="200">
      <c r="A200" s="16" t="n"/>
      <c r="B200" s="17" t="n"/>
      <c r="C200" s="10" t="n"/>
      <c r="D200" s="17" t="n"/>
      <c r="E200" s="17" t="n"/>
      <c r="F200" s="17" t="n"/>
      <c r="G200" s="10" t="n"/>
      <c r="H200" s="16" t="n"/>
    </row>
    <row r="201">
      <c r="A201" s="16" t="n"/>
      <c r="B201" s="17" t="n"/>
      <c r="C201" s="10" t="n"/>
      <c r="D201" s="17" t="n"/>
      <c r="E201" s="17" t="n"/>
      <c r="F201" s="17" t="n"/>
      <c r="G201" s="10" t="n"/>
      <c r="H201" s="16" t="n"/>
    </row>
    <row r="202">
      <c r="A202" s="16" t="n"/>
      <c r="B202" s="17" t="n"/>
      <c r="C202" s="10" t="n"/>
      <c r="D202" s="17" t="n"/>
      <c r="E202" s="17" t="n"/>
      <c r="F202" s="17" t="n"/>
      <c r="G202" s="10" t="n"/>
      <c r="H202" s="16" t="n"/>
    </row>
    <row r="203">
      <c r="A203" s="16" t="n"/>
      <c r="B203" s="17" t="n"/>
      <c r="C203" s="10" t="n"/>
      <c r="D203" s="17" t="n"/>
      <c r="E203" s="17" t="n"/>
      <c r="F203" s="17" t="n"/>
      <c r="G203" s="10" t="n"/>
      <c r="H203" s="16" t="n"/>
    </row>
    <row r="204">
      <c r="A204" s="16" t="n"/>
      <c r="B204" s="17" t="n"/>
      <c r="C204" s="10" t="n"/>
      <c r="D204" s="17" t="n"/>
      <c r="E204" s="17" t="n"/>
      <c r="F204" s="17" t="n"/>
      <c r="G204" s="10" t="n"/>
      <c r="H204" s="16" t="n"/>
    </row>
    <row r="205">
      <c r="A205" s="16" t="n"/>
      <c r="B205" s="17" t="n"/>
      <c r="C205" s="10" t="n"/>
      <c r="D205" s="17" t="n"/>
      <c r="E205" s="17" t="n"/>
      <c r="F205" s="17" t="n"/>
      <c r="G205" s="10" t="n"/>
      <c r="H205" s="16" t="n"/>
    </row>
    <row r="206">
      <c r="A206" s="16" t="n"/>
      <c r="B206" s="17" t="n"/>
      <c r="C206" s="10" t="n"/>
      <c r="D206" s="17" t="n"/>
      <c r="E206" s="17" t="n"/>
      <c r="F206" s="17" t="n"/>
      <c r="G206" s="10" t="n"/>
      <c r="H206" s="16" t="n"/>
    </row>
    <row r="207">
      <c r="A207" s="16" t="n"/>
      <c r="B207" s="17" t="n"/>
      <c r="C207" s="10" t="n"/>
      <c r="D207" s="17" t="n"/>
      <c r="E207" s="17" t="n"/>
      <c r="F207" s="17" t="n"/>
      <c r="G207" s="10" t="n"/>
      <c r="H207" s="16" t="n"/>
    </row>
    <row r="208">
      <c r="A208" s="16" t="n"/>
      <c r="B208" s="17" t="n"/>
      <c r="C208" s="10" t="n"/>
      <c r="D208" s="17" t="n"/>
      <c r="E208" s="17" t="n"/>
      <c r="F208" s="17" t="n"/>
      <c r="G208" s="10" t="n"/>
      <c r="H208" s="16" t="n"/>
    </row>
    <row r="209">
      <c r="A209" s="16" t="n"/>
      <c r="B209" s="17" t="n"/>
      <c r="C209" s="10" t="n"/>
      <c r="D209" s="17" t="n"/>
      <c r="E209" s="17" t="n"/>
      <c r="F209" s="17" t="n"/>
      <c r="G209" s="10" t="n"/>
      <c r="H209" s="16" t="n"/>
    </row>
    <row r="210">
      <c r="A210" s="16" t="n"/>
      <c r="B210" s="17" t="n"/>
      <c r="C210" s="10" t="n"/>
      <c r="D210" s="17" t="n"/>
      <c r="E210" s="17" t="n"/>
      <c r="F210" s="17" t="n"/>
      <c r="G210" s="10" t="n"/>
      <c r="H210" s="16" t="n"/>
    </row>
    <row r="211">
      <c r="A211" s="16" t="n"/>
      <c r="B211" s="17" t="n"/>
      <c r="C211" s="10" t="n"/>
      <c r="D211" s="17" t="n"/>
      <c r="E211" s="17" t="n"/>
      <c r="F211" s="17" t="n"/>
      <c r="G211" s="10" t="n"/>
      <c r="H211" s="16" t="n"/>
    </row>
    <row r="212">
      <c r="A212" s="16" t="n"/>
      <c r="B212" s="17" t="n"/>
      <c r="C212" s="10" t="n"/>
      <c r="D212" s="17" t="n"/>
      <c r="E212" s="17" t="n"/>
      <c r="F212" s="17" t="n"/>
      <c r="G212" s="10" t="n"/>
      <c r="H212" s="16" t="n"/>
    </row>
    <row r="213">
      <c r="A213" s="16" t="n"/>
      <c r="B213" s="17" t="n"/>
      <c r="C213" s="10" t="n"/>
      <c r="D213" s="17" t="n"/>
      <c r="E213" s="17" t="n"/>
      <c r="F213" s="17" t="n"/>
      <c r="G213" s="10" t="n"/>
      <c r="H213" s="16" t="n"/>
    </row>
    <row r="214">
      <c r="A214" s="16" t="n"/>
      <c r="B214" s="17" t="n"/>
      <c r="C214" s="10" t="n"/>
      <c r="D214" s="17" t="n"/>
      <c r="E214" s="17" t="n"/>
      <c r="F214" s="17" t="n"/>
      <c r="G214" s="10" t="n"/>
      <c r="H214" s="16" t="n"/>
    </row>
    <row r="215">
      <c r="A215" s="16" t="n"/>
      <c r="B215" s="17" t="n"/>
      <c r="C215" s="10" t="n"/>
      <c r="D215" s="17" t="n"/>
      <c r="E215" s="17" t="n"/>
      <c r="F215" s="17" t="n"/>
      <c r="G215" s="10" t="n"/>
      <c r="H215" s="16" t="n"/>
    </row>
    <row r="216">
      <c r="A216" s="16" t="n"/>
      <c r="B216" s="17" t="n"/>
      <c r="C216" s="10" t="n"/>
      <c r="D216" s="17" t="n"/>
      <c r="E216" s="17" t="n"/>
      <c r="F216" s="17" t="n"/>
      <c r="G216" s="10" t="n"/>
      <c r="H216" s="16" t="n"/>
    </row>
    <row r="217">
      <c r="A217" s="16" t="n"/>
      <c r="B217" s="17" t="n"/>
      <c r="C217" s="10" t="n"/>
      <c r="D217" s="17" t="n"/>
      <c r="E217" s="17" t="n"/>
      <c r="F217" s="17" t="n"/>
      <c r="G217" s="10" t="n"/>
      <c r="H217" s="16" t="n"/>
    </row>
    <row r="218">
      <c r="A218" s="16" t="n"/>
      <c r="B218" s="17" t="n"/>
      <c r="C218" s="10" t="n"/>
      <c r="D218" s="17" t="n"/>
      <c r="E218" s="17" t="n"/>
      <c r="F218" s="17" t="n"/>
      <c r="G218" s="10" t="n"/>
      <c r="H218" s="16" t="n"/>
    </row>
    <row r="219">
      <c r="A219" s="16" t="n"/>
      <c r="B219" s="17" t="n"/>
      <c r="C219" s="10" t="n"/>
      <c r="D219" s="17" t="n"/>
      <c r="E219" s="17" t="n"/>
      <c r="F219" s="17" t="n"/>
      <c r="G219" s="10" t="n"/>
      <c r="H219" s="16" t="n"/>
    </row>
    <row r="220">
      <c r="A220" s="16" t="n"/>
      <c r="B220" s="17" t="n"/>
      <c r="C220" s="10" t="n"/>
      <c r="D220" s="17" t="n"/>
      <c r="E220" s="17" t="n"/>
      <c r="F220" s="17" t="n"/>
      <c r="G220" s="10" t="n"/>
      <c r="H220" s="16" t="n"/>
    </row>
    <row r="221">
      <c r="A221" s="16" t="n"/>
      <c r="B221" s="17" t="n"/>
      <c r="C221" s="10" t="n"/>
      <c r="D221" s="17" t="n"/>
      <c r="E221" s="17" t="n"/>
      <c r="F221" s="17" t="n"/>
      <c r="G221" s="10" t="n"/>
      <c r="H221" s="16" t="n"/>
    </row>
    <row r="222">
      <c r="A222" s="16" t="n"/>
      <c r="B222" s="17" t="n"/>
      <c r="C222" s="10" t="n"/>
      <c r="D222" s="17" t="n"/>
      <c r="E222" s="17" t="n"/>
      <c r="F222" s="17" t="n"/>
      <c r="G222" s="10" t="n"/>
      <c r="H222" s="16" t="n"/>
    </row>
    <row r="223">
      <c r="A223" s="16" t="n"/>
      <c r="B223" s="17" t="n"/>
      <c r="C223" s="10" t="n"/>
      <c r="D223" s="17" t="n"/>
      <c r="E223" s="17" t="n"/>
      <c r="F223" s="17" t="n"/>
      <c r="G223" s="10" t="n"/>
      <c r="H223" s="16" t="n"/>
    </row>
    <row r="224">
      <c r="A224" s="16" t="n"/>
      <c r="B224" s="17" t="n"/>
      <c r="C224" s="10" t="n"/>
      <c r="D224" s="17" t="n"/>
      <c r="E224" s="17" t="n"/>
      <c r="F224" s="17" t="n"/>
      <c r="G224" s="10" t="n"/>
      <c r="H224" s="16" t="n"/>
    </row>
    <row r="225">
      <c r="A225" s="16" t="n"/>
      <c r="B225" s="17" t="n"/>
      <c r="C225" s="10" t="n"/>
      <c r="D225" s="17" t="n"/>
      <c r="E225" s="17" t="n"/>
      <c r="F225" s="17" t="n"/>
      <c r="G225" s="10" t="n"/>
      <c r="H225" s="16" t="n"/>
    </row>
    <row r="226">
      <c r="A226" s="16" t="n"/>
      <c r="B226" s="17" t="n"/>
      <c r="C226" s="10" t="n"/>
      <c r="D226" s="17" t="n"/>
      <c r="E226" s="17" t="n"/>
      <c r="F226" s="17" t="n"/>
      <c r="G226" s="10" t="n"/>
      <c r="H226" s="16" t="n"/>
    </row>
    <row r="227">
      <c r="A227" s="16" t="n"/>
      <c r="B227" s="17" t="n"/>
      <c r="C227" s="10" t="n"/>
      <c r="D227" s="17" t="n"/>
      <c r="E227" s="17" t="n"/>
      <c r="F227" s="17" t="n"/>
      <c r="G227" s="10" t="n"/>
      <c r="H227" s="16" t="n"/>
    </row>
    <row r="228">
      <c r="A228" s="16" t="n"/>
      <c r="B228" s="17" t="n"/>
      <c r="C228" s="10" t="n"/>
      <c r="D228" s="17" t="n"/>
      <c r="E228" s="17" t="n"/>
      <c r="F228" s="17" t="n"/>
      <c r="G228" s="10" t="n"/>
      <c r="H228" s="16" t="n"/>
    </row>
    <row r="229">
      <c r="A229" s="16" t="n"/>
      <c r="B229" s="17" t="n"/>
      <c r="C229" s="10" t="n"/>
      <c r="D229" s="17" t="n"/>
      <c r="E229" s="17" t="n"/>
      <c r="F229" s="17" t="n"/>
      <c r="G229" s="10" t="n"/>
      <c r="H229" s="16" t="n"/>
    </row>
    <row r="230">
      <c r="A230" s="16" t="n"/>
      <c r="B230" s="17" t="n"/>
      <c r="C230" s="10" t="n"/>
      <c r="D230" s="17" t="n"/>
      <c r="E230" s="17" t="n"/>
      <c r="F230" s="17" t="n"/>
      <c r="G230" s="10" t="n"/>
      <c r="H230" s="16" t="n"/>
    </row>
    <row r="231">
      <c r="A231" s="16" t="n"/>
      <c r="B231" s="17" t="n"/>
      <c r="C231" s="10" t="n"/>
      <c r="D231" s="17" t="n"/>
      <c r="E231" s="17" t="n"/>
      <c r="F231" s="17" t="n"/>
      <c r="G231" s="10" t="n"/>
      <c r="H231" s="16" t="n"/>
    </row>
    <row r="232">
      <c r="A232" s="16" t="n"/>
      <c r="B232" s="17" t="n"/>
      <c r="C232" s="10" t="n"/>
      <c r="D232" s="17" t="n"/>
      <c r="E232" s="17" t="n"/>
      <c r="F232" s="17" t="n"/>
      <c r="G232" s="10" t="n"/>
      <c r="H232" s="16" t="n"/>
    </row>
    <row r="233">
      <c r="A233" s="16" t="n"/>
      <c r="B233" s="17" t="n"/>
      <c r="C233" s="10" t="n"/>
      <c r="D233" s="17" t="n"/>
      <c r="E233" s="17" t="n"/>
      <c r="F233" s="17" t="n"/>
      <c r="G233" s="10" t="n"/>
      <c r="H233" s="16" t="n"/>
    </row>
    <row r="234">
      <c r="A234" s="16" t="n"/>
      <c r="B234" s="17" t="n"/>
      <c r="C234" s="10" t="n"/>
      <c r="D234" s="17" t="n"/>
      <c r="E234" s="17" t="n"/>
      <c r="F234" s="17" t="n"/>
      <c r="G234" s="10" t="n"/>
      <c r="H234" s="16" t="n"/>
    </row>
    <row r="235">
      <c r="A235" s="16" t="n"/>
      <c r="B235" s="17" t="n"/>
      <c r="C235" s="10" t="n"/>
      <c r="D235" s="17" t="n"/>
      <c r="E235" s="17" t="n"/>
      <c r="F235" s="17" t="n"/>
      <c r="G235" s="10" t="n"/>
      <c r="H235" s="16" t="n"/>
    </row>
    <row r="236">
      <c r="A236" s="16" t="n"/>
      <c r="B236" s="17" t="n"/>
      <c r="C236" s="10" t="n"/>
      <c r="D236" s="17" t="n"/>
      <c r="E236" s="17" t="n"/>
      <c r="F236" s="17" t="n"/>
      <c r="G236" s="10" t="n"/>
      <c r="H236" s="16" t="n"/>
    </row>
    <row r="237">
      <c r="A237" s="16" t="n"/>
      <c r="B237" s="17" t="n"/>
      <c r="C237" s="10" t="n"/>
      <c r="D237" s="17" t="n"/>
      <c r="E237" s="17" t="n"/>
      <c r="F237" s="17" t="n"/>
      <c r="G237" s="10" t="n"/>
      <c r="H237" s="16" t="n"/>
    </row>
    <row r="238">
      <c r="A238" s="16" t="n"/>
      <c r="B238" s="17" t="n"/>
      <c r="C238" s="10" t="n"/>
      <c r="D238" s="17" t="n"/>
      <c r="E238" s="17" t="n"/>
      <c r="F238" s="17" t="n"/>
      <c r="G238" s="10" t="n"/>
      <c r="H238" s="16" t="n"/>
    </row>
    <row r="239">
      <c r="A239" s="16" t="n"/>
      <c r="B239" s="17" t="n"/>
      <c r="C239" s="10" t="n"/>
      <c r="D239" s="17" t="n"/>
      <c r="E239" s="17" t="n"/>
      <c r="F239" s="17" t="n"/>
      <c r="G239" s="10" t="n"/>
      <c r="H239" s="16" t="n"/>
    </row>
    <row r="240">
      <c r="A240" s="16" t="n"/>
      <c r="B240" s="17" t="n"/>
      <c r="C240" s="10" t="n"/>
      <c r="D240" s="17" t="n"/>
      <c r="E240" s="17" t="n"/>
      <c r="F240" s="17" t="n"/>
      <c r="G240" s="10" t="n"/>
      <c r="H240" s="16" t="n"/>
    </row>
    <row r="241">
      <c r="A241" s="16" t="n"/>
      <c r="B241" s="17" t="n"/>
      <c r="C241" s="10" t="n"/>
      <c r="D241" s="17" t="n"/>
      <c r="E241" s="17" t="n"/>
      <c r="F241" s="17" t="n"/>
      <c r="G241" s="10" t="n"/>
      <c r="H241" s="16" t="n"/>
    </row>
    <row r="242">
      <c r="A242" s="16" t="n"/>
      <c r="B242" s="17" t="n"/>
      <c r="C242" s="10" t="n"/>
      <c r="D242" s="17" t="n"/>
      <c r="E242" s="17" t="n"/>
      <c r="F242" s="17" t="n"/>
      <c r="G242" s="10" t="n"/>
      <c r="H242" s="16" t="n"/>
    </row>
    <row r="243">
      <c r="A243" s="16" t="n"/>
      <c r="B243" s="17" t="n"/>
      <c r="C243" s="10" t="n"/>
      <c r="D243" s="17" t="n"/>
      <c r="E243" s="17" t="n"/>
      <c r="F243" s="17" t="n"/>
      <c r="G243" s="10" t="n"/>
      <c r="H243" s="16" t="n"/>
    </row>
    <row r="244">
      <c r="A244" s="16" t="n"/>
      <c r="B244" s="17" t="n"/>
      <c r="C244" s="10" t="n"/>
      <c r="D244" s="17" t="n"/>
      <c r="E244" s="17" t="n"/>
      <c r="F244" s="17" t="n"/>
      <c r="G244" s="10" t="n"/>
      <c r="H244" s="16" t="n"/>
    </row>
    <row r="245">
      <c r="A245" s="16" t="n"/>
      <c r="B245" s="17" t="n"/>
      <c r="C245" s="10" t="n"/>
      <c r="D245" s="17" t="n"/>
      <c r="E245" s="17" t="n"/>
      <c r="F245" s="17" t="n"/>
      <c r="G245" s="10" t="n"/>
      <c r="H245" s="16" t="n"/>
    </row>
    <row r="246">
      <c r="A246" s="16" t="n"/>
      <c r="B246" s="17" t="n"/>
      <c r="C246" s="10" t="n"/>
      <c r="D246" s="17" t="n"/>
      <c r="E246" s="17" t="n"/>
      <c r="F246" s="17" t="n"/>
      <c r="G246" s="10" t="n"/>
      <c r="H246" s="16" t="n"/>
    </row>
    <row r="247">
      <c r="A247" s="16" t="n"/>
      <c r="B247" s="17" t="n"/>
      <c r="C247" s="10" t="n"/>
      <c r="D247" s="17" t="n"/>
      <c r="E247" s="17" t="n"/>
      <c r="F247" s="17" t="n"/>
      <c r="G247" s="10" t="n"/>
      <c r="H247" s="16" t="n"/>
    </row>
    <row r="248">
      <c r="A248" s="16" t="n"/>
      <c r="B248" s="17" t="n"/>
      <c r="C248" s="10" t="n"/>
      <c r="D248" s="17" t="n"/>
      <c r="E248" s="17" t="n"/>
      <c r="F248" s="17" t="n"/>
      <c r="G248" s="10" t="n"/>
      <c r="H248" s="16" t="n"/>
    </row>
    <row r="249">
      <c r="A249" s="16" t="n"/>
      <c r="B249" s="17" t="n"/>
      <c r="C249" s="10" t="n"/>
      <c r="D249" s="17" t="n"/>
      <c r="E249" s="17" t="n"/>
      <c r="F249" s="17" t="n"/>
      <c r="G249" s="10" t="n"/>
      <c r="H249" s="16" t="n"/>
    </row>
    <row r="250">
      <c r="A250" s="16" t="n"/>
      <c r="B250" s="17" t="n"/>
      <c r="C250" s="10" t="n"/>
      <c r="D250" s="17" t="n"/>
      <c r="E250" s="17" t="n"/>
      <c r="F250" s="17" t="n"/>
      <c r="G250" s="10" t="n"/>
      <c r="H250" s="16" t="n"/>
    </row>
    <row r="251">
      <c r="A251" s="16" t="n"/>
      <c r="B251" s="17" t="n"/>
      <c r="C251" s="10" t="n"/>
      <c r="D251" s="17" t="n"/>
      <c r="E251" s="17" t="n"/>
      <c r="F251" s="17" t="n"/>
      <c r="G251" s="10" t="n"/>
      <c r="H251" s="16" t="n"/>
    </row>
    <row r="252">
      <c r="A252" s="16" t="n"/>
      <c r="B252" s="17" t="n"/>
      <c r="C252" s="10" t="n"/>
      <c r="D252" s="17" t="n"/>
      <c r="E252" s="17" t="n"/>
      <c r="F252" s="17" t="n"/>
      <c r="G252" s="10" t="n"/>
      <c r="H252" s="16" t="n"/>
    </row>
    <row r="253">
      <c r="A253" s="16" t="n"/>
      <c r="B253" s="17" t="n"/>
      <c r="C253" s="10" t="n"/>
      <c r="D253" s="17" t="n"/>
      <c r="E253" s="17" t="n"/>
      <c r="F253" s="17" t="n"/>
      <c r="G253" s="10" t="n"/>
      <c r="H253" s="16" t="n"/>
    </row>
    <row r="254">
      <c r="A254" s="16" t="n"/>
      <c r="B254" s="17" t="n"/>
      <c r="C254" s="10" t="n"/>
      <c r="D254" s="17" t="n"/>
      <c r="E254" s="17" t="n"/>
      <c r="F254" s="17" t="n"/>
      <c r="G254" s="10" t="n"/>
      <c r="H254" s="16" t="n"/>
    </row>
    <row r="255">
      <c r="A255" s="16" t="n"/>
      <c r="B255" s="17" t="n"/>
      <c r="C255" s="10" t="n"/>
      <c r="D255" s="17" t="n"/>
      <c r="E255" s="17" t="n"/>
      <c r="F255" s="17" t="n"/>
      <c r="G255" s="10" t="n"/>
      <c r="H255" s="16" t="n"/>
    </row>
    <row r="256">
      <c r="A256" s="16" t="n"/>
      <c r="B256" s="17" t="n"/>
      <c r="C256" s="10" t="n"/>
      <c r="D256" s="17" t="n"/>
      <c r="E256" s="17" t="n"/>
      <c r="F256" s="17" t="n"/>
      <c r="G256" s="10" t="n"/>
      <c r="H256" s="16" t="n"/>
    </row>
    <row r="257">
      <c r="A257" s="16" t="n"/>
      <c r="B257" s="17" t="n"/>
      <c r="C257" s="10" t="n"/>
      <c r="D257" s="17" t="n"/>
      <c r="E257" s="17" t="n"/>
      <c r="F257" s="17" t="n"/>
      <c r="G257" s="10" t="n"/>
      <c r="H257" s="16" t="n"/>
    </row>
    <row r="258">
      <c r="A258" s="16" t="n"/>
      <c r="B258" s="17" t="n"/>
      <c r="C258" s="10" t="n"/>
      <c r="D258" s="17" t="n"/>
      <c r="E258" s="17" t="n"/>
      <c r="F258" s="17" t="n"/>
      <c r="G258" s="10" t="n"/>
      <c r="H258" s="16" t="n"/>
    </row>
    <row r="259">
      <c r="A259" s="16" t="n"/>
      <c r="B259" s="17" t="n"/>
      <c r="C259" s="10" t="n"/>
      <c r="D259" s="17" t="n"/>
      <c r="E259" s="17" t="n"/>
      <c r="F259" s="17" t="n"/>
      <c r="G259" s="10" t="n"/>
      <c r="H259" s="16" t="n"/>
    </row>
    <row r="260">
      <c r="A260" s="16" t="n"/>
      <c r="B260" s="17" t="n"/>
      <c r="C260" s="10" t="n"/>
      <c r="D260" s="17" t="n"/>
      <c r="E260" s="17" t="n"/>
      <c r="F260" s="17" t="n"/>
      <c r="G260" s="10" t="n"/>
      <c r="H260" s="16" t="n"/>
    </row>
    <row r="261">
      <c r="A261" s="16" t="n"/>
      <c r="B261" s="17" t="n"/>
      <c r="C261" s="10" t="n"/>
      <c r="D261" s="17" t="n"/>
      <c r="E261" s="17" t="n"/>
      <c r="F261" s="17" t="n"/>
      <c r="G261" s="10" t="n"/>
      <c r="H261" s="16" t="n"/>
    </row>
    <row r="262">
      <c r="A262" s="16" t="n"/>
      <c r="B262" s="17" t="n"/>
      <c r="C262" s="10" t="n"/>
      <c r="D262" s="17" t="n"/>
      <c r="E262" s="17" t="n"/>
      <c r="F262" s="17" t="n"/>
      <c r="G262" s="10" t="n"/>
      <c r="H262" s="16" t="n"/>
    </row>
    <row r="263">
      <c r="A263" s="16" t="n"/>
      <c r="B263" s="17" t="n"/>
      <c r="C263" s="10" t="n"/>
      <c r="D263" s="17" t="n"/>
      <c r="E263" s="17" t="n"/>
      <c r="F263" s="17" t="n"/>
      <c r="G263" s="10" t="n"/>
      <c r="H263" s="16" t="n"/>
    </row>
    <row r="264">
      <c r="A264" s="16" t="n"/>
      <c r="B264" s="17" t="n"/>
      <c r="C264" s="10" t="n"/>
      <c r="D264" s="17" t="n"/>
      <c r="E264" s="17" t="n"/>
      <c r="F264" s="17" t="n"/>
      <c r="G264" s="10" t="n"/>
      <c r="H264" s="16" t="n"/>
    </row>
    <row r="265">
      <c r="A265" s="16" t="n"/>
      <c r="B265" s="17" t="n"/>
      <c r="C265" s="10" t="n"/>
      <c r="D265" s="17" t="n"/>
      <c r="E265" s="17" t="n"/>
      <c r="F265" s="17" t="n"/>
      <c r="G265" s="10" t="n"/>
      <c r="H265" s="16" t="n"/>
    </row>
    <row r="266">
      <c r="A266" s="16" t="n"/>
      <c r="B266" s="17" t="n"/>
      <c r="C266" s="10" t="n"/>
      <c r="D266" s="17" t="n"/>
      <c r="E266" s="17" t="n"/>
      <c r="F266" s="17" t="n"/>
      <c r="G266" s="10" t="n"/>
      <c r="H266" s="16" t="n"/>
    </row>
    <row r="267">
      <c r="A267" s="16" t="n"/>
      <c r="B267" s="17" t="n"/>
      <c r="C267" s="10" t="n"/>
      <c r="D267" s="17" t="n"/>
      <c r="E267" s="17" t="n"/>
      <c r="F267" s="17" t="n"/>
      <c r="G267" s="10" t="n"/>
      <c r="H267" s="16" t="n"/>
    </row>
    <row r="268">
      <c r="A268" s="16" t="n"/>
      <c r="B268" s="17" t="n"/>
      <c r="C268" s="10" t="n"/>
      <c r="D268" s="17" t="n"/>
      <c r="E268" s="17" t="n"/>
      <c r="F268" s="17" t="n"/>
      <c r="G268" s="10" t="n"/>
      <c r="H268" s="16" t="n"/>
    </row>
    <row r="269">
      <c r="A269" s="16" t="n"/>
      <c r="B269" s="17" t="n"/>
      <c r="C269" s="10" t="n"/>
      <c r="D269" s="17" t="n"/>
      <c r="E269" s="17" t="n"/>
      <c r="F269" s="17" t="n"/>
      <c r="G269" s="10" t="n"/>
      <c r="H269" s="16" t="n"/>
    </row>
    <row r="270">
      <c r="A270" s="16" t="n"/>
      <c r="B270" s="17" t="n"/>
      <c r="C270" s="10" t="n"/>
      <c r="D270" s="17" t="n"/>
      <c r="E270" s="17" t="n"/>
      <c r="F270" s="17" t="n"/>
      <c r="G270" s="10" t="n"/>
      <c r="H270" s="16" t="n"/>
    </row>
    <row r="271">
      <c r="A271" s="16" t="n"/>
      <c r="B271" s="17" t="n"/>
      <c r="C271" s="10" t="n"/>
      <c r="D271" s="17" t="n"/>
      <c r="E271" s="17" t="n"/>
      <c r="F271" s="17" t="n"/>
      <c r="G271" s="10" t="n"/>
      <c r="H271" s="16" t="n"/>
    </row>
    <row r="272">
      <c r="A272" s="16" t="n"/>
      <c r="B272" s="17" t="n"/>
      <c r="C272" s="10" t="n"/>
      <c r="D272" s="17" t="n"/>
      <c r="E272" s="17" t="n"/>
      <c r="F272" s="17" t="n"/>
      <c r="G272" s="10" t="n"/>
      <c r="H272" s="16" t="n"/>
    </row>
    <row r="273">
      <c r="A273" s="16" t="n"/>
      <c r="B273" s="17" t="n"/>
      <c r="C273" s="10" t="n"/>
      <c r="D273" s="17" t="n"/>
      <c r="E273" s="17" t="n"/>
      <c r="F273" s="17" t="n"/>
      <c r="G273" s="10" t="n"/>
      <c r="H273" s="16" t="n"/>
    </row>
    <row r="274">
      <c r="A274" s="16" t="n"/>
      <c r="B274" s="17" t="n"/>
      <c r="C274" s="10" t="n"/>
      <c r="D274" s="17" t="n"/>
      <c r="E274" s="17" t="n"/>
      <c r="F274" s="17" t="n"/>
      <c r="G274" s="10" t="n"/>
      <c r="H274" s="16" t="n"/>
    </row>
    <row r="275">
      <c r="A275" s="16" t="n"/>
      <c r="B275" s="17" t="n"/>
      <c r="C275" s="10" t="n"/>
      <c r="D275" s="17" t="n"/>
      <c r="E275" s="17" t="n"/>
      <c r="F275" s="17" t="n"/>
      <c r="G275" s="10" t="n"/>
      <c r="H275" s="16" t="n"/>
    </row>
    <row r="276">
      <c r="A276" s="16" t="n"/>
      <c r="B276" s="17" t="n"/>
      <c r="C276" s="10" t="n"/>
      <c r="D276" s="17" t="n"/>
      <c r="E276" s="17" t="n"/>
      <c r="F276" s="17" t="n"/>
      <c r="G276" s="10" t="n"/>
      <c r="H276" s="16" t="n"/>
    </row>
    <row r="277">
      <c r="A277" s="16" t="n"/>
      <c r="B277" s="17" t="n"/>
      <c r="C277" s="10" t="n"/>
      <c r="D277" s="17" t="n"/>
      <c r="E277" s="17" t="n"/>
      <c r="F277" s="17" t="n"/>
      <c r="G277" s="10" t="n"/>
      <c r="H277" s="16" t="n"/>
    </row>
    <row r="278">
      <c r="A278" s="16" t="n"/>
      <c r="B278" s="17" t="n"/>
      <c r="C278" s="10" t="n"/>
      <c r="D278" s="17" t="n"/>
      <c r="E278" s="17" t="n"/>
      <c r="F278" s="17" t="n"/>
      <c r="G278" s="10" t="n"/>
      <c r="H278" s="16" t="n"/>
    </row>
    <row r="279">
      <c r="A279" s="16" t="n"/>
      <c r="B279" s="17" t="n"/>
      <c r="C279" s="10" t="n"/>
      <c r="D279" s="17" t="n"/>
      <c r="E279" s="17" t="n"/>
      <c r="F279" s="17" t="n"/>
      <c r="G279" s="10" t="n"/>
      <c r="H279" s="16" t="n"/>
    </row>
    <row r="280">
      <c r="A280" s="16" t="n"/>
      <c r="B280" s="17" t="n"/>
      <c r="C280" s="10" t="n"/>
      <c r="D280" s="17" t="n"/>
      <c r="E280" s="17" t="n"/>
      <c r="F280" s="17" t="n"/>
      <c r="G280" s="10" t="n"/>
      <c r="H280" s="16" t="n"/>
    </row>
    <row r="281">
      <c r="A281" s="16" t="n"/>
      <c r="B281" s="17" t="n"/>
      <c r="C281" s="10" t="n"/>
      <c r="D281" s="17" t="n"/>
      <c r="E281" s="17" t="n"/>
      <c r="F281" s="17" t="n"/>
      <c r="G281" s="10" t="n"/>
      <c r="H281" s="16" t="n"/>
    </row>
    <row r="282">
      <c r="A282" s="16" t="n"/>
      <c r="B282" s="17" t="n"/>
      <c r="C282" s="10" t="n"/>
      <c r="D282" s="17" t="n"/>
      <c r="E282" s="17" t="n"/>
      <c r="F282" s="17" t="n"/>
      <c r="G282" s="10" t="n"/>
      <c r="H282" s="16" t="n"/>
    </row>
    <row r="283">
      <c r="A283" s="16" t="n"/>
      <c r="B283" s="17" t="n"/>
      <c r="C283" s="10" t="n"/>
      <c r="D283" s="17" t="n"/>
      <c r="E283" s="17" t="n"/>
      <c r="F283" s="17" t="n"/>
      <c r="G283" s="10" t="n"/>
      <c r="H283" s="16" t="n"/>
    </row>
    <row r="284">
      <c r="A284" s="16" t="n"/>
      <c r="B284" s="17" t="n"/>
      <c r="C284" s="10" t="n"/>
      <c r="D284" s="17" t="n"/>
      <c r="E284" s="17" t="n"/>
      <c r="F284" s="17" t="n"/>
      <c r="G284" s="10" t="n"/>
      <c r="H284" s="16" t="n"/>
    </row>
    <row r="285">
      <c r="A285" s="16" t="n"/>
      <c r="B285" s="17" t="n"/>
      <c r="C285" s="10" t="n"/>
      <c r="D285" s="17" t="n"/>
      <c r="E285" s="17" t="n"/>
      <c r="F285" s="17" t="n"/>
      <c r="G285" s="10" t="n"/>
      <c r="H285" s="16" t="n"/>
    </row>
    <row r="286">
      <c r="A286" s="16" t="n"/>
      <c r="B286" s="17" t="n"/>
      <c r="C286" s="10" t="n"/>
      <c r="D286" s="17" t="n"/>
      <c r="E286" s="17" t="n"/>
      <c r="F286" s="17" t="n"/>
      <c r="G286" s="10" t="n"/>
      <c r="H286" s="16" t="n"/>
    </row>
    <row r="287">
      <c r="A287" s="16" t="n"/>
      <c r="B287" s="17" t="n"/>
      <c r="C287" s="10" t="n"/>
      <c r="D287" s="17" t="n"/>
      <c r="E287" s="17" t="n"/>
      <c r="F287" s="17" t="n"/>
      <c r="G287" s="10" t="n"/>
      <c r="H287" s="16" t="n"/>
    </row>
    <row r="288">
      <c r="A288" s="16" t="n"/>
      <c r="B288" s="17" t="n"/>
      <c r="C288" s="10" t="n"/>
      <c r="D288" s="17" t="n"/>
      <c r="E288" s="17" t="n"/>
      <c r="F288" s="17" t="n"/>
      <c r="G288" s="10" t="n"/>
      <c r="H288" s="16" t="n"/>
    </row>
    <row r="289">
      <c r="A289" s="16" t="n"/>
      <c r="B289" s="17" t="n"/>
      <c r="C289" s="10" t="n"/>
      <c r="D289" s="17" t="n"/>
      <c r="E289" s="17" t="n"/>
      <c r="F289" s="17" t="n"/>
      <c r="G289" s="10" t="n"/>
      <c r="H289" s="16" t="n"/>
    </row>
    <row r="290">
      <c r="A290" s="16" t="n"/>
      <c r="B290" s="17" t="n"/>
      <c r="C290" s="10" t="n"/>
      <c r="D290" s="17" t="n"/>
      <c r="E290" s="17" t="n"/>
      <c r="F290" s="17" t="n"/>
      <c r="G290" s="10" t="n"/>
      <c r="H290" s="16" t="n"/>
    </row>
    <row r="291">
      <c r="A291" s="16" t="n"/>
      <c r="B291" s="17" t="n"/>
      <c r="C291" s="10" t="n"/>
      <c r="D291" s="17" t="n"/>
      <c r="E291" s="17" t="n"/>
      <c r="F291" s="17" t="n"/>
      <c r="G291" s="10" t="n"/>
      <c r="H291" s="16" t="n"/>
    </row>
    <row r="292">
      <c r="A292" s="16" t="n"/>
      <c r="B292" s="17" t="n"/>
      <c r="C292" s="10" t="n"/>
      <c r="D292" s="17" t="n"/>
      <c r="E292" s="17" t="n"/>
      <c r="F292" s="17" t="n"/>
      <c r="G292" s="10" t="n"/>
      <c r="H292" s="16" t="n"/>
    </row>
    <row r="293">
      <c r="A293" s="16" t="n"/>
      <c r="B293" s="17" t="n"/>
      <c r="C293" s="10" t="n"/>
      <c r="D293" s="17" t="n"/>
      <c r="E293" s="17" t="n"/>
      <c r="F293" s="17" t="n"/>
      <c r="G293" s="10" t="n"/>
      <c r="H293" s="16" t="n"/>
    </row>
    <row r="294">
      <c r="A294" s="16" t="n"/>
      <c r="B294" s="17" t="n"/>
      <c r="C294" s="10" t="n"/>
      <c r="D294" s="17" t="n"/>
      <c r="E294" s="17" t="n"/>
      <c r="F294" s="17" t="n"/>
      <c r="G294" s="10" t="n"/>
      <c r="H294" s="16" t="n"/>
    </row>
    <row r="295">
      <c r="A295" s="16" t="n"/>
      <c r="B295" s="17" t="n"/>
      <c r="C295" s="10" t="n"/>
      <c r="D295" s="17" t="n"/>
      <c r="E295" s="17" t="n"/>
      <c r="F295" s="17" t="n"/>
      <c r="G295" s="10" t="n"/>
      <c r="H295" s="16" t="n"/>
    </row>
    <row r="296">
      <c r="A296" s="16" t="n"/>
      <c r="B296" s="17" t="n"/>
      <c r="C296" s="10" t="n"/>
      <c r="D296" s="17" t="n"/>
      <c r="E296" s="17" t="n"/>
      <c r="F296" s="17" t="n"/>
      <c r="G296" s="10" t="n"/>
      <c r="H296" s="16" t="n"/>
    </row>
    <row r="297">
      <c r="A297" s="16" t="n"/>
      <c r="B297" s="17" t="n"/>
      <c r="C297" s="10" t="n"/>
      <c r="D297" s="17" t="n"/>
      <c r="E297" s="17" t="n"/>
      <c r="F297" s="17" t="n"/>
      <c r="G297" s="10" t="n"/>
      <c r="H297" s="16" t="n"/>
    </row>
    <row r="298">
      <c r="A298" s="16" t="n"/>
      <c r="B298" s="17" t="n"/>
      <c r="C298" s="10" t="n"/>
      <c r="D298" s="17" t="n"/>
      <c r="E298" s="17" t="n"/>
      <c r="F298" s="17" t="n"/>
      <c r="G298" s="10" t="n"/>
      <c r="H298" s="16" t="n"/>
    </row>
    <row r="299">
      <c r="A299" s="16" t="n"/>
      <c r="B299" s="17" t="n"/>
      <c r="C299" s="10" t="n"/>
      <c r="D299" s="17" t="n"/>
      <c r="E299" s="17" t="n"/>
      <c r="F299" s="17" t="n"/>
      <c r="G299" s="10" t="n"/>
      <c r="H299" s="16" t="n"/>
    </row>
    <row r="300">
      <c r="A300" s="16" t="n"/>
      <c r="B300" s="17" t="n"/>
      <c r="C300" s="10" t="n"/>
      <c r="D300" s="17" t="n"/>
      <c r="E300" s="17" t="n"/>
      <c r="F300" s="17" t="n"/>
      <c r="G300" s="10" t="n"/>
      <c r="H300" s="16" t="n"/>
    </row>
    <row r="301">
      <c r="A301" s="16" t="n"/>
      <c r="B301" s="17" t="n"/>
      <c r="C301" s="10" t="n"/>
      <c r="D301" s="17" t="n"/>
      <c r="E301" s="17" t="n"/>
      <c r="F301" s="17" t="n"/>
      <c r="G301" s="10" t="n"/>
      <c r="H301" s="16" t="n"/>
    </row>
    <row r="302">
      <c r="A302" s="16" t="n"/>
      <c r="B302" s="17" t="n"/>
      <c r="C302" s="10" t="n"/>
      <c r="D302" s="17" t="n"/>
      <c r="E302" s="17" t="n"/>
      <c r="F302" s="17" t="n"/>
      <c r="G302" s="10" t="n"/>
      <c r="H302" s="16" t="n"/>
    </row>
    <row r="303">
      <c r="A303" s="16" t="n"/>
      <c r="B303" s="17" t="n"/>
      <c r="C303" s="10" t="n"/>
      <c r="D303" s="17" t="n"/>
      <c r="E303" s="17" t="n"/>
      <c r="F303" s="17" t="n"/>
      <c r="G303" s="10" t="n"/>
      <c r="H303" s="16" t="n"/>
    </row>
    <row r="304">
      <c r="A304" s="16" t="n"/>
      <c r="B304" s="17" t="n"/>
      <c r="C304" s="10" t="n"/>
      <c r="D304" s="17" t="n"/>
      <c r="E304" s="17" t="n"/>
      <c r="F304" s="17" t="n"/>
      <c r="G304" s="10" t="n"/>
      <c r="H304" s="16" t="n"/>
    </row>
    <row r="305">
      <c r="A305" s="16" t="n"/>
      <c r="B305" s="17" t="n"/>
      <c r="C305" s="10" t="n"/>
      <c r="D305" s="17" t="n"/>
      <c r="E305" s="17" t="n"/>
      <c r="F305" s="17" t="n"/>
      <c r="G305" s="10" t="n"/>
      <c r="H305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H305"/>
  <mergeCells count="1">
    <mergeCell ref="A2:H2"/>
  </mergeCells>
  <conditionalFormatting sqref="H6:H305">
    <cfRule type="expression" priority="1" dxfId="0">
      <formula>OR(H6="Pending Review",H6="Draft",H6="Needs Review",H6="Suggested")</formula>
    </cfRule>
    <cfRule type="expression" priority="2" dxfId="1">
      <formula>OR(H6="Rejected",H6="Expired")</formula>
    </cfRule>
  </conditionalFormatting>
  <dataValidations count="2">
    <dataValidation sqref="B6:B306" showDropDown="0" showInputMessage="0" showErrorMessage="1" allowBlank="1" errorTitle="Invalid value" error="Pick a value from the list." type="list">
      <formula1>=Lists!$M$2:$M$60</formula1>
    </dataValidation>
    <dataValidation sqref="F6:F306" showDropDown="0" showInputMessage="0" showErrorMessage="0" allowBlank="1" errorTitle="Invalid value" error="Pick a value from the list." type="list">
      <formula1>=Lists!$U$2:$U$1000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3864"/>
    <outlinePr summaryBelow="1" summaryRight="1"/>
    <pageSetUpPr/>
  </sheetPr>
  <dimension ref="A1:J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10" customWidth="1" min="4" max="4"/>
    <col width="11" customWidth="1" min="5" max="5"/>
    <col width="11" customWidth="1" min="6" max="6"/>
    <col width="15" customWidth="1" min="7" max="7"/>
    <col width="36" customWidth="1" min="8" max="8"/>
    <col width="14" customWidth="1" min="9" max="9"/>
    <col width="10" customWidth="1" min="10" max="10"/>
  </cols>
  <sheetData>
    <row r="1">
      <c r="A1" s="4" t="inlineStr">
        <is>
          <t>Tender Risk Register</t>
        </is>
      </c>
    </row>
    <row r="2" ht="48" customHeight="1">
      <c r="A2" s="3" t="inlineStr">
        <is>
          <t>Risks and their cost exposure. Quantified risk allowances are priced through the approved commercial policy, not here.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title</t>
        </is>
      </c>
      <c r="C4" t="inlineStr">
        <is>
          <t>description</t>
        </is>
      </c>
      <c r="D4" t="inlineStr">
        <is>
          <t>trade</t>
        </is>
      </c>
      <c r="E4" t="inlineStr">
        <is>
          <t>probability</t>
        </is>
      </c>
      <c r="F4" t="inlineStr">
        <is>
          <t>impact</t>
        </is>
      </c>
      <c r="G4" t="inlineStr">
        <is>
          <t>cost_exposure</t>
        </is>
      </c>
      <c r="H4" t="inlineStr">
        <is>
          <t>mitigation</t>
        </is>
      </c>
      <c r="I4" t="inlineStr">
        <is>
          <t>owner</t>
        </is>
      </c>
      <c r="J4" t="inlineStr">
        <is>
          <t>status</t>
        </is>
      </c>
    </row>
    <row r="5" ht="34" customHeight="1">
      <c r="A5" s="15" t="inlineStr">
        <is>
          <t>ID</t>
        </is>
      </c>
      <c r="B5" s="15" t="inlineStr">
        <is>
          <t>Title</t>
        </is>
      </c>
      <c r="C5" s="15" t="inlineStr">
        <is>
          <t>Description</t>
        </is>
      </c>
      <c r="D5" s="15" t="inlineStr">
        <is>
          <t>Trade</t>
        </is>
      </c>
      <c r="E5" s="15" t="inlineStr">
        <is>
          <t>Probability</t>
        </is>
      </c>
      <c r="F5" s="15" t="inlineStr">
        <is>
          <t>Impact</t>
        </is>
      </c>
      <c r="G5" s="15" t="inlineStr">
        <is>
          <t>Cost exposure (SAR)</t>
        </is>
      </c>
      <c r="H5" s="15" t="inlineStr">
        <is>
          <t>Mitigation</t>
        </is>
      </c>
      <c r="I5" s="15" t="inlineStr">
        <is>
          <t>Owner</t>
        </is>
      </c>
      <c r="J5" s="15" t="inlineStr">
        <is>
          <t>Status</t>
        </is>
      </c>
    </row>
    <row r="6">
      <c r="A6" s="16" t="n"/>
      <c r="B6" s="17" t="n"/>
      <c r="C6" s="10" t="n"/>
      <c r="D6" s="17" t="n"/>
      <c r="E6" s="17" t="n"/>
      <c r="F6" s="17" t="n"/>
      <c r="G6" s="24" t="n"/>
      <c r="H6" s="10" t="n"/>
      <c r="I6" s="17" t="n"/>
      <c r="J6" s="16" t="n"/>
    </row>
    <row r="7">
      <c r="A7" s="16" t="n"/>
      <c r="B7" s="17" t="n"/>
      <c r="C7" s="10" t="n"/>
      <c r="D7" s="17" t="n"/>
      <c r="E7" s="17" t="n"/>
      <c r="F7" s="17" t="n"/>
      <c r="G7" s="24" t="n"/>
      <c r="H7" s="10" t="n"/>
      <c r="I7" s="17" t="n"/>
      <c r="J7" s="16" t="n"/>
    </row>
    <row r="8">
      <c r="A8" s="16" t="n"/>
      <c r="B8" s="17" t="n"/>
      <c r="C8" s="10" t="n"/>
      <c r="D8" s="17" t="n"/>
      <c r="E8" s="17" t="n"/>
      <c r="F8" s="17" t="n"/>
      <c r="G8" s="24" t="n"/>
      <c r="H8" s="10" t="n"/>
      <c r="I8" s="17" t="n"/>
      <c r="J8" s="16" t="n"/>
    </row>
    <row r="9">
      <c r="A9" s="16" t="n"/>
      <c r="B9" s="17" t="n"/>
      <c r="C9" s="10" t="n"/>
      <c r="D9" s="17" t="n"/>
      <c r="E9" s="17" t="n"/>
      <c r="F9" s="17" t="n"/>
      <c r="G9" s="24" t="n"/>
      <c r="H9" s="10" t="n"/>
      <c r="I9" s="17" t="n"/>
      <c r="J9" s="16" t="n"/>
    </row>
    <row r="10">
      <c r="A10" s="16" t="n"/>
      <c r="B10" s="17" t="n"/>
      <c r="C10" s="10" t="n"/>
      <c r="D10" s="17" t="n"/>
      <c r="E10" s="17" t="n"/>
      <c r="F10" s="17" t="n"/>
      <c r="G10" s="24" t="n"/>
      <c r="H10" s="10" t="n"/>
      <c r="I10" s="17" t="n"/>
      <c r="J10" s="16" t="n"/>
    </row>
    <row r="11">
      <c r="A11" s="16" t="n"/>
      <c r="B11" s="17" t="n"/>
      <c r="C11" s="10" t="n"/>
      <c r="D11" s="17" t="n"/>
      <c r="E11" s="17" t="n"/>
      <c r="F11" s="17" t="n"/>
      <c r="G11" s="24" t="n"/>
      <c r="H11" s="10" t="n"/>
      <c r="I11" s="17" t="n"/>
      <c r="J11" s="16" t="n"/>
    </row>
    <row r="12">
      <c r="A12" s="16" t="n"/>
      <c r="B12" s="17" t="n"/>
      <c r="C12" s="10" t="n"/>
      <c r="D12" s="17" t="n"/>
      <c r="E12" s="17" t="n"/>
      <c r="F12" s="17" t="n"/>
      <c r="G12" s="24" t="n"/>
      <c r="H12" s="10" t="n"/>
      <c r="I12" s="17" t="n"/>
      <c r="J12" s="16" t="n"/>
    </row>
    <row r="13">
      <c r="A13" s="16" t="n"/>
      <c r="B13" s="17" t="n"/>
      <c r="C13" s="10" t="n"/>
      <c r="D13" s="17" t="n"/>
      <c r="E13" s="17" t="n"/>
      <c r="F13" s="17" t="n"/>
      <c r="G13" s="24" t="n"/>
      <c r="H13" s="10" t="n"/>
      <c r="I13" s="17" t="n"/>
      <c r="J13" s="16" t="n"/>
    </row>
    <row r="14">
      <c r="A14" s="16" t="n"/>
      <c r="B14" s="17" t="n"/>
      <c r="C14" s="10" t="n"/>
      <c r="D14" s="17" t="n"/>
      <c r="E14" s="17" t="n"/>
      <c r="F14" s="17" t="n"/>
      <c r="G14" s="24" t="n"/>
      <c r="H14" s="10" t="n"/>
      <c r="I14" s="17" t="n"/>
      <c r="J14" s="16" t="n"/>
    </row>
    <row r="15">
      <c r="A15" s="16" t="n"/>
      <c r="B15" s="17" t="n"/>
      <c r="C15" s="10" t="n"/>
      <c r="D15" s="17" t="n"/>
      <c r="E15" s="17" t="n"/>
      <c r="F15" s="17" t="n"/>
      <c r="G15" s="24" t="n"/>
      <c r="H15" s="10" t="n"/>
      <c r="I15" s="17" t="n"/>
      <c r="J15" s="16" t="n"/>
    </row>
    <row r="16">
      <c r="A16" s="16" t="n"/>
      <c r="B16" s="17" t="n"/>
      <c r="C16" s="10" t="n"/>
      <c r="D16" s="17" t="n"/>
      <c r="E16" s="17" t="n"/>
      <c r="F16" s="17" t="n"/>
      <c r="G16" s="24" t="n"/>
      <c r="H16" s="10" t="n"/>
      <c r="I16" s="17" t="n"/>
      <c r="J16" s="16" t="n"/>
    </row>
    <row r="17">
      <c r="A17" s="16" t="n"/>
      <c r="B17" s="17" t="n"/>
      <c r="C17" s="10" t="n"/>
      <c r="D17" s="17" t="n"/>
      <c r="E17" s="17" t="n"/>
      <c r="F17" s="17" t="n"/>
      <c r="G17" s="24" t="n"/>
      <c r="H17" s="10" t="n"/>
      <c r="I17" s="17" t="n"/>
      <c r="J17" s="16" t="n"/>
    </row>
    <row r="18">
      <c r="A18" s="16" t="n"/>
      <c r="B18" s="17" t="n"/>
      <c r="C18" s="10" t="n"/>
      <c r="D18" s="17" t="n"/>
      <c r="E18" s="17" t="n"/>
      <c r="F18" s="17" t="n"/>
      <c r="G18" s="24" t="n"/>
      <c r="H18" s="10" t="n"/>
      <c r="I18" s="17" t="n"/>
      <c r="J18" s="16" t="n"/>
    </row>
    <row r="19">
      <c r="A19" s="16" t="n"/>
      <c r="B19" s="17" t="n"/>
      <c r="C19" s="10" t="n"/>
      <c r="D19" s="17" t="n"/>
      <c r="E19" s="17" t="n"/>
      <c r="F19" s="17" t="n"/>
      <c r="G19" s="24" t="n"/>
      <c r="H19" s="10" t="n"/>
      <c r="I19" s="17" t="n"/>
      <c r="J19" s="16" t="n"/>
    </row>
    <row r="20">
      <c r="A20" s="16" t="n"/>
      <c r="B20" s="17" t="n"/>
      <c r="C20" s="10" t="n"/>
      <c r="D20" s="17" t="n"/>
      <c r="E20" s="17" t="n"/>
      <c r="F20" s="17" t="n"/>
      <c r="G20" s="24" t="n"/>
      <c r="H20" s="10" t="n"/>
      <c r="I20" s="17" t="n"/>
      <c r="J20" s="16" t="n"/>
    </row>
    <row r="21">
      <c r="A21" s="16" t="n"/>
      <c r="B21" s="17" t="n"/>
      <c r="C21" s="10" t="n"/>
      <c r="D21" s="17" t="n"/>
      <c r="E21" s="17" t="n"/>
      <c r="F21" s="17" t="n"/>
      <c r="G21" s="24" t="n"/>
      <c r="H21" s="10" t="n"/>
      <c r="I21" s="17" t="n"/>
      <c r="J21" s="16" t="n"/>
    </row>
    <row r="22">
      <c r="A22" s="16" t="n"/>
      <c r="B22" s="17" t="n"/>
      <c r="C22" s="10" t="n"/>
      <c r="D22" s="17" t="n"/>
      <c r="E22" s="17" t="n"/>
      <c r="F22" s="17" t="n"/>
      <c r="G22" s="24" t="n"/>
      <c r="H22" s="10" t="n"/>
      <c r="I22" s="17" t="n"/>
      <c r="J22" s="16" t="n"/>
    </row>
    <row r="23">
      <c r="A23" s="16" t="n"/>
      <c r="B23" s="17" t="n"/>
      <c r="C23" s="10" t="n"/>
      <c r="D23" s="17" t="n"/>
      <c r="E23" s="17" t="n"/>
      <c r="F23" s="17" t="n"/>
      <c r="G23" s="24" t="n"/>
      <c r="H23" s="10" t="n"/>
      <c r="I23" s="17" t="n"/>
      <c r="J23" s="16" t="n"/>
    </row>
    <row r="24">
      <c r="A24" s="16" t="n"/>
      <c r="B24" s="17" t="n"/>
      <c r="C24" s="10" t="n"/>
      <c r="D24" s="17" t="n"/>
      <c r="E24" s="17" t="n"/>
      <c r="F24" s="17" t="n"/>
      <c r="G24" s="24" t="n"/>
      <c r="H24" s="10" t="n"/>
      <c r="I24" s="17" t="n"/>
      <c r="J24" s="16" t="n"/>
    </row>
    <row r="25">
      <c r="A25" s="16" t="n"/>
      <c r="B25" s="17" t="n"/>
      <c r="C25" s="10" t="n"/>
      <c r="D25" s="17" t="n"/>
      <c r="E25" s="17" t="n"/>
      <c r="F25" s="17" t="n"/>
      <c r="G25" s="24" t="n"/>
      <c r="H25" s="10" t="n"/>
      <c r="I25" s="17" t="n"/>
      <c r="J25" s="16" t="n"/>
    </row>
    <row r="26">
      <c r="A26" s="16" t="n"/>
      <c r="B26" s="17" t="n"/>
      <c r="C26" s="10" t="n"/>
      <c r="D26" s="17" t="n"/>
      <c r="E26" s="17" t="n"/>
      <c r="F26" s="17" t="n"/>
      <c r="G26" s="24" t="n"/>
      <c r="H26" s="10" t="n"/>
      <c r="I26" s="17" t="n"/>
      <c r="J26" s="16" t="n"/>
    </row>
    <row r="27">
      <c r="A27" s="16" t="n"/>
      <c r="B27" s="17" t="n"/>
      <c r="C27" s="10" t="n"/>
      <c r="D27" s="17" t="n"/>
      <c r="E27" s="17" t="n"/>
      <c r="F27" s="17" t="n"/>
      <c r="G27" s="24" t="n"/>
      <c r="H27" s="10" t="n"/>
      <c r="I27" s="17" t="n"/>
      <c r="J27" s="16" t="n"/>
    </row>
    <row r="28">
      <c r="A28" s="16" t="n"/>
      <c r="B28" s="17" t="n"/>
      <c r="C28" s="10" t="n"/>
      <c r="D28" s="17" t="n"/>
      <c r="E28" s="17" t="n"/>
      <c r="F28" s="17" t="n"/>
      <c r="G28" s="24" t="n"/>
      <c r="H28" s="10" t="n"/>
      <c r="I28" s="17" t="n"/>
      <c r="J28" s="16" t="n"/>
    </row>
    <row r="29">
      <c r="A29" s="16" t="n"/>
      <c r="B29" s="17" t="n"/>
      <c r="C29" s="10" t="n"/>
      <c r="D29" s="17" t="n"/>
      <c r="E29" s="17" t="n"/>
      <c r="F29" s="17" t="n"/>
      <c r="G29" s="24" t="n"/>
      <c r="H29" s="10" t="n"/>
      <c r="I29" s="17" t="n"/>
      <c r="J29" s="16" t="n"/>
    </row>
    <row r="30">
      <c r="A30" s="16" t="n"/>
      <c r="B30" s="17" t="n"/>
      <c r="C30" s="10" t="n"/>
      <c r="D30" s="17" t="n"/>
      <c r="E30" s="17" t="n"/>
      <c r="F30" s="17" t="n"/>
      <c r="G30" s="24" t="n"/>
      <c r="H30" s="10" t="n"/>
      <c r="I30" s="17" t="n"/>
      <c r="J30" s="16" t="n"/>
    </row>
    <row r="31">
      <c r="A31" s="16" t="n"/>
      <c r="B31" s="17" t="n"/>
      <c r="C31" s="10" t="n"/>
      <c r="D31" s="17" t="n"/>
      <c r="E31" s="17" t="n"/>
      <c r="F31" s="17" t="n"/>
      <c r="G31" s="24" t="n"/>
      <c r="H31" s="10" t="n"/>
      <c r="I31" s="17" t="n"/>
      <c r="J31" s="16" t="n"/>
    </row>
    <row r="32">
      <c r="A32" s="16" t="n"/>
      <c r="B32" s="17" t="n"/>
      <c r="C32" s="10" t="n"/>
      <c r="D32" s="17" t="n"/>
      <c r="E32" s="17" t="n"/>
      <c r="F32" s="17" t="n"/>
      <c r="G32" s="24" t="n"/>
      <c r="H32" s="10" t="n"/>
      <c r="I32" s="17" t="n"/>
      <c r="J32" s="16" t="n"/>
    </row>
    <row r="33">
      <c r="A33" s="16" t="n"/>
      <c r="B33" s="17" t="n"/>
      <c r="C33" s="10" t="n"/>
      <c r="D33" s="17" t="n"/>
      <c r="E33" s="17" t="n"/>
      <c r="F33" s="17" t="n"/>
      <c r="G33" s="24" t="n"/>
      <c r="H33" s="10" t="n"/>
      <c r="I33" s="17" t="n"/>
      <c r="J33" s="16" t="n"/>
    </row>
    <row r="34">
      <c r="A34" s="16" t="n"/>
      <c r="B34" s="17" t="n"/>
      <c r="C34" s="10" t="n"/>
      <c r="D34" s="17" t="n"/>
      <c r="E34" s="17" t="n"/>
      <c r="F34" s="17" t="n"/>
      <c r="G34" s="24" t="n"/>
      <c r="H34" s="10" t="n"/>
      <c r="I34" s="17" t="n"/>
      <c r="J34" s="16" t="n"/>
    </row>
    <row r="35">
      <c r="A35" s="16" t="n"/>
      <c r="B35" s="17" t="n"/>
      <c r="C35" s="10" t="n"/>
      <c r="D35" s="17" t="n"/>
      <c r="E35" s="17" t="n"/>
      <c r="F35" s="17" t="n"/>
      <c r="G35" s="24" t="n"/>
      <c r="H35" s="10" t="n"/>
      <c r="I35" s="17" t="n"/>
      <c r="J35" s="16" t="n"/>
    </row>
    <row r="36">
      <c r="A36" s="16" t="n"/>
      <c r="B36" s="17" t="n"/>
      <c r="C36" s="10" t="n"/>
      <c r="D36" s="17" t="n"/>
      <c r="E36" s="17" t="n"/>
      <c r="F36" s="17" t="n"/>
      <c r="G36" s="24" t="n"/>
      <c r="H36" s="10" t="n"/>
      <c r="I36" s="17" t="n"/>
      <c r="J36" s="16" t="n"/>
    </row>
    <row r="37">
      <c r="A37" s="16" t="n"/>
      <c r="B37" s="17" t="n"/>
      <c r="C37" s="10" t="n"/>
      <c r="D37" s="17" t="n"/>
      <c r="E37" s="17" t="n"/>
      <c r="F37" s="17" t="n"/>
      <c r="G37" s="24" t="n"/>
      <c r="H37" s="10" t="n"/>
      <c r="I37" s="17" t="n"/>
      <c r="J37" s="16" t="n"/>
    </row>
    <row r="38">
      <c r="A38" s="16" t="n"/>
      <c r="B38" s="17" t="n"/>
      <c r="C38" s="10" t="n"/>
      <c r="D38" s="17" t="n"/>
      <c r="E38" s="17" t="n"/>
      <c r="F38" s="17" t="n"/>
      <c r="G38" s="24" t="n"/>
      <c r="H38" s="10" t="n"/>
      <c r="I38" s="17" t="n"/>
      <c r="J38" s="16" t="n"/>
    </row>
    <row r="39">
      <c r="A39" s="16" t="n"/>
      <c r="B39" s="17" t="n"/>
      <c r="C39" s="10" t="n"/>
      <c r="D39" s="17" t="n"/>
      <c r="E39" s="17" t="n"/>
      <c r="F39" s="17" t="n"/>
      <c r="G39" s="24" t="n"/>
      <c r="H39" s="10" t="n"/>
      <c r="I39" s="17" t="n"/>
      <c r="J39" s="16" t="n"/>
    </row>
    <row r="40">
      <c r="A40" s="16" t="n"/>
      <c r="B40" s="17" t="n"/>
      <c r="C40" s="10" t="n"/>
      <c r="D40" s="17" t="n"/>
      <c r="E40" s="17" t="n"/>
      <c r="F40" s="17" t="n"/>
      <c r="G40" s="24" t="n"/>
      <c r="H40" s="10" t="n"/>
      <c r="I40" s="17" t="n"/>
      <c r="J40" s="16" t="n"/>
    </row>
    <row r="41">
      <c r="A41" s="16" t="n"/>
      <c r="B41" s="17" t="n"/>
      <c r="C41" s="10" t="n"/>
      <c r="D41" s="17" t="n"/>
      <c r="E41" s="17" t="n"/>
      <c r="F41" s="17" t="n"/>
      <c r="G41" s="24" t="n"/>
      <c r="H41" s="10" t="n"/>
      <c r="I41" s="17" t="n"/>
      <c r="J41" s="16" t="n"/>
    </row>
    <row r="42">
      <c r="A42" s="16" t="n"/>
      <c r="B42" s="17" t="n"/>
      <c r="C42" s="10" t="n"/>
      <c r="D42" s="17" t="n"/>
      <c r="E42" s="17" t="n"/>
      <c r="F42" s="17" t="n"/>
      <c r="G42" s="24" t="n"/>
      <c r="H42" s="10" t="n"/>
      <c r="I42" s="17" t="n"/>
      <c r="J42" s="16" t="n"/>
    </row>
    <row r="43">
      <c r="A43" s="16" t="n"/>
      <c r="B43" s="17" t="n"/>
      <c r="C43" s="10" t="n"/>
      <c r="D43" s="17" t="n"/>
      <c r="E43" s="17" t="n"/>
      <c r="F43" s="17" t="n"/>
      <c r="G43" s="24" t="n"/>
      <c r="H43" s="10" t="n"/>
      <c r="I43" s="17" t="n"/>
      <c r="J43" s="16" t="n"/>
    </row>
    <row r="44">
      <c r="A44" s="16" t="n"/>
      <c r="B44" s="17" t="n"/>
      <c r="C44" s="10" t="n"/>
      <c r="D44" s="17" t="n"/>
      <c r="E44" s="17" t="n"/>
      <c r="F44" s="17" t="n"/>
      <c r="G44" s="24" t="n"/>
      <c r="H44" s="10" t="n"/>
      <c r="I44" s="17" t="n"/>
      <c r="J44" s="16" t="n"/>
    </row>
    <row r="45">
      <c r="A45" s="16" t="n"/>
      <c r="B45" s="17" t="n"/>
      <c r="C45" s="10" t="n"/>
      <c r="D45" s="17" t="n"/>
      <c r="E45" s="17" t="n"/>
      <c r="F45" s="17" t="n"/>
      <c r="G45" s="24" t="n"/>
      <c r="H45" s="10" t="n"/>
      <c r="I45" s="17" t="n"/>
      <c r="J45" s="16" t="n"/>
    </row>
    <row r="46">
      <c r="A46" s="16" t="n"/>
      <c r="B46" s="17" t="n"/>
      <c r="C46" s="10" t="n"/>
      <c r="D46" s="17" t="n"/>
      <c r="E46" s="17" t="n"/>
      <c r="F46" s="17" t="n"/>
      <c r="G46" s="24" t="n"/>
      <c r="H46" s="10" t="n"/>
      <c r="I46" s="17" t="n"/>
      <c r="J46" s="16" t="n"/>
    </row>
    <row r="47">
      <c r="A47" s="16" t="n"/>
      <c r="B47" s="17" t="n"/>
      <c r="C47" s="10" t="n"/>
      <c r="D47" s="17" t="n"/>
      <c r="E47" s="17" t="n"/>
      <c r="F47" s="17" t="n"/>
      <c r="G47" s="24" t="n"/>
      <c r="H47" s="10" t="n"/>
      <c r="I47" s="17" t="n"/>
      <c r="J47" s="16" t="n"/>
    </row>
    <row r="48">
      <c r="A48" s="16" t="n"/>
      <c r="B48" s="17" t="n"/>
      <c r="C48" s="10" t="n"/>
      <c r="D48" s="17" t="n"/>
      <c r="E48" s="17" t="n"/>
      <c r="F48" s="17" t="n"/>
      <c r="G48" s="24" t="n"/>
      <c r="H48" s="10" t="n"/>
      <c r="I48" s="17" t="n"/>
      <c r="J48" s="16" t="n"/>
    </row>
    <row r="49">
      <c r="A49" s="16" t="n"/>
      <c r="B49" s="17" t="n"/>
      <c r="C49" s="10" t="n"/>
      <c r="D49" s="17" t="n"/>
      <c r="E49" s="17" t="n"/>
      <c r="F49" s="17" t="n"/>
      <c r="G49" s="24" t="n"/>
      <c r="H49" s="10" t="n"/>
      <c r="I49" s="17" t="n"/>
      <c r="J49" s="16" t="n"/>
    </row>
    <row r="50">
      <c r="A50" s="16" t="n"/>
      <c r="B50" s="17" t="n"/>
      <c r="C50" s="10" t="n"/>
      <c r="D50" s="17" t="n"/>
      <c r="E50" s="17" t="n"/>
      <c r="F50" s="17" t="n"/>
      <c r="G50" s="24" t="n"/>
      <c r="H50" s="10" t="n"/>
      <c r="I50" s="17" t="n"/>
      <c r="J50" s="16" t="n"/>
    </row>
    <row r="51">
      <c r="A51" s="16" t="n"/>
      <c r="B51" s="17" t="n"/>
      <c r="C51" s="10" t="n"/>
      <c r="D51" s="17" t="n"/>
      <c r="E51" s="17" t="n"/>
      <c r="F51" s="17" t="n"/>
      <c r="G51" s="24" t="n"/>
      <c r="H51" s="10" t="n"/>
      <c r="I51" s="17" t="n"/>
      <c r="J51" s="16" t="n"/>
    </row>
    <row r="52">
      <c r="A52" s="16" t="n"/>
      <c r="B52" s="17" t="n"/>
      <c r="C52" s="10" t="n"/>
      <c r="D52" s="17" t="n"/>
      <c r="E52" s="17" t="n"/>
      <c r="F52" s="17" t="n"/>
      <c r="G52" s="24" t="n"/>
      <c r="H52" s="10" t="n"/>
      <c r="I52" s="17" t="n"/>
      <c r="J52" s="16" t="n"/>
    </row>
    <row r="53">
      <c r="A53" s="16" t="n"/>
      <c r="B53" s="17" t="n"/>
      <c r="C53" s="10" t="n"/>
      <c r="D53" s="17" t="n"/>
      <c r="E53" s="17" t="n"/>
      <c r="F53" s="17" t="n"/>
      <c r="G53" s="24" t="n"/>
      <c r="H53" s="10" t="n"/>
      <c r="I53" s="17" t="n"/>
      <c r="J53" s="16" t="n"/>
    </row>
    <row r="54">
      <c r="A54" s="16" t="n"/>
      <c r="B54" s="17" t="n"/>
      <c r="C54" s="10" t="n"/>
      <c r="D54" s="17" t="n"/>
      <c r="E54" s="17" t="n"/>
      <c r="F54" s="17" t="n"/>
      <c r="G54" s="24" t="n"/>
      <c r="H54" s="10" t="n"/>
      <c r="I54" s="17" t="n"/>
      <c r="J54" s="16" t="n"/>
    </row>
    <row r="55">
      <c r="A55" s="16" t="n"/>
      <c r="B55" s="17" t="n"/>
      <c r="C55" s="10" t="n"/>
      <c r="D55" s="17" t="n"/>
      <c r="E55" s="17" t="n"/>
      <c r="F55" s="17" t="n"/>
      <c r="G55" s="24" t="n"/>
      <c r="H55" s="10" t="n"/>
      <c r="I55" s="17" t="n"/>
      <c r="J55" s="16" t="n"/>
    </row>
    <row r="56">
      <c r="A56" s="16" t="n"/>
      <c r="B56" s="17" t="n"/>
      <c r="C56" s="10" t="n"/>
      <c r="D56" s="17" t="n"/>
      <c r="E56" s="17" t="n"/>
      <c r="F56" s="17" t="n"/>
      <c r="G56" s="24" t="n"/>
      <c r="H56" s="10" t="n"/>
      <c r="I56" s="17" t="n"/>
      <c r="J56" s="16" t="n"/>
    </row>
    <row r="57">
      <c r="A57" s="16" t="n"/>
      <c r="B57" s="17" t="n"/>
      <c r="C57" s="10" t="n"/>
      <c r="D57" s="17" t="n"/>
      <c r="E57" s="17" t="n"/>
      <c r="F57" s="17" t="n"/>
      <c r="G57" s="24" t="n"/>
      <c r="H57" s="10" t="n"/>
      <c r="I57" s="17" t="n"/>
      <c r="J57" s="16" t="n"/>
    </row>
    <row r="58">
      <c r="A58" s="16" t="n"/>
      <c r="B58" s="17" t="n"/>
      <c r="C58" s="10" t="n"/>
      <c r="D58" s="17" t="n"/>
      <c r="E58" s="17" t="n"/>
      <c r="F58" s="17" t="n"/>
      <c r="G58" s="24" t="n"/>
      <c r="H58" s="10" t="n"/>
      <c r="I58" s="17" t="n"/>
      <c r="J58" s="16" t="n"/>
    </row>
    <row r="59">
      <c r="A59" s="16" t="n"/>
      <c r="B59" s="17" t="n"/>
      <c r="C59" s="10" t="n"/>
      <c r="D59" s="17" t="n"/>
      <c r="E59" s="17" t="n"/>
      <c r="F59" s="17" t="n"/>
      <c r="G59" s="24" t="n"/>
      <c r="H59" s="10" t="n"/>
      <c r="I59" s="17" t="n"/>
      <c r="J59" s="16" t="n"/>
    </row>
    <row r="60">
      <c r="A60" s="16" t="n"/>
      <c r="B60" s="17" t="n"/>
      <c r="C60" s="10" t="n"/>
      <c r="D60" s="17" t="n"/>
      <c r="E60" s="17" t="n"/>
      <c r="F60" s="17" t="n"/>
      <c r="G60" s="24" t="n"/>
      <c r="H60" s="10" t="n"/>
      <c r="I60" s="17" t="n"/>
      <c r="J60" s="16" t="n"/>
    </row>
    <row r="61">
      <c r="A61" s="16" t="n"/>
      <c r="B61" s="17" t="n"/>
      <c r="C61" s="10" t="n"/>
      <c r="D61" s="17" t="n"/>
      <c r="E61" s="17" t="n"/>
      <c r="F61" s="17" t="n"/>
      <c r="G61" s="24" t="n"/>
      <c r="H61" s="10" t="n"/>
      <c r="I61" s="17" t="n"/>
      <c r="J61" s="16" t="n"/>
    </row>
    <row r="62">
      <c r="A62" s="16" t="n"/>
      <c r="B62" s="17" t="n"/>
      <c r="C62" s="10" t="n"/>
      <c r="D62" s="17" t="n"/>
      <c r="E62" s="17" t="n"/>
      <c r="F62" s="17" t="n"/>
      <c r="G62" s="24" t="n"/>
      <c r="H62" s="10" t="n"/>
      <c r="I62" s="17" t="n"/>
      <c r="J62" s="16" t="n"/>
    </row>
    <row r="63">
      <c r="A63" s="16" t="n"/>
      <c r="B63" s="17" t="n"/>
      <c r="C63" s="10" t="n"/>
      <c r="D63" s="17" t="n"/>
      <c r="E63" s="17" t="n"/>
      <c r="F63" s="17" t="n"/>
      <c r="G63" s="24" t="n"/>
      <c r="H63" s="10" t="n"/>
      <c r="I63" s="17" t="n"/>
      <c r="J63" s="16" t="n"/>
    </row>
    <row r="64">
      <c r="A64" s="16" t="n"/>
      <c r="B64" s="17" t="n"/>
      <c r="C64" s="10" t="n"/>
      <c r="D64" s="17" t="n"/>
      <c r="E64" s="17" t="n"/>
      <c r="F64" s="17" t="n"/>
      <c r="G64" s="24" t="n"/>
      <c r="H64" s="10" t="n"/>
      <c r="I64" s="17" t="n"/>
      <c r="J64" s="16" t="n"/>
    </row>
    <row r="65">
      <c r="A65" s="16" t="n"/>
      <c r="B65" s="17" t="n"/>
      <c r="C65" s="10" t="n"/>
      <c r="D65" s="17" t="n"/>
      <c r="E65" s="17" t="n"/>
      <c r="F65" s="17" t="n"/>
      <c r="G65" s="24" t="n"/>
      <c r="H65" s="10" t="n"/>
      <c r="I65" s="17" t="n"/>
      <c r="J65" s="16" t="n"/>
    </row>
    <row r="66">
      <c r="A66" s="16" t="n"/>
      <c r="B66" s="17" t="n"/>
      <c r="C66" s="10" t="n"/>
      <c r="D66" s="17" t="n"/>
      <c r="E66" s="17" t="n"/>
      <c r="F66" s="17" t="n"/>
      <c r="G66" s="24" t="n"/>
      <c r="H66" s="10" t="n"/>
      <c r="I66" s="17" t="n"/>
      <c r="J66" s="16" t="n"/>
    </row>
    <row r="67">
      <c r="A67" s="16" t="n"/>
      <c r="B67" s="17" t="n"/>
      <c r="C67" s="10" t="n"/>
      <c r="D67" s="17" t="n"/>
      <c r="E67" s="17" t="n"/>
      <c r="F67" s="17" t="n"/>
      <c r="G67" s="24" t="n"/>
      <c r="H67" s="10" t="n"/>
      <c r="I67" s="17" t="n"/>
      <c r="J67" s="16" t="n"/>
    </row>
    <row r="68">
      <c r="A68" s="16" t="n"/>
      <c r="B68" s="17" t="n"/>
      <c r="C68" s="10" t="n"/>
      <c r="D68" s="17" t="n"/>
      <c r="E68" s="17" t="n"/>
      <c r="F68" s="17" t="n"/>
      <c r="G68" s="24" t="n"/>
      <c r="H68" s="10" t="n"/>
      <c r="I68" s="17" t="n"/>
      <c r="J68" s="16" t="n"/>
    </row>
    <row r="69">
      <c r="A69" s="16" t="n"/>
      <c r="B69" s="17" t="n"/>
      <c r="C69" s="10" t="n"/>
      <c r="D69" s="17" t="n"/>
      <c r="E69" s="17" t="n"/>
      <c r="F69" s="17" t="n"/>
      <c r="G69" s="24" t="n"/>
      <c r="H69" s="10" t="n"/>
      <c r="I69" s="17" t="n"/>
      <c r="J69" s="16" t="n"/>
    </row>
    <row r="70">
      <c r="A70" s="16" t="n"/>
      <c r="B70" s="17" t="n"/>
      <c r="C70" s="10" t="n"/>
      <c r="D70" s="17" t="n"/>
      <c r="E70" s="17" t="n"/>
      <c r="F70" s="17" t="n"/>
      <c r="G70" s="24" t="n"/>
      <c r="H70" s="10" t="n"/>
      <c r="I70" s="17" t="n"/>
      <c r="J70" s="16" t="n"/>
    </row>
    <row r="71">
      <c r="A71" s="16" t="n"/>
      <c r="B71" s="17" t="n"/>
      <c r="C71" s="10" t="n"/>
      <c r="D71" s="17" t="n"/>
      <c r="E71" s="17" t="n"/>
      <c r="F71" s="17" t="n"/>
      <c r="G71" s="24" t="n"/>
      <c r="H71" s="10" t="n"/>
      <c r="I71" s="17" t="n"/>
      <c r="J71" s="16" t="n"/>
    </row>
    <row r="72">
      <c r="A72" s="16" t="n"/>
      <c r="B72" s="17" t="n"/>
      <c r="C72" s="10" t="n"/>
      <c r="D72" s="17" t="n"/>
      <c r="E72" s="17" t="n"/>
      <c r="F72" s="17" t="n"/>
      <c r="G72" s="24" t="n"/>
      <c r="H72" s="10" t="n"/>
      <c r="I72" s="17" t="n"/>
      <c r="J72" s="16" t="n"/>
    </row>
    <row r="73">
      <c r="A73" s="16" t="n"/>
      <c r="B73" s="17" t="n"/>
      <c r="C73" s="10" t="n"/>
      <c r="D73" s="17" t="n"/>
      <c r="E73" s="17" t="n"/>
      <c r="F73" s="17" t="n"/>
      <c r="G73" s="24" t="n"/>
      <c r="H73" s="10" t="n"/>
      <c r="I73" s="17" t="n"/>
      <c r="J73" s="16" t="n"/>
    </row>
    <row r="74">
      <c r="A74" s="16" t="n"/>
      <c r="B74" s="17" t="n"/>
      <c r="C74" s="10" t="n"/>
      <c r="D74" s="17" t="n"/>
      <c r="E74" s="17" t="n"/>
      <c r="F74" s="17" t="n"/>
      <c r="G74" s="24" t="n"/>
      <c r="H74" s="10" t="n"/>
      <c r="I74" s="17" t="n"/>
      <c r="J74" s="16" t="n"/>
    </row>
    <row r="75">
      <c r="A75" s="16" t="n"/>
      <c r="B75" s="17" t="n"/>
      <c r="C75" s="10" t="n"/>
      <c r="D75" s="17" t="n"/>
      <c r="E75" s="17" t="n"/>
      <c r="F75" s="17" t="n"/>
      <c r="G75" s="24" t="n"/>
      <c r="H75" s="10" t="n"/>
      <c r="I75" s="17" t="n"/>
      <c r="J75" s="16" t="n"/>
    </row>
    <row r="76">
      <c r="A76" s="16" t="n"/>
      <c r="B76" s="17" t="n"/>
      <c r="C76" s="10" t="n"/>
      <c r="D76" s="17" t="n"/>
      <c r="E76" s="17" t="n"/>
      <c r="F76" s="17" t="n"/>
      <c r="G76" s="24" t="n"/>
      <c r="H76" s="10" t="n"/>
      <c r="I76" s="17" t="n"/>
      <c r="J76" s="16" t="n"/>
    </row>
    <row r="77">
      <c r="A77" s="16" t="n"/>
      <c r="B77" s="17" t="n"/>
      <c r="C77" s="10" t="n"/>
      <c r="D77" s="17" t="n"/>
      <c r="E77" s="17" t="n"/>
      <c r="F77" s="17" t="n"/>
      <c r="G77" s="24" t="n"/>
      <c r="H77" s="10" t="n"/>
      <c r="I77" s="17" t="n"/>
      <c r="J77" s="16" t="n"/>
    </row>
    <row r="78">
      <c r="A78" s="16" t="n"/>
      <c r="B78" s="17" t="n"/>
      <c r="C78" s="10" t="n"/>
      <c r="D78" s="17" t="n"/>
      <c r="E78" s="17" t="n"/>
      <c r="F78" s="17" t="n"/>
      <c r="G78" s="24" t="n"/>
      <c r="H78" s="10" t="n"/>
      <c r="I78" s="17" t="n"/>
      <c r="J78" s="16" t="n"/>
    </row>
    <row r="79">
      <c r="A79" s="16" t="n"/>
      <c r="B79" s="17" t="n"/>
      <c r="C79" s="10" t="n"/>
      <c r="D79" s="17" t="n"/>
      <c r="E79" s="17" t="n"/>
      <c r="F79" s="17" t="n"/>
      <c r="G79" s="24" t="n"/>
      <c r="H79" s="10" t="n"/>
      <c r="I79" s="17" t="n"/>
      <c r="J79" s="16" t="n"/>
    </row>
    <row r="80">
      <c r="A80" s="16" t="n"/>
      <c r="B80" s="17" t="n"/>
      <c r="C80" s="10" t="n"/>
      <c r="D80" s="17" t="n"/>
      <c r="E80" s="17" t="n"/>
      <c r="F80" s="17" t="n"/>
      <c r="G80" s="24" t="n"/>
      <c r="H80" s="10" t="n"/>
      <c r="I80" s="17" t="n"/>
      <c r="J80" s="16" t="n"/>
    </row>
    <row r="81">
      <c r="A81" s="16" t="n"/>
      <c r="B81" s="17" t="n"/>
      <c r="C81" s="10" t="n"/>
      <c r="D81" s="17" t="n"/>
      <c r="E81" s="17" t="n"/>
      <c r="F81" s="17" t="n"/>
      <c r="G81" s="24" t="n"/>
      <c r="H81" s="10" t="n"/>
      <c r="I81" s="17" t="n"/>
      <c r="J81" s="16" t="n"/>
    </row>
    <row r="82">
      <c r="A82" s="16" t="n"/>
      <c r="B82" s="17" t="n"/>
      <c r="C82" s="10" t="n"/>
      <c r="D82" s="17" t="n"/>
      <c r="E82" s="17" t="n"/>
      <c r="F82" s="17" t="n"/>
      <c r="G82" s="24" t="n"/>
      <c r="H82" s="10" t="n"/>
      <c r="I82" s="17" t="n"/>
      <c r="J82" s="16" t="n"/>
    </row>
    <row r="83">
      <c r="A83" s="16" t="n"/>
      <c r="B83" s="17" t="n"/>
      <c r="C83" s="10" t="n"/>
      <c r="D83" s="17" t="n"/>
      <c r="E83" s="17" t="n"/>
      <c r="F83" s="17" t="n"/>
      <c r="G83" s="24" t="n"/>
      <c r="H83" s="10" t="n"/>
      <c r="I83" s="17" t="n"/>
      <c r="J83" s="16" t="n"/>
    </row>
    <row r="84">
      <c r="A84" s="16" t="n"/>
      <c r="B84" s="17" t="n"/>
      <c r="C84" s="10" t="n"/>
      <c r="D84" s="17" t="n"/>
      <c r="E84" s="17" t="n"/>
      <c r="F84" s="17" t="n"/>
      <c r="G84" s="24" t="n"/>
      <c r="H84" s="10" t="n"/>
      <c r="I84" s="17" t="n"/>
      <c r="J84" s="16" t="n"/>
    </row>
    <row r="85">
      <c r="A85" s="16" t="n"/>
      <c r="B85" s="17" t="n"/>
      <c r="C85" s="10" t="n"/>
      <c r="D85" s="17" t="n"/>
      <c r="E85" s="17" t="n"/>
      <c r="F85" s="17" t="n"/>
      <c r="G85" s="24" t="n"/>
      <c r="H85" s="10" t="n"/>
      <c r="I85" s="17" t="n"/>
      <c r="J85" s="16" t="n"/>
    </row>
    <row r="86">
      <c r="A86" s="16" t="n"/>
      <c r="B86" s="17" t="n"/>
      <c r="C86" s="10" t="n"/>
      <c r="D86" s="17" t="n"/>
      <c r="E86" s="17" t="n"/>
      <c r="F86" s="17" t="n"/>
      <c r="G86" s="24" t="n"/>
      <c r="H86" s="10" t="n"/>
      <c r="I86" s="17" t="n"/>
      <c r="J86" s="16" t="n"/>
    </row>
    <row r="87">
      <c r="A87" s="16" t="n"/>
      <c r="B87" s="17" t="n"/>
      <c r="C87" s="10" t="n"/>
      <c r="D87" s="17" t="n"/>
      <c r="E87" s="17" t="n"/>
      <c r="F87" s="17" t="n"/>
      <c r="G87" s="24" t="n"/>
      <c r="H87" s="10" t="n"/>
      <c r="I87" s="17" t="n"/>
      <c r="J87" s="16" t="n"/>
    </row>
    <row r="88">
      <c r="A88" s="16" t="n"/>
      <c r="B88" s="17" t="n"/>
      <c r="C88" s="10" t="n"/>
      <c r="D88" s="17" t="n"/>
      <c r="E88" s="17" t="n"/>
      <c r="F88" s="17" t="n"/>
      <c r="G88" s="24" t="n"/>
      <c r="H88" s="10" t="n"/>
      <c r="I88" s="17" t="n"/>
      <c r="J88" s="16" t="n"/>
    </row>
    <row r="89">
      <c r="A89" s="16" t="n"/>
      <c r="B89" s="17" t="n"/>
      <c r="C89" s="10" t="n"/>
      <c r="D89" s="17" t="n"/>
      <c r="E89" s="17" t="n"/>
      <c r="F89" s="17" t="n"/>
      <c r="G89" s="24" t="n"/>
      <c r="H89" s="10" t="n"/>
      <c r="I89" s="17" t="n"/>
      <c r="J89" s="16" t="n"/>
    </row>
    <row r="90">
      <c r="A90" s="16" t="n"/>
      <c r="B90" s="17" t="n"/>
      <c r="C90" s="10" t="n"/>
      <c r="D90" s="17" t="n"/>
      <c r="E90" s="17" t="n"/>
      <c r="F90" s="17" t="n"/>
      <c r="G90" s="24" t="n"/>
      <c r="H90" s="10" t="n"/>
      <c r="I90" s="17" t="n"/>
      <c r="J90" s="16" t="n"/>
    </row>
    <row r="91">
      <c r="A91" s="16" t="n"/>
      <c r="B91" s="17" t="n"/>
      <c r="C91" s="10" t="n"/>
      <c r="D91" s="17" t="n"/>
      <c r="E91" s="17" t="n"/>
      <c r="F91" s="17" t="n"/>
      <c r="G91" s="24" t="n"/>
      <c r="H91" s="10" t="n"/>
      <c r="I91" s="17" t="n"/>
      <c r="J91" s="16" t="n"/>
    </row>
    <row r="92">
      <c r="A92" s="16" t="n"/>
      <c r="B92" s="17" t="n"/>
      <c r="C92" s="10" t="n"/>
      <c r="D92" s="17" t="n"/>
      <c r="E92" s="17" t="n"/>
      <c r="F92" s="17" t="n"/>
      <c r="G92" s="24" t="n"/>
      <c r="H92" s="10" t="n"/>
      <c r="I92" s="17" t="n"/>
      <c r="J92" s="16" t="n"/>
    </row>
    <row r="93">
      <c r="A93" s="16" t="n"/>
      <c r="B93" s="17" t="n"/>
      <c r="C93" s="10" t="n"/>
      <c r="D93" s="17" t="n"/>
      <c r="E93" s="17" t="n"/>
      <c r="F93" s="17" t="n"/>
      <c r="G93" s="24" t="n"/>
      <c r="H93" s="10" t="n"/>
      <c r="I93" s="17" t="n"/>
      <c r="J93" s="16" t="n"/>
    </row>
    <row r="94">
      <c r="A94" s="16" t="n"/>
      <c r="B94" s="17" t="n"/>
      <c r="C94" s="10" t="n"/>
      <c r="D94" s="17" t="n"/>
      <c r="E94" s="17" t="n"/>
      <c r="F94" s="17" t="n"/>
      <c r="G94" s="24" t="n"/>
      <c r="H94" s="10" t="n"/>
      <c r="I94" s="17" t="n"/>
      <c r="J94" s="16" t="n"/>
    </row>
    <row r="95">
      <c r="A95" s="16" t="n"/>
      <c r="B95" s="17" t="n"/>
      <c r="C95" s="10" t="n"/>
      <c r="D95" s="17" t="n"/>
      <c r="E95" s="17" t="n"/>
      <c r="F95" s="17" t="n"/>
      <c r="G95" s="24" t="n"/>
      <c r="H95" s="10" t="n"/>
      <c r="I95" s="17" t="n"/>
      <c r="J95" s="16" t="n"/>
    </row>
    <row r="96">
      <c r="A96" s="16" t="n"/>
      <c r="B96" s="17" t="n"/>
      <c r="C96" s="10" t="n"/>
      <c r="D96" s="17" t="n"/>
      <c r="E96" s="17" t="n"/>
      <c r="F96" s="17" t="n"/>
      <c r="G96" s="24" t="n"/>
      <c r="H96" s="10" t="n"/>
      <c r="I96" s="17" t="n"/>
      <c r="J96" s="16" t="n"/>
    </row>
    <row r="97">
      <c r="A97" s="16" t="n"/>
      <c r="B97" s="17" t="n"/>
      <c r="C97" s="10" t="n"/>
      <c r="D97" s="17" t="n"/>
      <c r="E97" s="17" t="n"/>
      <c r="F97" s="17" t="n"/>
      <c r="G97" s="24" t="n"/>
      <c r="H97" s="10" t="n"/>
      <c r="I97" s="17" t="n"/>
      <c r="J97" s="16" t="n"/>
    </row>
    <row r="98">
      <c r="A98" s="16" t="n"/>
      <c r="B98" s="17" t="n"/>
      <c r="C98" s="10" t="n"/>
      <c r="D98" s="17" t="n"/>
      <c r="E98" s="17" t="n"/>
      <c r="F98" s="17" t="n"/>
      <c r="G98" s="24" t="n"/>
      <c r="H98" s="10" t="n"/>
      <c r="I98" s="17" t="n"/>
      <c r="J98" s="16" t="n"/>
    </row>
    <row r="99">
      <c r="A99" s="16" t="n"/>
      <c r="B99" s="17" t="n"/>
      <c r="C99" s="10" t="n"/>
      <c r="D99" s="17" t="n"/>
      <c r="E99" s="17" t="n"/>
      <c r="F99" s="17" t="n"/>
      <c r="G99" s="24" t="n"/>
      <c r="H99" s="10" t="n"/>
      <c r="I99" s="17" t="n"/>
      <c r="J99" s="16" t="n"/>
    </row>
    <row r="100">
      <c r="A100" s="16" t="n"/>
      <c r="B100" s="17" t="n"/>
      <c r="C100" s="10" t="n"/>
      <c r="D100" s="17" t="n"/>
      <c r="E100" s="17" t="n"/>
      <c r="F100" s="17" t="n"/>
      <c r="G100" s="24" t="n"/>
      <c r="H100" s="10" t="n"/>
      <c r="I100" s="17" t="n"/>
      <c r="J100" s="16" t="n"/>
    </row>
    <row r="101">
      <c r="A101" s="16" t="n"/>
      <c r="B101" s="17" t="n"/>
      <c r="C101" s="10" t="n"/>
      <c r="D101" s="17" t="n"/>
      <c r="E101" s="17" t="n"/>
      <c r="F101" s="17" t="n"/>
      <c r="G101" s="24" t="n"/>
      <c r="H101" s="10" t="n"/>
      <c r="I101" s="17" t="n"/>
      <c r="J101" s="16" t="n"/>
    </row>
    <row r="102">
      <c r="A102" s="16" t="n"/>
      <c r="B102" s="17" t="n"/>
      <c r="C102" s="10" t="n"/>
      <c r="D102" s="17" t="n"/>
      <c r="E102" s="17" t="n"/>
      <c r="F102" s="17" t="n"/>
      <c r="G102" s="24" t="n"/>
      <c r="H102" s="10" t="n"/>
      <c r="I102" s="17" t="n"/>
      <c r="J102" s="16" t="n"/>
    </row>
    <row r="103">
      <c r="A103" s="16" t="n"/>
      <c r="B103" s="17" t="n"/>
      <c r="C103" s="10" t="n"/>
      <c r="D103" s="17" t="n"/>
      <c r="E103" s="17" t="n"/>
      <c r="F103" s="17" t="n"/>
      <c r="G103" s="24" t="n"/>
      <c r="H103" s="10" t="n"/>
      <c r="I103" s="17" t="n"/>
      <c r="J103" s="16" t="n"/>
    </row>
    <row r="104">
      <c r="A104" s="16" t="n"/>
      <c r="B104" s="17" t="n"/>
      <c r="C104" s="10" t="n"/>
      <c r="D104" s="17" t="n"/>
      <c r="E104" s="17" t="n"/>
      <c r="F104" s="17" t="n"/>
      <c r="G104" s="24" t="n"/>
      <c r="H104" s="10" t="n"/>
      <c r="I104" s="17" t="n"/>
      <c r="J104" s="16" t="n"/>
    </row>
    <row r="105">
      <c r="A105" s="16" t="n"/>
      <c r="B105" s="17" t="n"/>
      <c r="C105" s="10" t="n"/>
      <c r="D105" s="17" t="n"/>
      <c r="E105" s="17" t="n"/>
      <c r="F105" s="17" t="n"/>
      <c r="G105" s="24" t="n"/>
      <c r="H105" s="10" t="n"/>
      <c r="I105" s="17" t="n"/>
      <c r="J105" s="16" t="n"/>
    </row>
    <row r="106">
      <c r="A106" s="16" t="n"/>
      <c r="B106" s="17" t="n"/>
      <c r="C106" s="10" t="n"/>
      <c r="D106" s="17" t="n"/>
      <c r="E106" s="17" t="n"/>
      <c r="F106" s="17" t="n"/>
      <c r="G106" s="24" t="n"/>
      <c r="H106" s="10" t="n"/>
      <c r="I106" s="17" t="n"/>
      <c r="J106" s="16" t="n"/>
    </row>
    <row r="107">
      <c r="A107" s="16" t="n"/>
      <c r="B107" s="17" t="n"/>
      <c r="C107" s="10" t="n"/>
      <c r="D107" s="17" t="n"/>
      <c r="E107" s="17" t="n"/>
      <c r="F107" s="17" t="n"/>
      <c r="G107" s="24" t="n"/>
      <c r="H107" s="10" t="n"/>
      <c r="I107" s="17" t="n"/>
      <c r="J107" s="16" t="n"/>
    </row>
    <row r="108">
      <c r="A108" s="16" t="n"/>
      <c r="B108" s="17" t="n"/>
      <c r="C108" s="10" t="n"/>
      <c r="D108" s="17" t="n"/>
      <c r="E108" s="17" t="n"/>
      <c r="F108" s="17" t="n"/>
      <c r="G108" s="24" t="n"/>
      <c r="H108" s="10" t="n"/>
      <c r="I108" s="17" t="n"/>
      <c r="J108" s="16" t="n"/>
    </row>
    <row r="109">
      <c r="A109" s="16" t="n"/>
      <c r="B109" s="17" t="n"/>
      <c r="C109" s="10" t="n"/>
      <c r="D109" s="17" t="n"/>
      <c r="E109" s="17" t="n"/>
      <c r="F109" s="17" t="n"/>
      <c r="G109" s="24" t="n"/>
      <c r="H109" s="10" t="n"/>
      <c r="I109" s="17" t="n"/>
      <c r="J109" s="16" t="n"/>
    </row>
    <row r="110">
      <c r="A110" s="16" t="n"/>
      <c r="B110" s="17" t="n"/>
      <c r="C110" s="10" t="n"/>
      <c r="D110" s="17" t="n"/>
      <c r="E110" s="17" t="n"/>
      <c r="F110" s="17" t="n"/>
      <c r="G110" s="24" t="n"/>
      <c r="H110" s="10" t="n"/>
      <c r="I110" s="17" t="n"/>
      <c r="J110" s="16" t="n"/>
    </row>
    <row r="111">
      <c r="A111" s="16" t="n"/>
      <c r="B111" s="17" t="n"/>
      <c r="C111" s="10" t="n"/>
      <c r="D111" s="17" t="n"/>
      <c r="E111" s="17" t="n"/>
      <c r="F111" s="17" t="n"/>
      <c r="G111" s="24" t="n"/>
      <c r="H111" s="10" t="n"/>
      <c r="I111" s="17" t="n"/>
      <c r="J111" s="16" t="n"/>
    </row>
    <row r="112">
      <c r="A112" s="16" t="n"/>
      <c r="B112" s="17" t="n"/>
      <c r="C112" s="10" t="n"/>
      <c r="D112" s="17" t="n"/>
      <c r="E112" s="17" t="n"/>
      <c r="F112" s="17" t="n"/>
      <c r="G112" s="24" t="n"/>
      <c r="H112" s="10" t="n"/>
      <c r="I112" s="17" t="n"/>
      <c r="J112" s="16" t="n"/>
    </row>
    <row r="113">
      <c r="A113" s="16" t="n"/>
      <c r="B113" s="17" t="n"/>
      <c r="C113" s="10" t="n"/>
      <c r="D113" s="17" t="n"/>
      <c r="E113" s="17" t="n"/>
      <c r="F113" s="17" t="n"/>
      <c r="G113" s="24" t="n"/>
      <c r="H113" s="10" t="n"/>
      <c r="I113" s="17" t="n"/>
      <c r="J113" s="16" t="n"/>
    </row>
    <row r="114">
      <c r="A114" s="16" t="n"/>
      <c r="B114" s="17" t="n"/>
      <c r="C114" s="10" t="n"/>
      <c r="D114" s="17" t="n"/>
      <c r="E114" s="17" t="n"/>
      <c r="F114" s="17" t="n"/>
      <c r="G114" s="24" t="n"/>
      <c r="H114" s="10" t="n"/>
      <c r="I114" s="17" t="n"/>
      <c r="J114" s="16" t="n"/>
    </row>
    <row r="115">
      <c r="A115" s="16" t="n"/>
      <c r="B115" s="17" t="n"/>
      <c r="C115" s="10" t="n"/>
      <c r="D115" s="17" t="n"/>
      <c r="E115" s="17" t="n"/>
      <c r="F115" s="17" t="n"/>
      <c r="G115" s="24" t="n"/>
      <c r="H115" s="10" t="n"/>
      <c r="I115" s="17" t="n"/>
      <c r="J115" s="16" t="n"/>
    </row>
    <row r="116">
      <c r="A116" s="16" t="n"/>
      <c r="B116" s="17" t="n"/>
      <c r="C116" s="10" t="n"/>
      <c r="D116" s="17" t="n"/>
      <c r="E116" s="17" t="n"/>
      <c r="F116" s="17" t="n"/>
      <c r="G116" s="24" t="n"/>
      <c r="H116" s="10" t="n"/>
      <c r="I116" s="17" t="n"/>
      <c r="J116" s="16" t="n"/>
    </row>
    <row r="117">
      <c r="A117" s="16" t="n"/>
      <c r="B117" s="17" t="n"/>
      <c r="C117" s="10" t="n"/>
      <c r="D117" s="17" t="n"/>
      <c r="E117" s="17" t="n"/>
      <c r="F117" s="17" t="n"/>
      <c r="G117" s="24" t="n"/>
      <c r="H117" s="10" t="n"/>
      <c r="I117" s="17" t="n"/>
      <c r="J117" s="16" t="n"/>
    </row>
    <row r="118">
      <c r="A118" s="16" t="n"/>
      <c r="B118" s="17" t="n"/>
      <c r="C118" s="10" t="n"/>
      <c r="D118" s="17" t="n"/>
      <c r="E118" s="17" t="n"/>
      <c r="F118" s="17" t="n"/>
      <c r="G118" s="24" t="n"/>
      <c r="H118" s="10" t="n"/>
      <c r="I118" s="17" t="n"/>
      <c r="J118" s="16" t="n"/>
    </row>
    <row r="119">
      <c r="A119" s="16" t="n"/>
      <c r="B119" s="17" t="n"/>
      <c r="C119" s="10" t="n"/>
      <c r="D119" s="17" t="n"/>
      <c r="E119" s="17" t="n"/>
      <c r="F119" s="17" t="n"/>
      <c r="G119" s="24" t="n"/>
      <c r="H119" s="10" t="n"/>
      <c r="I119" s="17" t="n"/>
      <c r="J119" s="16" t="n"/>
    </row>
    <row r="120">
      <c r="A120" s="16" t="n"/>
      <c r="B120" s="17" t="n"/>
      <c r="C120" s="10" t="n"/>
      <c r="D120" s="17" t="n"/>
      <c r="E120" s="17" t="n"/>
      <c r="F120" s="17" t="n"/>
      <c r="G120" s="24" t="n"/>
      <c r="H120" s="10" t="n"/>
      <c r="I120" s="17" t="n"/>
      <c r="J120" s="16" t="n"/>
    </row>
    <row r="121">
      <c r="A121" s="16" t="n"/>
      <c r="B121" s="17" t="n"/>
      <c r="C121" s="10" t="n"/>
      <c r="D121" s="17" t="n"/>
      <c r="E121" s="17" t="n"/>
      <c r="F121" s="17" t="n"/>
      <c r="G121" s="24" t="n"/>
      <c r="H121" s="10" t="n"/>
      <c r="I121" s="17" t="n"/>
      <c r="J121" s="16" t="n"/>
    </row>
    <row r="122">
      <c r="A122" s="16" t="n"/>
      <c r="B122" s="17" t="n"/>
      <c r="C122" s="10" t="n"/>
      <c r="D122" s="17" t="n"/>
      <c r="E122" s="17" t="n"/>
      <c r="F122" s="17" t="n"/>
      <c r="G122" s="24" t="n"/>
      <c r="H122" s="10" t="n"/>
      <c r="I122" s="17" t="n"/>
      <c r="J122" s="16" t="n"/>
    </row>
    <row r="123">
      <c r="A123" s="16" t="n"/>
      <c r="B123" s="17" t="n"/>
      <c r="C123" s="10" t="n"/>
      <c r="D123" s="17" t="n"/>
      <c r="E123" s="17" t="n"/>
      <c r="F123" s="17" t="n"/>
      <c r="G123" s="24" t="n"/>
      <c r="H123" s="10" t="n"/>
      <c r="I123" s="17" t="n"/>
      <c r="J123" s="16" t="n"/>
    </row>
    <row r="124">
      <c r="A124" s="16" t="n"/>
      <c r="B124" s="17" t="n"/>
      <c r="C124" s="10" t="n"/>
      <c r="D124" s="17" t="n"/>
      <c r="E124" s="17" t="n"/>
      <c r="F124" s="17" t="n"/>
      <c r="G124" s="24" t="n"/>
      <c r="H124" s="10" t="n"/>
      <c r="I124" s="17" t="n"/>
      <c r="J124" s="16" t="n"/>
    </row>
    <row r="125">
      <c r="A125" s="16" t="n"/>
      <c r="B125" s="17" t="n"/>
      <c r="C125" s="10" t="n"/>
      <c r="D125" s="17" t="n"/>
      <c r="E125" s="17" t="n"/>
      <c r="F125" s="17" t="n"/>
      <c r="G125" s="24" t="n"/>
      <c r="H125" s="10" t="n"/>
      <c r="I125" s="17" t="n"/>
      <c r="J125" s="16" t="n"/>
    </row>
    <row r="126">
      <c r="A126" s="16" t="n"/>
      <c r="B126" s="17" t="n"/>
      <c r="C126" s="10" t="n"/>
      <c r="D126" s="17" t="n"/>
      <c r="E126" s="17" t="n"/>
      <c r="F126" s="17" t="n"/>
      <c r="G126" s="24" t="n"/>
      <c r="H126" s="10" t="n"/>
      <c r="I126" s="17" t="n"/>
      <c r="J126" s="16" t="n"/>
    </row>
    <row r="127">
      <c r="A127" s="16" t="n"/>
      <c r="B127" s="17" t="n"/>
      <c r="C127" s="10" t="n"/>
      <c r="D127" s="17" t="n"/>
      <c r="E127" s="17" t="n"/>
      <c r="F127" s="17" t="n"/>
      <c r="G127" s="24" t="n"/>
      <c r="H127" s="10" t="n"/>
      <c r="I127" s="17" t="n"/>
      <c r="J127" s="16" t="n"/>
    </row>
    <row r="128">
      <c r="A128" s="16" t="n"/>
      <c r="B128" s="17" t="n"/>
      <c r="C128" s="10" t="n"/>
      <c r="D128" s="17" t="n"/>
      <c r="E128" s="17" t="n"/>
      <c r="F128" s="17" t="n"/>
      <c r="G128" s="24" t="n"/>
      <c r="H128" s="10" t="n"/>
      <c r="I128" s="17" t="n"/>
      <c r="J128" s="16" t="n"/>
    </row>
    <row r="129">
      <c r="A129" s="16" t="n"/>
      <c r="B129" s="17" t="n"/>
      <c r="C129" s="10" t="n"/>
      <c r="D129" s="17" t="n"/>
      <c r="E129" s="17" t="n"/>
      <c r="F129" s="17" t="n"/>
      <c r="G129" s="24" t="n"/>
      <c r="H129" s="10" t="n"/>
      <c r="I129" s="17" t="n"/>
      <c r="J129" s="16" t="n"/>
    </row>
    <row r="130">
      <c r="A130" s="16" t="n"/>
      <c r="B130" s="17" t="n"/>
      <c r="C130" s="10" t="n"/>
      <c r="D130" s="17" t="n"/>
      <c r="E130" s="17" t="n"/>
      <c r="F130" s="17" t="n"/>
      <c r="G130" s="24" t="n"/>
      <c r="H130" s="10" t="n"/>
      <c r="I130" s="17" t="n"/>
      <c r="J130" s="16" t="n"/>
    </row>
    <row r="131">
      <c r="A131" s="16" t="n"/>
      <c r="B131" s="17" t="n"/>
      <c r="C131" s="10" t="n"/>
      <c r="D131" s="17" t="n"/>
      <c r="E131" s="17" t="n"/>
      <c r="F131" s="17" t="n"/>
      <c r="G131" s="24" t="n"/>
      <c r="H131" s="10" t="n"/>
      <c r="I131" s="17" t="n"/>
      <c r="J131" s="16" t="n"/>
    </row>
    <row r="132">
      <c r="A132" s="16" t="n"/>
      <c r="B132" s="17" t="n"/>
      <c r="C132" s="10" t="n"/>
      <c r="D132" s="17" t="n"/>
      <c r="E132" s="17" t="n"/>
      <c r="F132" s="17" t="n"/>
      <c r="G132" s="24" t="n"/>
      <c r="H132" s="10" t="n"/>
      <c r="I132" s="17" t="n"/>
      <c r="J132" s="16" t="n"/>
    </row>
    <row r="133">
      <c r="A133" s="16" t="n"/>
      <c r="B133" s="17" t="n"/>
      <c r="C133" s="10" t="n"/>
      <c r="D133" s="17" t="n"/>
      <c r="E133" s="17" t="n"/>
      <c r="F133" s="17" t="n"/>
      <c r="G133" s="24" t="n"/>
      <c r="H133" s="10" t="n"/>
      <c r="I133" s="17" t="n"/>
      <c r="J133" s="16" t="n"/>
    </row>
    <row r="134">
      <c r="A134" s="16" t="n"/>
      <c r="B134" s="17" t="n"/>
      <c r="C134" s="10" t="n"/>
      <c r="D134" s="17" t="n"/>
      <c r="E134" s="17" t="n"/>
      <c r="F134" s="17" t="n"/>
      <c r="G134" s="24" t="n"/>
      <c r="H134" s="10" t="n"/>
      <c r="I134" s="17" t="n"/>
      <c r="J134" s="16" t="n"/>
    </row>
    <row r="135">
      <c r="A135" s="16" t="n"/>
      <c r="B135" s="17" t="n"/>
      <c r="C135" s="10" t="n"/>
      <c r="D135" s="17" t="n"/>
      <c r="E135" s="17" t="n"/>
      <c r="F135" s="17" t="n"/>
      <c r="G135" s="24" t="n"/>
      <c r="H135" s="10" t="n"/>
      <c r="I135" s="17" t="n"/>
      <c r="J135" s="16" t="n"/>
    </row>
    <row r="136">
      <c r="A136" s="16" t="n"/>
      <c r="B136" s="17" t="n"/>
      <c r="C136" s="10" t="n"/>
      <c r="D136" s="17" t="n"/>
      <c r="E136" s="17" t="n"/>
      <c r="F136" s="17" t="n"/>
      <c r="G136" s="24" t="n"/>
      <c r="H136" s="10" t="n"/>
      <c r="I136" s="17" t="n"/>
      <c r="J136" s="16" t="n"/>
    </row>
    <row r="137">
      <c r="A137" s="16" t="n"/>
      <c r="B137" s="17" t="n"/>
      <c r="C137" s="10" t="n"/>
      <c r="D137" s="17" t="n"/>
      <c r="E137" s="17" t="n"/>
      <c r="F137" s="17" t="n"/>
      <c r="G137" s="24" t="n"/>
      <c r="H137" s="10" t="n"/>
      <c r="I137" s="17" t="n"/>
      <c r="J137" s="16" t="n"/>
    </row>
    <row r="138">
      <c r="A138" s="16" t="n"/>
      <c r="B138" s="17" t="n"/>
      <c r="C138" s="10" t="n"/>
      <c r="D138" s="17" t="n"/>
      <c r="E138" s="17" t="n"/>
      <c r="F138" s="17" t="n"/>
      <c r="G138" s="24" t="n"/>
      <c r="H138" s="10" t="n"/>
      <c r="I138" s="17" t="n"/>
      <c r="J138" s="16" t="n"/>
    </row>
    <row r="139">
      <c r="A139" s="16" t="n"/>
      <c r="B139" s="17" t="n"/>
      <c r="C139" s="10" t="n"/>
      <c r="D139" s="17" t="n"/>
      <c r="E139" s="17" t="n"/>
      <c r="F139" s="17" t="n"/>
      <c r="G139" s="24" t="n"/>
      <c r="H139" s="10" t="n"/>
      <c r="I139" s="17" t="n"/>
      <c r="J139" s="16" t="n"/>
    </row>
    <row r="140">
      <c r="A140" s="16" t="n"/>
      <c r="B140" s="17" t="n"/>
      <c r="C140" s="10" t="n"/>
      <c r="D140" s="17" t="n"/>
      <c r="E140" s="17" t="n"/>
      <c r="F140" s="17" t="n"/>
      <c r="G140" s="24" t="n"/>
      <c r="H140" s="10" t="n"/>
      <c r="I140" s="17" t="n"/>
      <c r="J140" s="16" t="n"/>
    </row>
    <row r="141">
      <c r="A141" s="16" t="n"/>
      <c r="B141" s="17" t="n"/>
      <c r="C141" s="10" t="n"/>
      <c r="D141" s="17" t="n"/>
      <c r="E141" s="17" t="n"/>
      <c r="F141" s="17" t="n"/>
      <c r="G141" s="24" t="n"/>
      <c r="H141" s="10" t="n"/>
      <c r="I141" s="17" t="n"/>
      <c r="J141" s="16" t="n"/>
    </row>
    <row r="142">
      <c r="A142" s="16" t="n"/>
      <c r="B142" s="17" t="n"/>
      <c r="C142" s="10" t="n"/>
      <c r="D142" s="17" t="n"/>
      <c r="E142" s="17" t="n"/>
      <c r="F142" s="17" t="n"/>
      <c r="G142" s="24" t="n"/>
      <c r="H142" s="10" t="n"/>
      <c r="I142" s="17" t="n"/>
      <c r="J142" s="16" t="n"/>
    </row>
    <row r="143">
      <c r="A143" s="16" t="n"/>
      <c r="B143" s="17" t="n"/>
      <c r="C143" s="10" t="n"/>
      <c r="D143" s="17" t="n"/>
      <c r="E143" s="17" t="n"/>
      <c r="F143" s="17" t="n"/>
      <c r="G143" s="24" t="n"/>
      <c r="H143" s="10" t="n"/>
      <c r="I143" s="17" t="n"/>
      <c r="J143" s="16" t="n"/>
    </row>
    <row r="144">
      <c r="A144" s="16" t="n"/>
      <c r="B144" s="17" t="n"/>
      <c r="C144" s="10" t="n"/>
      <c r="D144" s="17" t="n"/>
      <c r="E144" s="17" t="n"/>
      <c r="F144" s="17" t="n"/>
      <c r="G144" s="24" t="n"/>
      <c r="H144" s="10" t="n"/>
      <c r="I144" s="17" t="n"/>
      <c r="J144" s="16" t="n"/>
    </row>
    <row r="145">
      <c r="A145" s="16" t="n"/>
      <c r="B145" s="17" t="n"/>
      <c r="C145" s="10" t="n"/>
      <c r="D145" s="17" t="n"/>
      <c r="E145" s="17" t="n"/>
      <c r="F145" s="17" t="n"/>
      <c r="G145" s="24" t="n"/>
      <c r="H145" s="10" t="n"/>
      <c r="I145" s="17" t="n"/>
      <c r="J145" s="16" t="n"/>
    </row>
    <row r="146">
      <c r="A146" s="16" t="n"/>
      <c r="B146" s="17" t="n"/>
      <c r="C146" s="10" t="n"/>
      <c r="D146" s="17" t="n"/>
      <c r="E146" s="17" t="n"/>
      <c r="F146" s="17" t="n"/>
      <c r="G146" s="24" t="n"/>
      <c r="H146" s="10" t="n"/>
      <c r="I146" s="17" t="n"/>
      <c r="J146" s="16" t="n"/>
    </row>
    <row r="147">
      <c r="A147" s="16" t="n"/>
      <c r="B147" s="17" t="n"/>
      <c r="C147" s="10" t="n"/>
      <c r="D147" s="17" t="n"/>
      <c r="E147" s="17" t="n"/>
      <c r="F147" s="17" t="n"/>
      <c r="G147" s="24" t="n"/>
      <c r="H147" s="10" t="n"/>
      <c r="I147" s="17" t="n"/>
      <c r="J147" s="16" t="n"/>
    </row>
    <row r="148">
      <c r="A148" s="16" t="n"/>
      <c r="B148" s="17" t="n"/>
      <c r="C148" s="10" t="n"/>
      <c r="D148" s="17" t="n"/>
      <c r="E148" s="17" t="n"/>
      <c r="F148" s="17" t="n"/>
      <c r="G148" s="24" t="n"/>
      <c r="H148" s="10" t="n"/>
      <c r="I148" s="17" t="n"/>
      <c r="J148" s="16" t="n"/>
    </row>
    <row r="149">
      <c r="A149" s="16" t="n"/>
      <c r="B149" s="17" t="n"/>
      <c r="C149" s="10" t="n"/>
      <c r="D149" s="17" t="n"/>
      <c r="E149" s="17" t="n"/>
      <c r="F149" s="17" t="n"/>
      <c r="G149" s="24" t="n"/>
      <c r="H149" s="10" t="n"/>
      <c r="I149" s="17" t="n"/>
      <c r="J149" s="16" t="n"/>
    </row>
    <row r="150">
      <c r="A150" s="16" t="n"/>
      <c r="B150" s="17" t="n"/>
      <c r="C150" s="10" t="n"/>
      <c r="D150" s="17" t="n"/>
      <c r="E150" s="17" t="n"/>
      <c r="F150" s="17" t="n"/>
      <c r="G150" s="24" t="n"/>
      <c r="H150" s="10" t="n"/>
      <c r="I150" s="17" t="n"/>
      <c r="J150" s="16" t="n"/>
    </row>
    <row r="151">
      <c r="A151" s="16" t="n"/>
      <c r="B151" s="17" t="n"/>
      <c r="C151" s="10" t="n"/>
      <c r="D151" s="17" t="n"/>
      <c r="E151" s="17" t="n"/>
      <c r="F151" s="17" t="n"/>
      <c r="G151" s="24" t="n"/>
      <c r="H151" s="10" t="n"/>
      <c r="I151" s="17" t="n"/>
      <c r="J151" s="16" t="n"/>
    </row>
    <row r="152">
      <c r="A152" s="16" t="n"/>
      <c r="B152" s="17" t="n"/>
      <c r="C152" s="10" t="n"/>
      <c r="D152" s="17" t="n"/>
      <c r="E152" s="17" t="n"/>
      <c r="F152" s="17" t="n"/>
      <c r="G152" s="24" t="n"/>
      <c r="H152" s="10" t="n"/>
      <c r="I152" s="17" t="n"/>
      <c r="J152" s="16" t="n"/>
    </row>
    <row r="153">
      <c r="A153" s="16" t="n"/>
      <c r="B153" s="17" t="n"/>
      <c r="C153" s="10" t="n"/>
      <c r="D153" s="17" t="n"/>
      <c r="E153" s="17" t="n"/>
      <c r="F153" s="17" t="n"/>
      <c r="G153" s="24" t="n"/>
      <c r="H153" s="10" t="n"/>
      <c r="I153" s="17" t="n"/>
      <c r="J153" s="16" t="n"/>
    </row>
    <row r="154">
      <c r="A154" s="16" t="n"/>
      <c r="B154" s="17" t="n"/>
      <c r="C154" s="10" t="n"/>
      <c r="D154" s="17" t="n"/>
      <c r="E154" s="17" t="n"/>
      <c r="F154" s="17" t="n"/>
      <c r="G154" s="24" t="n"/>
      <c r="H154" s="10" t="n"/>
      <c r="I154" s="17" t="n"/>
      <c r="J154" s="16" t="n"/>
    </row>
    <row r="155">
      <c r="A155" s="16" t="n"/>
      <c r="B155" s="17" t="n"/>
      <c r="C155" s="10" t="n"/>
      <c r="D155" s="17" t="n"/>
      <c r="E155" s="17" t="n"/>
      <c r="F155" s="17" t="n"/>
      <c r="G155" s="24" t="n"/>
      <c r="H155" s="10" t="n"/>
      <c r="I155" s="17" t="n"/>
      <c r="J155" s="16" t="n"/>
    </row>
    <row r="156">
      <c r="A156" s="16" t="n"/>
      <c r="B156" s="17" t="n"/>
      <c r="C156" s="10" t="n"/>
      <c r="D156" s="17" t="n"/>
      <c r="E156" s="17" t="n"/>
      <c r="F156" s="17" t="n"/>
      <c r="G156" s="24" t="n"/>
      <c r="H156" s="10" t="n"/>
      <c r="I156" s="17" t="n"/>
      <c r="J156" s="16" t="n"/>
    </row>
    <row r="157">
      <c r="A157" s="16" t="n"/>
      <c r="B157" s="17" t="n"/>
      <c r="C157" s="10" t="n"/>
      <c r="D157" s="17" t="n"/>
      <c r="E157" s="17" t="n"/>
      <c r="F157" s="17" t="n"/>
      <c r="G157" s="24" t="n"/>
      <c r="H157" s="10" t="n"/>
      <c r="I157" s="17" t="n"/>
      <c r="J157" s="16" t="n"/>
    </row>
    <row r="158">
      <c r="A158" s="16" t="n"/>
      <c r="B158" s="17" t="n"/>
      <c r="C158" s="10" t="n"/>
      <c r="D158" s="17" t="n"/>
      <c r="E158" s="17" t="n"/>
      <c r="F158" s="17" t="n"/>
      <c r="G158" s="24" t="n"/>
      <c r="H158" s="10" t="n"/>
      <c r="I158" s="17" t="n"/>
      <c r="J158" s="16" t="n"/>
    </row>
    <row r="159">
      <c r="A159" s="16" t="n"/>
      <c r="B159" s="17" t="n"/>
      <c r="C159" s="10" t="n"/>
      <c r="D159" s="17" t="n"/>
      <c r="E159" s="17" t="n"/>
      <c r="F159" s="17" t="n"/>
      <c r="G159" s="24" t="n"/>
      <c r="H159" s="10" t="n"/>
      <c r="I159" s="17" t="n"/>
      <c r="J159" s="16" t="n"/>
    </row>
    <row r="160">
      <c r="A160" s="16" t="n"/>
      <c r="B160" s="17" t="n"/>
      <c r="C160" s="10" t="n"/>
      <c r="D160" s="17" t="n"/>
      <c r="E160" s="17" t="n"/>
      <c r="F160" s="17" t="n"/>
      <c r="G160" s="24" t="n"/>
      <c r="H160" s="10" t="n"/>
      <c r="I160" s="17" t="n"/>
      <c r="J160" s="16" t="n"/>
    </row>
    <row r="161">
      <c r="A161" s="16" t="n"/>
      <c r="B161" s="17" t="n"/>
      <c r="C161" s="10" t="n"/>
      <c r="D161" s="17" t="n"/>
      <c r="E161" s="17" t="n"/>
      <c r="F161" s="17" t="n"/>
      <c r="G161" s="24" t="n"/>
      <c r="H161" s="10" t="n"/>
      <c r="I161" s="17" t="n"/>
      <c r="J161" s="16" t="n"/>
    </row>
    <row r="162">
      <c r="A162" s="16" t="n"/>
      <c r="B162" s="17" t="n"/>
      <c r="C162" s="10" t="n"/>
      <c r="D162" s="17" t="n"/>
      <c r="E162" s="17" t="n"/>
      <c r="F162" s="17" t="n"/>
      <c r="G162" s="24" t="n"/>
      <c r="H162" s="10" t="n"/>
      <c r="I162" s="17" t="n"/>
      <c r="J162" s="16" t="n"/>
    </row>
    <row r="163">
      <c r="A163" s="16" t="n"/>
      <c r="B163" s="17" t="n"/>
      <c r="C163" s="10" t="n"/>
      <c r="D163" s="17" t="n"/>
      <c r="E163" s="17" t="n"/>
      <c r="F163" s="17" t="n"/>
      <c r="G163" s="24" t="n"/>
      <c r="H163" s="10" t="n"/>
      <c r="I163" s="17" t="n"/>
      <c r="J163" s="16" t="n"/>
    </row>
    <row r="164">
      <c r="A164" s="16" t="n"/>
      <c r="B164" s="17" t="n"/>
      <c r="C164" s="10" t="n"/>
      <c r="D164" s="17" t="n"/>
      <c r="E164" s="17" t="n"/>
      <c r="F164" s="17" t="n"/>
      <c r="G164" s="24" t="n"/>
      <c r="H164" s="10" t="n"/>
      <c r="I164" s="17" t="n"/>
      <c r="J164" s="16" t="n"/>
    </row>
    <row r="165">
      <c r="A165" s="16" t="n"/>
      <c r="B165" s="17" t="n"/>
      <c r="C165" s="10" t="n"/>
      <c r="D165" s="17" t="n"/>
      <c r="E165" s="17" t="n"/>
      <c r="F165" s="17" t="n"/>
      <c r="G165" s="24" t="n"/>
      <c r="H165" s="10" t="n"/>
      <c r="I165" s="17" t="n"/>
      <c r="J165" s="16" t="n"/>
    </row>
    <row r="166">
      <c r="A166" s="16" t="n"/>
      <c r="B166" s="17" t="n"/>
      <c r="C166" s="10" t="n"/>
      <c r="D166" s="17" t="n"/>
      <c r="E166" s="17" t="n"/>
      <c r="F166" s="17" t="n"/>
      <c r="G166" s="24" t="n"/>
      <c r="H166" s="10" t="n"/>
      <c r="I166" s="17" t="n"/>
      <c r="J166" s="16" t="n"/>
    </row>
    <row r="167">
      <c r="A167" s="16" t="n"/>
      <c r="B167" s="17" t="n"/>
      <c r="C167" s="10" t="n"/>
      <c r="D167" s="17" t="n"/>
      <c r="E167" s="17" t="n"/>
      <c r="F167" s="17" t="n"/>
      <c r="G167" s="24" t="n"/>
      <c r="H167" s="10" t="n"/>
      <c r="I167" s="17" t="n"/>
      <c r="J167" s="16" t="n"/>
    </row>
    <row r="168">
      <c r="A168" s="16" t="n"/>
      <c r="B168" s="17" t="n"/>
      <c r="C168" s="10" t="n"/>
      <c r="D168" s="17" t="n"/>
      <c r="E168" s="17" t="n"/>
      <c r="F168" s="17" t="n"/>
      <c r="G168" s="24" t="n"/>
      <c r="H168" s="10" t="n"/>
      <c r="I168" s="17" t="n"/>
      <c r="J168" s="16" t="n"/>
    </row>
    <row r="169">
      <c r="A169" s="16" t="n"/>
      <c r="B169" s="17" t="n"/>
      <c r="C169" s="10" t="n"/>
      <c r="D169" s="17" t="n"/>
      <c r="E169" s="17" t="n"/>
      <c r="F169" s="17" t="n"/>
      <c r="G169" s="24" t="n"/>
      <c r="H169" s="10" t="n"/>
      <c r="I169" s="17" t="n"/>
      <c r="J169" s="16" t="n"/>
    </row>
    <row r="170">
      <c r="A170" s="16" t="n"/>
      <c r="B170" s="17" t="n"/>
      <c r="C170" s="10" t="n"/>
      <c r="D170" s="17" t="n"/>
      <c r="E170" s="17" t="n"/>
      <c r="F170" s="17" t="n"/>
      <c r="G170" s="24" t="n"/>
      <c r="H170" s="10" t="n"/>
      <c r="I170" s="17" t="n"/>
      <c r="J170" s="16" t="n"/>
    </row>
    <row r="171">
      <c r="A171" s="16" t="n"/>
      <c r="B171" s="17" t="n"/>
      <c r="C171" s="10" t="n"/>
      <c r="D171" s="17" t="n"/>
      <c r="E171" s="17" t="n"/>
      <c r="F171" s="17" t="n"/>
      <c r="G171" s="24" t="n"/>
      <c r="H171" s="10" t="n"/>
      <c r="I171" s="17" t="n"/>
      <c r="J171" s="16" t="n"/>
    </row>
    <row r="172">
      <c r="A172" s="16" t="n"/>
      <c r="B172" s="17" t="n"/>
      <c r="C172" s="10" t="n"/>
      <c r="D172" s="17" t="n"/>
      <c r="E172" s="17" t="n"/>
      <c r="F172" s="17" t="n"/>
      <c r="G172" s="24" t="n"/>
      <c r="H172" s="10" t="n"/>
      <c r="I172" s="17" t="n"/>
      <c r="J172" s="16" t="n"/>
    </row>
    <row r="173">
      <c r="A173" s="16" t="n"/>
      <c r="B173" s="17" t="n"/>
      <c r="C173" s="10" t="n"/>
      <c r="D173" s="17" t="n"/>
      <c r="E173" s="17" t="n"/>
      <c r="F173" s="17" t="n"/>
      <c r="G173" s="24" t="n"/>
      <c r="H173" s="10" t="n"/>
      <c r="I173" s="17" t="n"/>
      <c r="J173" s="16" t="n"/>
    </row>
    <row r="174">
      <c r="A174" s="16" t="n"/>
      <c r="B174" s="17" t="n"/>
      <c r="C174" s="10" t="n"/>
      <c r="D174" s="17" t="n"/>
      <c r="E174" s="17" t="n"/>
      <c r="F174" s="17" t="n"/>
      <c r="G174" s="24" t="n"/>
      <c r="H174" s="10" t="n"/>
      <c r="I174" s="17" t="n"/>
      <c r="J174" s="16" t="n"/>
    </row>
    <row r="175">
      <c r="A175" s="16" t="n"/>
      <c r="B175" s="17" t="n"/>
      <c r="C175" s="10" t="n"/>
      <c r="D175" s="17" t="n"/>
      <c r="E175" s="17" t="n"/>
      <c r="F175" s="17" t="n"/>
      <c r="G175" s="24" t="n"/>
      <c r="H175" s="10" t="n"/>
      <c r="I175" s="17" t="n"/>
      <c r="J175" s="16" t="n"/>
    </row>
    <row r="176">
      <c r="A176" s="16" t="n"/>
      <c r="B176" s="17" t="n"/>
      <c r="C176" s="10" t="n"/>
      <c r="D176" s="17" t="n"/>
      <c r="E176" s="17" t="n"/>
      <c r="F176" s="17" t="n"/>
      <c r="G176" s="24" t="n"/>
      <c r="H176" s="10" t="n"/>
      <c r="I176" s="17" t="n"/>
      <c r="J176" s="16" t="n"/>
    </row>
    <row r="177">
      <c r="A177" s="16" t="n"/>
      <c r="B177" s="17" t="n"/>
      <c r="C177" s="10" t="n"/>
      <c r="D177" s="17" t="n"/>
      <c r="E177" s="17" t="n"/>
      <c r="F177" s="17" t="n"/>
      <c r="G177" s="24" t="n"/>
      <c r="H177" s="10" t="n"/>
      <c r="I177" s="17" t="n"/>
      <c r="J177" s="16" t="n"/>
    </row>
    <row r="178">
      <c r="A178" s="16" t="n"/>
      <c r="B178" s="17" t="n"/>
      <c r="C178" s="10" t="n"/>
      <c r="D178" s="17" t="n"/>
      <c r="E178" s="17" t="n"/>
      <c r="F178" s="17" t="n"/>
      <c r="G178" s="24" t="n"/>
      <c r="H178" s="10" t="n"/>
      <c r="I178" s="17" t="n"/>
      <c r="J178" s="16" t="n"/>
    </row>
    <row r="179">
      <c r="A179" s="16" t="n"/>
      <c r="B179" s="17" t="n"/>
      <c r="C179" s="10" t="n"/>
      <c r="D179" s="17" t="n"/>
      <c r="E179" s="17" t="n"/>
      <c r="F179" s="17" t="n"/>
      <c r="G179" s="24" t="n"/>
      <c r="H179" s="10" t="n"/>
      <c r="I179" s="17" t="n"/>
      <c r="J179" s="16" t="n"/>
    </row>
    <row r="180">
      <c r="A180" s="16" t="n"/>
      <c r="B180" s="17" t="n"/>
      <c r="C180" s="10" t="n"/>
      <c r="D180" s="17" t="n"/>
      <c r="E180" s="17" t="n"/>
      <c r="F180" s="17" t="n"/>
      <c r="G180" s="24" t="n"/>
      <c r="H180" s="10" t="n"/>
      <c r="I180" s="17" t="n"/>
      <c r="J180" s="16" t="n"/>
    </row>
    <row r="181">
      <c r="A181" s="16" t="n"/>
      <c r="B181" s="17" t="n"/>
      <c r="C181" s="10" t="n"/>
      <c r="D181" s="17" t="n"/>
      <c r="E181" s="17" t="n"/>
      <c r="F181" s="17" t="n"/>
      <c r="G181" s="24" t="n"/>
      <c r="H181" s="10" t="n"/>
      <c r="I181" s="17" t="n"/>
      <c r="J181" s="16" t="n"/>
    </row>
    <row r="182">
      <c r="A182" s="16" t="n"/>
      <c r="B182" s="17" t="n"/>
      <c r="C182" s="10" t="n"/>
      <c r="D182" s="17" t="n"/>
      <c r="E182" s="17" t="n"/>
      <c r="F182" s="17" t="n"/>
      <c r="G182" s="24" t="n"/>
      <c r="H182" s="10" t="n"/>
      <c r="I182" s="17" t="n"/>
      <c r="J182" s="16" t="n"/>
    </row>
    <row r="183">
      <c r="A183" s="16" t="n"/>
      <c r="B183" s="17" t="n"/>
      <c r="C183" s="10" t="n"/>
      <c r="D183" s="17" t="n"/>
      <c r="E183" s="17" t="n"/>
      <c r="F183" s="17" t="n"/>
      <c r="G183" s="24" t="n"/>
      <c r="H183" s="10" t="n"/>
      <c r="I183" s="17" t="n"/>
      <c r="J183" s="16" t="n"/>
    </row>
    <row r="184">
      <c r="A184" s="16" t="n"/>
      <c r="B184" s="17" t="n"/>
      <c r="C184" s="10" t="n"/>
      <c r="D184" s="17" t="n"/>
      <c r="E184" s="17" t="n"/>
      <c r="F184" s="17" t="n"/>
      <c r="G184" s="24" t="n"/>
      <c r="H184" s="10" t="n"/>
      <c r="I184" s="17" t="n"/>
      <c r="J184" s="16" t="n"/>
    </row>
    <row r="185">
      <c r="A185" s="16" t="n"/>
      <c r="B185" s="17" t="n"/>
      <c r="C185" s="10" t="n"/>
      <c r="D185" s="17" t="n"/>
      <c r="E185" s="17" t="n"/>
      <c r="F185" s="17" t="n"/>
      <c r="G185" s="24" t="n"/>
      <c r="H185" s="10" t="n"/>
      <c r="I185" s="17" t="n"/>
      <c r="J185" s="16" t="n"/>
    </row>
    <row r="186">
      <c r="A186" s="16" t="n"/>
      <c r="B186" s="17" t="n"/>
      <c r="C186" s="10" t="n"/>
      <c r="D186" s="17" t="n"/>
      <c r="E186" s="17" t="n"/>
      <c r="F186" s="17" t="n"/>
      <c r="G186" s="24" t="n"/>
      <c r="H186" s="10" t="n"/>
      <c r="I186" s="17" t="n"/>
      <c r="J186" s="16" t="n"/>
    </row>
    <row r="187">
      <c r="A187" s="16" t="n"/>
      <c r="B187" s="17" t="n"/>
      <c r="C187" s="10" t="n"/>
      <c r="D187" s="17" t="n"/>
      <c r="E187" s="17" t="n"/>
      <c r="F187" s="17" t="n"/>
      <c r="G187" s="24" t="n"/>
      <c r="H187" s="10" t="n"/>
      <c r="I187" s="17" t="n"/>
      <c r="J187" s="16" t="n"/>
    </row>
    <row r="188">
      <c r="A188" s="16" t="n"/>
      <c r="B188" s="17" t="n"/>
      <c r="C188" s="10" t="n"/>
      <c r="D188" s="17" t="n"/>
      <c r="E188" s="17" t="n"/>
      <c r="F188" s="17" t="n"/>
      <c r="G188" s="24" t="n"/>
      <c r="H188" s="10" t="n"/>
      <c r="I188" s="17" t="n"/>
      <c r="J188" s="16" t="n"/>
    </row>
    <row r="189">
      <c r="A189" s="16" t="n"/>
      <c r="B189" s="17" t="n"/>
      <c r="C189" s="10" t="n"/>
      <c r="D189" s="17" t="n"/>
      <c r="E189" s="17" t="n"/>
      <c r="F189" s="17" t="n"/>
      <c r="G189" s="24" t="n"/>
      <c r="H189" s="10" t="n"/>
      <c r="I189" s="17" t="n"/>
      <c r="J189" s="16" t="n"/>
    </row>
    <row r="190">
      <c r="A190" s="16" t="n"/>
      <c r="B190" s="17" t="n"/>
      <c r="C190" s="10" t="n"/>
      <c r="D190" s="17" t="n"/>
      <c r="E190" s="17" t="n"/>
      <c r="F190" s="17" t="n"/>
      <c r="G190" s="24" t="n"/>
      <c r="H190" s="10" t="n"/>
      <c r="I190" s="17" t="n"/>
      <c r="J190" s="16" t="n"/>
    </row>
    <row r="191">
      <c r="A191" s="16" t="n"/>
      <c r="B191" s="17" t="n"/>
      <c r="C191" s="10" t="n"/>
      <c r="D191" s="17" t="n"/>
      <c r="E191" s="17" t="n"/>
      <c r="F191" s="17" t="n"/>
      <c r="G191" s="24" t="n"/>
      <c r="H191" s="10" t="n"/>
      <c r="I191" s="17" t="n"/>
      <c r="J191" s="16" t="n"/>
    </row>
    <row r="192">
      <c r="A192" s="16" t="n"/>
      <c r="B192" s="17" t="n"/>
      <c r="C192" s="10" t="n"/>
      <c r="D192" s="17" t="n"/>
      <c r="E192" s="17" t="n"/>
      <c r="F192" s="17" t="n"/>
      <c r="G192" s="24" t="n"/>
      <c r="H192" s="10" t="n"/>
      <c r="I192" s="17" t="n"/>
      <c r="J192" s="16" t="n"/>
    </row>
    <row r="193">
      <c r="A193" s="16" t="n"/>
      <c r="B193" s="17" t="n"/>
      <c r="C193" s="10" t="n"/>
      <c r="D193" s="17" t="n"/>
      <c r="E193" s="17" t="n"/>
      <c r="F193" s="17" t="n"/>
      <c r="G193" s="24" t="n"/>
      <c r="H193" s="10" t="n"/>
      <c r="I193" s="17" t="n"/>
      <c r="J193" s="16" t="n"/>
    </row>
    <row r="194">
      <c r="A194" s="16" t="n"/>
      <c r="B194" s="17" t="n"/>
      <c r="C194" s="10" t="n"/>
      <c r="D194" s="17" t="n"/>
      <c r="E194" s="17" t="n"/>
      <c r="F194" s="17" t="n"/>
      <c r="G194" s="24" t="n"/>
      <c r="H194" s="10" t="n"/>
      <c r="I194" s="17" t="n"/>
      <c r="J194" s="16" t="n"/>
    </row>
    <row r="195">
      <c r="A195" s="16" t="n"/>
      <c r="B195" s="17" t="n"/>
      <c r="C195" s="10" t="n"/>
      <c r="D195" s="17" t="n"/>
      <c r="E195" s="17" t="n"/>
      <c r="F195" s="17" t="n"/>
      <c r="G195" s="24" t="n"/>
      <c r="H195" s="10" t="n"/>
      <c r="I195" s="17" t="n"/>
      <c r="J195" s="16" t="n"/>
    </row>
    <row r="196">
      <c r="A196" s="16" t="n"/>
      <c r="B196" s="17" t="n"/>
      <c r="C196" s="10" t="n"/>
      <c r="D196" s="17" t="n"/>
      <c r="E196" s="17" t="n"/>
      <c r="F196" s="17" t="n"/>
      <c r="G196" s="24" t="n"/>
      <c r="H196" s="10" t="n"/>
      <c r="I196" s="17" t="n"/>
      <c r="J196" s="16" t="n"/>
    </row>
    <row r="197">
      <c r="A197" s="16" t="n"/>
      <c r="B197" s="17" t="n"/>
      <c r="C197" s="10" t="n"/>
      <c r="D197" s="17" t="n"/>
      <c r="E197" s="17" t="n"/>
      <c r="F197" s="17" t="n"/>
      <c r="G197" s="24" t="n"/>
      <c r="H197" s="10" t="n"/>
      <c r="I197" s="17" t="n"/>
      <c r="J197" s="16" t="n"/>
    </row>
    <row r="198">
      <c r="A198" s="16" t="n"/>
      <c r="B198" s="17" t="n"/>
      <c r="C198" s="10" t="n"/>
      <c r="D198" s="17" t="n"/>
      <c r="E198" s="17" t="n"/>
      <c r="F198" s="17" t="n"/>
      <c r="G198" s="24" t="n"/>
      <c r="H198" s="10" t="n"/>
      <c r="I198" s="17" t="n"/>
      <c r="J198" s="16" t="n"/>
    </row>
    <row r="199">
      <c r="A199" s="16" t="n"/>
      <c r="B199" s="17" t="n"/>
      <c r="C199" s="10" t="n"/>
      <c r="D199" s="17" t="n"/>
      <c r="E199" s="17" t="n"/>
      <c r="F199" s="17" t="n"/>
      <c r="G199" s="24" t="n"/>
      <c r="H199" s="10" t="n"/>
      <c r="I199" s="17" t="n"/>
      <c r="J199" s="16" t="n"/>
    </row>
    <row r="200">
      <c r="A200" s="16" t="n"/>
      <c r="B200" s="17" t="n"/>
      <c r="C200" s="10" t="n"/>
      <c r="D200" s="17" t="n"/>
      <c r="E200" s="17" t="n"/>
      <c r="F200" s="17" t="n"/>
      <c r="G200" s="24" t="n"/>
      <c r="H200" s="10" t="n"/>
      <c r="I200" s="17" t="n"/>
      <c r="J200" s="16" t="n"/>
    </row>
    <row r="201">
      <c r="A201" s="16" t="n"/>
      <c r="B201" s="17" t="n"/>
      <c r="C201" s="10" t="n"/>
      <c r="D201" s="17" t="n"/>
      <c r="E201" s="17" t="n"/>
      <c r="F201" s="17" t="n"/>
      <c r="G201" s="24" t="n"/>
      <c r="H201" s="10" t="n"/>
      <c r="I201" s="17" t="n"/>
      <c r="J201" s="16" t="n"/>
    </row>
    <row r="202">
      <c r="A202" s="16" t="n"/>
      <c r="B202" s="17" t="n"/>
      <c r="C202" s="10" t="n"/>
      <c r="D202" s="17" t="n"/>
      <c r="E202" s="17" t="n"/>
      <c r="F202" s="17" t="n"/>
      <c r="G202" s="24" t="n"/>
      <c r="H202" s="10" t="n"/>
      <c r="I202" s="17" t="n"/>
      <c r="J202" s="16" t="n"/>
    </row>
    <row r="203">
      <c r="A203" s="16" t="n"/>
      <c r="B203" s="17" t="n"/>
      <c r="C203" s="10" t="n"/>
      <c r="D203" s="17" t="n"/>
      <c r="E203" s="17" t="n"/>
      <c r="F203" s="17" t="n"/>
      <c r="G203" s="24" t="n"/>
      <c r="H203" s="10" t="n"/>
      <c r="I203" s="17" t="n"/>
      <c r="J203" s="16" t="n"/>
    </row>
    <row r="204">
      <c r="A204" s="16" t="n"/>
      <c r="B204" s="17" t="n"/>
      <c r="C204" s="10" t="n"/>
      <c r="D204" s="17" t="n"/>
      <c r="E204" s="17" t="n"/>
      <c r="F204" s="17" t="n"/>
      <c r="G204" s="24" t="n"/>
      <c r="H204" s="10" t="n"/>
      <c r="I204" s="17" t="n"/>
      <c r="J204" s="16" t="n"/>
    </row>
    <row r="205">
      <c r="A205" s="16" t="n"/>
      <c r="B205" s="17" t="n"/>
      <c r="C205" s="10" t="n"/>
      <c r="D205" s="17" t="n"/>
      <c r="E205" s="17" t="n"/>
      <c r="F205" s="17" t="n"/>
      <c r="G205" s="24" t="n"/>
      <c r="H205" s="10" t="n"/>
      <c r="I205" s="17" t="n"/>
      <c r="J205" s="16" t="n"/>
    </row>
    <row r="206">
      <c r="A206" s="16" t="n"/>
      <c r="B206" s="17" t="n"/>
      <c r="C206" s="10" t="n"/>
      <c r="D206" s="17" t="n"/>
      <c r="E206" s="17" t="n"/>
      <c r="F206" s="17" t="n"/>
      <c r="G206" s="24" t="n"/>
      <c r="H206" s="10" t="n"/>
      <c r="I206" s="17" t="n"/>
      <c r="J206" s="16" t="n"/>
    </row>
    <row r="207">
      <c r="A207" s="16" t="n"/>
      <c r="B207" s="17" t="n"/>
      <c r="C207" s="10" t="n"/>
      <c r="D207" s="17" t="n"/>
      <c r="E207" s="17" t="n"/>
      <c r="F207" s="17" t="n"/>
      <c r="G207" s="24" t="n"/>
      <c r="H207" s="10" t="n"/>
      <c r="I207" s="17" t="n"/>
      <c r="J207" s="16" t="n"/>
    </row>
    <row r="208">
      <c r="A208" s="16" t="n"/>
      <c r="B208" s="17" t="n"/>
      <c r="C208" s="10" t="n"/>
      <c r="D208" s="17" t="n"/>
      <c r="E208" s="17" t="n"/>
      <c r="F208" s="17" t="n"/>
      <c r="G208" s="24" t="n"/>
      <c r="H208" s="10" t="n"/>
      <c r="I208" s="17" t="n"/>
      <c r="J208" s="16" t="n"/>
    </row>
    <row r="209">
      <c r="A209" s="16" t="n"/>
      <c r="B209" s="17" t="n"/>
      <c r="C209" s="10" t="n"/>
      <c r="D209" s="17" t="n"/>
      <c r="E209" s="17" t="n"/>
      <c r="F209" s="17" t="n"/>
      <c r="G209" s="24" t="n"/>
      <c r="H209" s="10" t="n"/>
      <c r="I209" s="17" t="n"/>
      <c r="J209" s="16" t="n"/>
    </row>
    <row r="210">
      <c r="A210" s="16" t="n"/>
      <c r="B210" s="17" t="n"/>
      <c r="C210" s="10" t="n"/>
      <c r="D210" s="17" t="n"/>
      <c r="E210" s="17" t="n"/>
      <c r="F210" s="17" t="n"/>
      <c r="G210" s="24" t="n"/>
      <c r="H210" s="10" t="n"/>
      <c r="I210" s="17" t="n"/>
      <c r="J210" s="16" t="n"/>
    </row>
    <row r="211">
      <c r="A211" s="16" t="n"/>
      <c r="B211" s="17" t="n"/>
      <c r="C211" s="10" t="n"/>
      <c r="D211" s="17" t="n"/>
      <c r="E211" s="17" t="n"/>
      <c r="F211" s="17" t="n"/>
      <c r="G211" s="24" t="n"/>
      <c r="H211" s="10" t="n"/>
      <c r="I211" s="17" t="n"/>
      <c r="J211" s="16" t="n"/>
    </row>
    <row r="212">
      <c r="A212" s="16" t="n"/>
      <c r="B212" s="17" t="n"/>
      <c r="C212" s="10" t="n"/>
      <c r="D212" s="17" t="n"/>
      <c r="E212" s="17" t="n"/>
      <c r="F212" s="17" t="n"/>
      <c r="G212" s="24" t="n"/>
      <c r="H212" s="10" t="n"/>
      <c r="I212" s="17" t="n"/>
      <c r="J212" s="16" t="n"/>
    </row>
    <row r="213">
      <c r="A213" s="16" t="n"/>
      <c r="B213" s="17" t="n"/>
      <c r="C213" s="10" t="n"/>
      <c r="D213" s="17" t="n"/>
      <c r="E213" s="17" t="n"/>
      <c r="F213" s="17" t="n"/>
      <c r="G213" s="24" t="n"/>
      <c r="H213" s="10" t="n"/>
      <c r="I213" s="17" t="n"/>
      <c r="J213" s="16" t="n"/>
    </row>
    <row r="214">
      <c r="A214" s="16" t="n"/>
      <c r="B214" s="17" t="n"/>
      <c r="C214" s="10" t="n"/>
      <c r="D214" s="17" t="n"/>
      <c r="E214" s="17" t="n"/>
      <c r="F214" s="17" t="n"/>
      <c r="G214" s="24" t="n"/>
      <c r="H214" s="10" t="n"/>
      <c r="I214" s="17" t="n"/>
      <c r="J214" s="16" t="n"/>
    </row>
    <row r="215">
      <c r="A215" s="16" t="n"/>
      <c r="B215" s="17" t="n"/>
      <c r="C215" s="10" t="n"/>
      <c r="D215" s="17" t="n"/>
      <c r="E215" s="17" t="n"/>
      <c r="F215" s="17" t="n"/>
      <c r="G215" s="24" t="n"/>
      <c r="H215" s="10" t="n"/>
      <c r="I215" s="17" t="n"/>
      <c r="J215" s="16" t="n"/>
    </row>
    <row r="216">
      <c r="A216" s="16" t="n"/>
      <c r="B216" s="17" t="n"/>
      <c r="C216" s="10" t="n"/>
      <c r="D216" s="17" t="n"/>
      <c r="E216" s="17" t="n"/>
      <c r="F216" s="17" t="n"/>
      <c r="G216" s="24" t="n"/>
      <c r="H216" s="10" t="n"/>
      <c r="I216" s="17" t="n"/>
      <c r="J216" s="16" t="n"/>
    </row>
    <row r="217">
      <c r="A217" s="16" t="n"/>
      <c r="B217" s="17" t="n"/>
      <c r="C217" s="10" t="n"/>
      <c r="D217" s="17" t="n"/>
      <c r="E217" s="17" t="n"/>
      <c r="F217" s="17" t="n"/>
      <c r="G217" s="24" t="n"/>
      <c r="H217" s="10" t="n"/>
      <c r="I217" s="17" t="n"/>
      <c r="J217" s="16" t="n"/>
    </row>
    <row r="218">
      <c r="A218" s="16" t="n"/>
      <c r="B218" s="17" t="n"/>
      <c r="C218" s="10" t="n"/>
      <c r="D218" s="17" t="n"/>
      <c r="E218" s="17" t="n"/>
      <c r="F218" s="17" t="n"/>
      <c r="G218" s="24" t="n"/>
      <c r="H218" s="10" t="n"/>
      <c r="I218" s="17" t="n"/>
      <c r="J218" s="16" t="n"/>
    </row>
    <row r="219">
      <c r="A219" s="16" t="n"/>
      <c r="B219" s="17" t="n"/>
      <c r="C219" s="10" t="n"/>
      <c r="D219" s="17" t="n"/>
      <c r="E219" s="17" t="n"/>
      <c r="F219" s="17" t="n"/>
      <c r="G219" s="24" t="n"/>
      <c r="H219" s="10" t="n"/>
      <c r="I219" s="17" t="n"/>
      <c r="J219" s="16" t="n"/>
    </row>
    <row r="220">
      <c r="A220" s="16" t="n"/>
      <c r="B220" s="17" t="n"/>
      <c r="C220" s="10" t="n"/>
      <c r="D220" s="17" t="n"/>
      <c r="E220" s="17" t="n"/>
      <c r="F220" s="17" t="n"/>
      <c r="G220" s="24" t="n"/>
      <c r="H220" s="10" t="n"/>
      <c r="I220" s="17" t="n"/>
      <c r="J220" s="16" t="n"/>
    </row>
    <row r="221">
      <c r="A221" s="16" t="n"/>
      <c r="B221" s="17" t="n"/>
      <c r="C221" s="10" t="n"/>
      <c r="D221" s="17" t="n"/>
      <c r="E221" s="17" t="n"/>
      <c r="F221" s="17" t="n"/>
      <c r="G221" s="24" t="n"/>
      <c r="H221" s="10" t="n"/>
      <c r="I221" s="17" t="n"/>
      <c r="J221" s="16" t="n"/>
    </row>
    <row r="222">
      <c r="A222" s="16" t="n"/>
      <c r="B222" s="17" t="n"/>
      <c r="C222" s="10" t="n"/>
      <c r="D222" s="17" t="n"/>
      <c r="E222" s="17" t="n"/>
      <c r="F222" s="17" t="n"/>
      <c r="G222" s="24" t="n"/>
      <c r="H222" s="10" t="n"/>
      <c r="I222" s="17" t="n"/>
      <c r="J222" s="16" t="n"/>
    </row>
    <row r="223">
      <c r="A223" s="16" t="n"/>
      <c r="B223" s="17" t="n"/>
      <c r="C223" s="10" t="n"/>
      <c r="D223" s="17" t="n"/>
      <c r="E223" s="17" t="n"/>
      <c r="F223" s="17" t="n"/>
      <c r="G223" s="24" t="n"/>
      <c r="H223" s="10" t="n"/>
      <c r="I223" s="17" t="n"/>
      <c r="J223" s="16" t="n"/>
    </row>
    <row r="224">
      <c r="A224" s="16" t="n"/>
      <c r="B224" s="17" t="n"/>
      <c r="C224" s="10" t="n"/>
      <c r="D224" s="17" t="n"/>
      <c r="E224" s="17" t="n"/>
      <c r="F224" s="17" t="n"/>
      <c r="G224" s="24" t="n"/>
      <c r="H224" s="10" t="n"/>
      <c r="I224" s="17" t="n"/>
      <c r="J224" s="16" t="n"/>
    </row>
    <row r="225">
      <c r="A225" s="16" t="n"/>
      <c r="B225" s="17" t="n"/>
      <c r="C225" s="10" t="n"/>
      <c r="D225" s="17" t="n"/>
      <c r="E225" s="17" t="n"/>
      <c r="F225" s="17" t="n"/>
      <c r="G225" s="24" t="n"/>
      <c r="H225" s="10" t="n"/>
      <c r="I225" s="17" t="n"/>
      <c r="J225" s="16" t="n"/>
    </row>
    <row r="226">
      <c r="A226" s="16" t="n"/>
      <c r="B226" s="17" t="n"/>
      <c r="C226" s="10" t="n"/>
      <c r="D226" s="17" t="n"/>
      <c r="E226" s="17" t="n"/>
      <c r="F226" s="17" t="n"/>
      <c r="G226" s="24" t="n"/>
      <c r="H226" s="10" t="n"/>
      <c r="I226" s="17" t="n"/>
      <c r="J226" s="16" t="n"/>
    </row>
    <row r="227">
      <c r="A227" s="16" t="n"/>
      <c r="B227" s="17" t="n"/>
      <c r="C227" s="10" t="n"/>
      <c r="D227" s="17" t="n"/>
      <c r="E227" s="17" t="n"/>
      <c r="F227" s="17" t="n"/>
      <c r="G227" s="24" t="n"/>
      <c r="H227" s="10" t="n"/>
      <c r="I227" s="17" t="n"/>
      <c r="J227" s="16" t="n"/>
    </row>
    <row r="228">
      <c r="A228" s="16" t="n"/>
      <c r="B228" s="17" t="n"/>
      <c r="C228" s="10" t="n"/>
      <c r="D228" s="17" t="n"/>
      <c r="E228" s="17" t="n"/>
      <c r="F228" s="17" t="n"/>
      <c r="G228" s="24" t="n"/>
      <c r="H228" s="10" t="n"/>
      <c r="I228" s="17" t="n"/>
      <c r="J228" s="16" t="n"/>
    </row>
    <row r="229">
      <c r="A229" s="16" t="n"/>
      <c r="B229" s="17" t="n"/>
      <c r="C229" s="10" t="n"/>
      <c r="D229" s="17" t="n"/>
      <c r="E229" s="17" t="n"/>
      <c r="F229" s="17" t="n"/>
      <c r="G229" s="24" t="n"/>
      <c r="H229" s="10" t="n"/>
      <c r="I229" s="17" t="n"/>
      <c r="J229" s="16" t="n"/>
    </row>
    <row r="230">
      <c r="A230" s="16" t="n"/>
      <c r="B230" s="17" t="n"/>
      <c r="C230" s="10" t="n"/>
      <c r="D230" s="17" t="n"/>
      <c r="E230" s="17" t="n"/>
      <c r="F230" s="17" t="n"/>
      <c r="G230" s="24" t="n"/>
      <c r="H230" s="10" t="n"/>
      <c r="I230" s="17" t="n"/>
      <c r="J230" s="16" t="n"/>
    </row>
    <row r="231">
      <c r="A231" s="16" t="n"/>
      <c r="B231" s="17" t="n"/>
      <c r="C231" s="10" t="n"/>
      <c r="D231" s="17" t="n"/>
      <c r="E231" s="17" t="n"/>
      <c r="F231" s="17" t="n"/>
      <c r="G231" s="24" t="n"/>
      <c r="H231" s="10" t="n"/>
      <c r="I231" s="17" t="n"/>
      <c r="J231" s="16" t="n"/>
    </row>
    <row r="232">
      <c r="A232" s="16" t="n"/>
      <c r="B232" s="17" t="n"/>
      <c r="C232" s="10" t="n"/>
      <c r="D232" s="17" t="n"/>
      <c r="E232" s="17" t="n"/>
      <c r="F232" s="17" t="n"/>
      <c r="G232" s="24" t="n"/>
      <c r="H232" s="10" t="n"/>
      <c r="I232" s="17" t="n"/>
      <c r="J232" s="16" t="n"/>
    </row>
    <row r="233">
      <c r="A233" s="16" t="n"/>
      <c r="B233" s="17" t="n"/>
      <c r="C233" s="10" t="n"/>
      <c r="D233" s="17" t="n"/>
      <c r="E233" s="17" t="n"/>
      <c r="F233" s="17" t="n"/>
      <c r="G233" s="24" t="n"/>
      <c r="H233" s="10" t="n"/>
      <c r="I233" s="17" t="n"/>
      <c r="J233" s="16" t="n"/>
    </row>
    <row r="234">
      <c r="A234" s="16" t="n"/>
      <c r="B234" s="17" t="n"/>
      <c r="C234" s="10" t="n"/>
      <c r="D234" s="17" t="n"/>
      <c r="E234" s="17" t="n"/>
      <c r="F234" s="17" t="n"/>
      <c r="G234" s="24" t="n"/>
      <c r="H234" s="10" t="n"/>
      <c r="I234" s="17" t="n"/>
      <c r="J234" s="16" t="n"/>
    </row>
    <row r="235">
      <c r="A235" s="16" t="n"/>
      <c r="B235" s="17" t="n"/>
      <c r="C235" s="10" t="n"/>
      <c r="D235" s="17" t="n"/>
      <c r="E235" s="17" t="n"/>
      <c r="F235" s="17" t="n"/>
      <c r="G235" s="24" t="n"/>
      <c r="H235" s="10" t="n"/>
      <c r="I235" s="17" t="n"/>
      <c r="J235" s="16" t="n"/>
    </row>
    <row r="236">
      <c r="A236" s="16" t="n"/>
      <c r="B236" s="17" t="n"/>
      <c r="C236" s="10" t="n"/>
      <c r="D236" s="17" t="n"/>
      <c r="E236" s="17" t="n"/>
      <c r="F236" s="17" t="n"/>
      <c r="G236" s="24" t="n"/>
      <c r="H236" s="10" t="n"/>
      <c r="I236" s="17" t="n"/>
      <c r="J236" s="16" t="n"/>
    </row>
    <row r="237">
      <c r="A237" s="16" t="n"/>
      <c r="B237" s="17" t="n"/>
      <c r="C237" s="10" t="n"/>
      <c r="D237" s="17" t="n"/>
      <c r="E237" s="17" t="n"/>
      <c r="F237" s="17" t="n"/>
      <c r="G237" s="24" t="n"/>
      <c r="H237" s="10" t="n"/>
      <c r="I237" s="17" t="n"/>
      <c r="J237" s="16" t="n"/>
    </row>
    <row r="238">
      <c r="A238" s="16" t="n"/>
      <c r="B238" s="17" t="n"/>
      <c r="C238" s="10" t="n"/>
      <c r="D238" s="17" t="n"/>
      <c r="E238" s="17" t="n"/>
      <c r="F238" s="17" t="n"/>
      <c r="G238" s="24" t="n"/>
      <c r="H238" s="10" t="n"/>
      <c r="I238" s="17" t="n"/>
      <c r="J238" s="16" t="n"/>
    </row>
    <row r="239">
      <c r="A239" s="16" t="n"/>
      <c r="B239" s="17" t="n"/>
      <c r="C239" s="10" t="n"/>
      <c r="D239" s="17" t="n"/>
      <c r="E239" s="17" t="n"/>
      <c r="F239" s="17" t="n"/>
      <c r="G239" s="24" t="n"/>
      <c r="H239" s="10" t="n"/>
      <c r="I239" s="17" t="n"/>
      <c r="J239" s="16" t="n"/>
    </row>
    <row r="240">
      <c r="A240" s="16" t="n"/>
      <c r="B240" s="17" t="n"/>
      <c r="C240" s="10" t="n"/>
      <c r="D240" s="17" t="n"/>
      <c r="E240" s="17" t="n"/>
      <c r="F240" s="17" t="n"/>
      <c r="G240" s="24" t="n"/>
      <c r="H240" s="10" t="n"/>
      <c r="I240" s="17" t="n"/>
      <c r="J240" s="16" t="n"/>
    </row>
    <row r="241">
      <c r="A241" s="16" t="n"/>
      <c r="B241" s="17" t="n"/>
      <c r="C241" s="10" t="n"/>
      <c r="D241" s="17" t="n"/>
      <c r="E241" s="17" t="n"/>
      <c r="F241" s="17" t="n"/>
      <c r="G241" s="24" t="n"/>
      <c r="H241" s="10" t="n"/>
      <c r="I241" s="17" t="n"/>
      <c r="J241" s="16" t="n"/>
    </row>
    <row r="242">
      <c r="A242" s="16" t="n"/>
      <c r="B242" s="17" t="n"/>
      <c r="C242" s="10" t="n"/>
      <c r="D242" s="17" t="n"/>
      <c r="E242" s="17" t="n"/>
      <c r="F242" s="17" t="n"/>
      <c r="G242" s="24" t="n"/>
      <c r="H242" s="10" t="n"/>
      <c r="I242" s="17" t="n"/>
      <c r="J242" s="16" t="n"/>
    </row>
    <row r="243">
      <c r="A243" s="16" t="n"/>
      <c r="B243" s="17" t="n"/>
      <c r="C243" s="10" t="n"/>
      <c r="D243" s="17" t="n"/>
      <c r="E243" s="17" t="n"/>
      <c r="F243" s="17" t="n"/>
      <c r="G243" s="24" t="n"/>
      <c r="H243" s="10" t="n"/>
      <c r="I243" s="17" t="n"/>
      <c r="J243" s="16" t="n"/>
    </row>
    <row r="244">
      <c r="A244" s="16" t="n"/>
      <c r="B244" s="17" t="n"/>
      <c r="C244" s="10" t="n"/>
      <c r="D244" s="17" t="n"/>
      <c r="E244" s="17" t="n"/>
      <c r="F244" s="17" t="n"/>
      <c r="G244" s="24" t="n"/>
      <c r="H244" s="10" t="n"/>
      <c r="I244" s="17" t="n"/>
      <c r="J244" s="16" t="n"/>
    </row>
    <row r="245">
      <c r="A245" s="16" t="n"/>
      <c r="B245" s="17" t="n"/>
      <c r="C245" s="10" t="n"/>
      <c r="D245" s="17" t="n"/>
      <c r="E245" s="17" t="n"/>
      <c r="F245" s="17" t="n"/>
      <c r="G245" s="24" t="n"/>
      <c r="H245" s="10" t="n"/>
      <c r="I245" s="17" t="n"/>
      <c r="J245" s="16" t="n"/>
    </row>
    <row r="246">
      <c r="A246" s="16" t="n"/>
      <c r="B246" s="17" t="n"/>
      <c r="C246" s="10" t="n"/>
      <c r="D246" s="17" t="n"/>
      <c r="E246" s="17" t="n"/>
      <c r="F246" s="17" t="n"/>
      <c r="G246" s="24" t="n"/>
      <c r="H246" s="10" t="n"/>
      <c r="I246" s="17" t="n"/>
      <c r="J246" s="16" t="n"/>
    </row>
    <row r="247">
      <c r="A247" s="16" t="n"/>
      <c r="B247" s="17" t="n"/>
      <c r="C247" s="10" t="n"/>
      <c r="D247" s="17" t="n"/>
      <c r="E247" s="17" t="n"/>
      <c r="F247" s="17" t="n"/>
      <c r="G247" s="24" t="n"/>
      <c r="H247" s="10" t="n"/>
      <c r="I247" s="17" t="n"/>
      <c r="J247" s="16" t="n"/>
    </row>
    <row r="248">
      <c r="A248" s="16" t="n"/>
      <c r="B248" s="17" t="n"/>
      <c r="C248" s="10" t="n"/>
      <c r="D248" s="17" t="n"/>
      <c r="E248" s="17" t="n"/>
      <c r="F248" s="17" t="n"/>
      <c r="G248" s="24" t="n"/>
      <c r="H248" s="10" t="n"/>
      <c r="I248" s="17" t="n"/>
      <c r="J248" s="16" t="n"/>
    </row>
    <row r="249">
      <c r="A249" s="16" t="n"/>
      <c r="B249" s="17" t="n"/>
      <c r="C249" s="10" t="n"/>
      <c r="D249" s="17" t="n"/>
      <c r="E249" s="17" t="n"/>
      <c r="F249" s="17" t="n"/>
      <c r="G249" s="24" t="n"/>
      <c r="H249" s="10" t="n"/>
      <c r="I249" s="17" t="n"/>
      <c r="J249" s="16" t="n"/>
    </row>
    <row r="250">
      <c r="A250" s="16" t="n"/>
      <c r="B250" s="17" t="n"/>
      <c r="C250" s="10" t="n"/>
      <c r="D250" s="17" t="n"/>
      <c r="E250" s="17" t="n"/>
      <c r="F250" s="17" t="n"/>
      <c r="G250" s="24" t="n"/>
      <c r="H250" s="10" t="n"/>
      <c r="I250" s="17" t="n"/>
      <c r="J250" s="16" t="n"/>
    </row>
    <row r="251">
      <c r="A251" s="16" t="n"/>
      <c r="B251" s="17" t="n"/>
      <c r="C251" s="10" t="n"/>
      <c r="D251" s="17" t="n"/>
      <c r="E251" s="17" t="n"/>
      <c r="F251" s="17" t="n"/>
      <c r="G251" s="24" t="n"/>
      <c r="H251" s="10" t="n"/>
      <c r="I251" s="17" t="n"/>
      <c r="J251" s="16" t="n"/>
    </row>
    <row r="252">
      <c r="A252" s="16" t="n"/>
      <c r="B252" s="17" t="n"/>
      <c r="C252" s="10" t="n"/>
      <c r="D252" s="17" t="n"/>
      <c r="E252" s="17" t="n"/>
      <c r="F252" s="17" t="n"/>
      <c r="G252" s="24" t="n"/>
      <c r="H252" s="10" t="n"/>
      <c r="I252" s="17" t="n"/>
      <c r="J252" s="16" t="n"/>
    </row>
    <row r="253">
      <c r="A253" s="16" t="n"/>
      <c r="B253" s="17" t="n"/>
      <c r="C253" s="10" t="n"/>
      <c r="D253" s="17" t="n"/>
      <c r="E253" s="17" t="n"/>
      <c r="F253" s="17" t="n"/>
      <c r="G253" s="24" t="n"/>
      <c r="H253" s="10" t="n"/>
      <c r="I253" s="17" t="n"/>
      <c r="J253" s="16" t="n"/>
    </row>
    <row r="254">
      <c r="A254" s="16" t="n"/>
      <c r="B254" s="17" t="n"/>
      <c r="C254" s="10" t="n"/>
      <c r="D254" s="17" t="n"/>
      <c r="E254" s="17" t="n"/>
      <c r="F254" s="17" t="n"/>
      <c r="G254" s="24" t="n"/>
      <c r="H254" s="10" t="n"/>
      <c r="I254" s="17" t="n"/>
      <c r="J254" s="16" t="n"/>
    </row>
    <row r="255">
      <c r="A255" s="16" t="n"/>
      <c r="B255" s="17" t="n"/>
      <c r="C255" s="10" t="n"/>
      <c r="D255" s="17" t="n"/>
      <c r="E255" s="17" t="n"/>
      <c r="F255" s="17" t="n"/>
      <c r="G255" s="24" t="n"/>
      <c r="H255" s="10" t="n"/>
      <c r="I255" s="17" t="n"/>
      <c r="J255" s="16" t="n"/>
    </row>
    <row r="256">
      <c r="A256" s="16" t="n"/>
      <c r="B256" s="17" t="n"/>
      <c r="C256" s="10" t="n"/>
      <c r="D256" s="17" t="n"/>
      <c r="E256" s="17" t="n"/>
      <c r="F256" s="17" t="n"/>
      <c r="G256" s="24" t="n"/>
      <c r="H256" s="10" t="n"/>
      <c r="I256" s="17" t="n"/>
      <c r="J256" s="16" t="n"/>
    </row>
    <row r="257">
      <c r="A257" s="16" t="n"/>
      <c r="B257" s="17" t="n"/>
      <c r="C257" s="10" t="n"/>
      <c r="D257" s="17" t="n"/>
      <c r="E257" s="17" t="n"/>
      <c r="F257" s="17" t="n"/>
      <c r="G257" s="24" t="n"/>
      <c r="H257" s="10" t="n"/>
      <c r="I257" s="17" t="n"/>
      <c r="J257" s="16" t="n"/>
    </row>
    <row r="258">
      <c r="A258" s="16" t="n"/>
      <c r="B258" s="17" t="n"/>
      <c r="C258" s="10" t="n"/>
      <c r="D258" s="17" t="n"/>
      <c r="E258" s="17" t="n"/>
      <c r="F258" s="17" t="n"/>
      <c r="G258" s="24" t="n"/>
      <c r="H258" s="10" t="n"/>
      <c r="I258" s="17" t="n"/>
      <c r="J258" s="16" t="n"/>
    </row>
    <row r="259">
      <c r="A259" s="16" t="n"/>
      <c r="B259" s="17" t="n"/>
      <c r="C259" s="10" t="n"/>
      <c r="D259" s="17" t="n"/>
      <c r="E259" s="17" t="n"/>
      <c r="F259" s="17" t="n"/>
      <c r="G259" s="24" t="n"/>
      <c r="H259" s="10" t="n"/>
      <c r="I259" s="17" t="n"/>
      <c r="J259" s="16" t="n"/>
    </row>
    <row r="260">
      <c r="A260" s="16" t="n"/>
      <c r="B260" s="17" t="n"/>
      <c r="C260" s="10" t="n"/>
      <c r="D260" s="17" t="n"/>
      <c r="E260" s="17" t="n"/>
      <c r="F260" s="17" t="n"/>
      <c r="G260" s="24" t="n"/>
      <c r="H260" s="10" t="n"/>
      <c r="I260" s="17" t="n"/>
      <c r="J260" s="16" t="n"/>
    </row>
    <row r="261">
      <c r="A261" s="16" t="n"/>
      <c r="B261" s="17" t="n"/>
      <c r="C261" s="10" t="n"/>
      <c r="D261" s="17" t="n"/>
      <c r="E261" s="17" t="n"/>
      <c r="F261" s="17" t="n"/>
      <c r="G261" s="24" t="n"/>
      <c r="H261" s="10" t="n"/>
      <c r="I261" s="17" t="n"/>
      <c r="J261" s="16" t="n"/>
    </row>
    <row r="262">
      <c r="A262" s="16" t="n"/>
      <c r="B262" s="17" t="n"/>
      <c r="C262" s="10" t="n"/>
      <c r="D262" s="17" t="n"/>
      <c r="E262" s="17" t="n"/>
      <c r="F262" s="17" t="n"/>
      <c r="G262" s="24" t="n"/>
      <c r="H262" s="10" t="n"/>
      <c r="I262" s="17" t="n"/>
      <c r="J262" s="16" t="n"/>
    </row>
    <row r="263">
      <c r="A263" s="16" t="n"/>
      <c r="B263" s="17" t="n"/>
      <c r="C263" s="10" t="n"/>
      <c r="D263" s="17" t="n"/>
      <c r="E263" s="17" t="n"/>
      <c r="F263" s="17" t="n"/>
      <c r="G263" s="24" t="n"/>
      <c r="H263" s="10" t="n"/>
      <c r="I263" s="17" t="n"/>
      <c r="J263" s="16" t="n"/>
    </row>
    <row r="264">
      <c r="A264" s="16" t="n"/>
      <c r="B264" s="17" t="n"/>
      <c r="C264" s="10" t="n"/>
      <c r="D264" s="17" t="n"/>
      <c r="E264" s="17" t="n"/>
      <c r="F264" s="17" t="n"/>
      <c r="G264" s="24" t="n"/>
      <c r="H264" s="10" t="n"/>
      <c r="I264" s="17" t="n"/>
      <c r="J264" s="16" t="n"/>
    </row>
    <row r="265">
      <c r="A265" s="16" t="n"/>
      <c r="B265" s="17" t="n"/>
      <c r="C265" s="10" t="n"/>
      <c r="D265" s="17" t="n"/>
      <c r="E265" s="17" t="n"/>
      <c r="F265" s="17" t="n"/>
      <c r="G265" s="24" t="n"/>
      <c r="H265" s="10" t="n"/>
      <c r="I265" s="17" t="n"/>
      <c r="J265" s="16" t="n"/>
    </row>
    <row r="266">
      <c r="A266" s="16" t="n"/>
      <c r="B266" s="17" t="n"/>
      <c r="C266" s="10" t="n"/>
      <c r="D266" s="17" t="n"/>
      <c r="E266" s="17" t="n"/>
      <c r="F266" s="17" t="n"/>
      <c r="G266" s="24" t="n"/>
      <c r="H266" s="10" t="n"/>
      <c r="I266" s="17" t="n"/>
      <c r="J266" s="16" t="n"/>
    </row>
    <row r="267">
      <c r="A267" s="16" t="n"/>
      <c r="B267" s="17" t="n"/>
      <c r="C267" s="10" t="n"/>
      <c r="D267" s="17" t="n"/>
      <c r="E267" s="17" t="n"/>
      <c r="F267" s="17" t="n"/>
      <c r="G267" s="24" t="n"/>
      <c r="H267" s="10" t="n"/>
      <c r="I267" s="17" t="n"/>
      <c r="J267" s="16" t="n"/>
    </row>
    <row r="268">
      <c r="A268" s="16" t="n"/>
      <c r="B268" s="17" t="n"/>
      <c r="C268" s="10" t="n"/>
      <c r="D268" s="17" t="n"/>
      <c r="E268" s="17" t="n"/>
      <c r="F268" s="17" t="n"/>
      <c r="G268" s="24" t="n"/>
      <c r="H268" s="10" t="n"/>
      <c r="I268" s="17" t="n"/>
      <c r="J268" s="16" t="n"/>
    </row>
    <row r="269">
      <c r="A269" s="16" t="n"/>
      <c r="B269" s="17" t="n"/>
      <c r="C269" s="10" t="n"/>
      <c r="D269" s="17" t="n"/>
      <c r="E269" s="17" t="n"/>
      <c r="F269" s="17" t="n"/>
      <c r="G269" s="24" t="n"/>
      <c r="H269" s="10" t="n"/>
      <c r="I269" s="17" t="n"/>
      <c r="J269" s="16" t="n"/>
    </row>
    <row r="270">
      <c r="A270" s="16" t="n"/>
      <c r="B270" s="17" t="n"/>
      <c r="C270" s="10" t="n"/>
      <c r="D270" s="17" t="n"/>
      <c r="E270" s="17" t="n"/>
      <c r="F270" s="17" t="n"/>
      <c r="G270" s="24" t="n"/>
      <c r="H270" s="10" t="n"/>
      <c r="I270" s="17" t="n"/>
      <c r="J270" s="16" t="n"/>
    </row>
    <row r="271">
      <c r="A271" s="16" t="n"/>
      <c r="B271" s="17" t="n"/>
      <c r="C271" s="10" t="n"/>
      <c r="D271" s="17" t="n"/>
      <c r="E271" s="17" t="n"/>
      <c r="F271" s="17" t="n"/>
      <c r="G271" s="24" t="n"/>
      <c r="H271" s="10" t="n"/>
      <c r="I271" s="17" t="n"/>
      <c r="J271" s="16" t="n"/>
    </row>
    <row r="272">
      <c r="A272" s="16" t="n"/>
      <c r="B272" s="17" t="n"/>
      <c r="C272" s="10" t="n"/>
      <c r="D272" s="17" t="n"/>
      <c r="E272" s="17" t="n"/>
      <c r="F272" s="17" t="n"/>
      <c r="G272" s="24" t="n"/>
      <c r="H272" s="10" t="n"/>
      <c r="I272" s="17" t="n"/>
      <c r="J272" s="16" t="n"/>
    </row>
    <row r="273">
      <c r="A273" s="16" t="n"/>
      <c r="B273" s="17" t="n"/>
      <c r="C273" s="10" t="n"/>
      <c r="D273" s="17" t="n"/>
      <c r="E273" s="17" t="n"/>
      <c r="F273" s="17" t="n"/>
      <c r="G273" s="24" t="n"/>
      <c r="H273" s="10" t="n"/>
      <c r="I273" s="17" t="n"/>
      <c r="J273" s="16" t="n"/>
    </row>
    <row r="274">
      <c r="A274" s="16" t="n"/>
      <c r="B274" s="17" t="n"/>
      <c r="C274" s="10" t="n"/>
      <c r="D274" s="17" t="n"/>
      <c r="E274" s="17" t="n"/>
      <c r="F274" s="17" t="n"/>
      <c r="G274" s="24" t="n"/>
      <c r="H274" s="10" t="n"/>
      <c r="I274" s="17" t="n"/>
      <c r="J274" s="16" t="n"/>
    </row>
    <row r="275">
      <c r="A275" s="16" t="n"/>
      <c r="B275" s="17" t="n"/>
      <c r="C275" s="10" t="n"/>
      <c r="D275" s="17" t="n"/>
      <c r="E275" s="17" t="n"/>
      <c r="F275" s="17" t="n"/>
      <c r="G275" s="24" t="n"/>
      <c r="H275" s="10" t="n"/>
      <c r="I275" s="17" t="n"/>
      <c r="J275" s="16" t="n"/>
    </row>
    <row r="276">
      <c r="A276" s="16" t="n"/>
      <c r="B276" s="17" t="n"/>
      <c r="C276" s="10" t="n"/>
      <c r="D276" s="17" t="n"/>
      <c r="E276" s="17" t="n"/>
      <c r="F276" s="17" t="n"/>
      <c r="G276" s="24" t="n"/>
      <c r="H276" s="10" t="n"/>
      <c r="I276" s="17" t="n"/>
      <c r="J276" s="16" t="n"/>
    </row>
    <row r="277">
      <c r="A277" s="16" t="n"/>
      <c r="B277" s="17" t="n"/>
      <c r="C277" s="10" t="n"/>
      <c r="D277" s="17" t="n"/>
      <c r="E277" s="17" t="n"/>
      <c r="F277" s="17" t="n"/>
      <c r="G277" s="24" t="n"/>
      <c r="H277" s="10" t="n"/>
      <c r="I277" s="17" t="n"/>
      <c r="J277" s="16" t="n"/>
    </row>
    <row r="278">
      <c r="A278" s="16" t="n"/>
      <c r="B278" s="17" t="n"/>
      <c r="C278" s="10" t="n"/>
      <c r="D278" s="17" t="n"/>
      <c r="E278" s="17" t="n"/>
      <c r="F278" s="17" t="n"/>
      <c r="G278" s="24" t="n"/>
      <c r="H278" s="10" t="n"/>
      <c r="I278" s="17" t="n"/>
      <c r="J278" s="16" t="n"/>
    </row>
    <row r="279">
      <c r="A279" s="16" t="n"/>
      <c r="B279" s="17" t="n"/>
      <c r="C279" s="10" t="n"/>
      <c r="D279" s="17" t="n"/>
      <c r="E279" s="17" t="n"/>
      <c r="F279" s="17" t="n"/>
      <c r="G279" s="24" t="n"/>
      <c r="H279" s="10" t="n"/>
      <c r="I279" s="17" t="n"/>
      <c r="J279" s="16" t="n"/>
    </row>
    <row r="280">
      <c r="A280" s="16" t="n"/>
      <c r="B280" s="17" t="n"/>
      <c r="C280" s="10" t="n"/>
      <c r="D280" s="17" t="n"/>
      <c r="E280" s="17" t="n"/>
      <c r="F280" s="17" t="n"/>
      <c r="G280" s="24" t="n"/>
      <c r="H280" s="10" t="n"/>
      <c r="I280" s="17" t="n"/>
      <c r="J280" s="16" t="n"/>
    </row>
    <row r="281">
      <c r="A281" s="16" t="n"/>
      <c r="B281" s="17" t="n"/>
      <c r="C281" s="10" t="n"/>
      <c r="D281" s="17" t="n"/>
      <c r="E281" s="17" t="n"/>
      <c r="F281" s="17" t="n"/>
      <c r="G281" s="24" t="n"/>
      <c r="H281" s="10" t="n"/>
      <c r="I281" s="17" t="n"/>
      <c r="J281" s="16" t="n"/>
    </row>
    <row r="282">
      <c r="A282" s="16" t="n"/>
      <c r="B282" s="17" t="n"/>
      <c r="C282" s="10" t="n"/>
      <c r="D282" s="17" t="n"/>
      <c r="E282" s="17" t="n"/>
      <c r="F282" s="17" t="n"/>
      <c r="G282" s="24" t="n"/>
      <c r="H282" s="10" t="n"/>
      <c r="I282" s="17" t="n"/>
      <c r="J282" s="16" t="n"/>
    </row>
    <row r="283">
      <c r="A283" s="16" t="n"/>
      <c r="B283" s="17" t="n"/>
      <c r="C283" s="10" t="n"/>
      <c r="D283" s="17" t="n"/>
      <c r="E283" s="17" t="n"/>
      <c r="F283" s="17" t="n"/>
      <c r="G283" s="24" t="n"/>
      <c r="H283" s="10" t="n"/>
      <c r="I283" s="17" t="n"/>
      <c r="J283" s="16" t="n"/>
    </row>
    <row r="284">
      <c r="A284" s="16" t="n"/>
      <c r="B284" s="17" t="n"/>
      <c r="C284" s="10" t="n"/>
      <c r="D284" s="17" t="n"/>
      <c r="E284" s="17" t="n"/>
      <c r="F284" s="17" t="n"/>
      <c r="G284" s="24" t="n"/>
      <c r="H284" s="10" t="n"/>
      <c r="I284" s="17" t="n"/>
      <c r="J284" s="16" t="n"/>
    </row>
    <row r="285">
      <c r="A285" s="16" t="n"/>
      <c r="B285" s="17" t="n"/>
      <c r="C285" s="10" t="n"/>
      <c r="D285" s="17" t="n"/>
      <c r="E285" s="17" t="n"/>
      <c r="F285" s="17" t="n"/>
      <c r="G285" s="24" t="n"/>
      <c r="H285" s="10" t="n"/>
      <c r="I285" s="17" t="n"/>
      <c r="J285" s="16" t="n"/>
    </row>
    <row r="286">
      <c r="A286" s="16" t="n"/>
      <c r="B286" s="17" t="n"/>
      <c r="C286" s="10" t="n"/>
      <c r="D286" s="17" t="n"/>
      <c r="E286" s="17" t="n"/>
      <c r="F286" s="17" t="n"/>
      <c r="G286" s="24" t="n"/>
      <c r="H286" s="10" t="n"/>
      <c r="I286" s="17" t="n"/>
      <c r="J286" s="16" t="n"/>
    </row>
    <row r="287">
      <c r="A287" s="16" t="n"/>
      <c r="B287" s="17" t="n"/>
      <c r="C287" s="10" t="n"/>
      <c r="D287" s="17" t="n"/>
      <c r="E287" s="17" t="n"/>
      <c r="F287" s="17" t="n"/>
      <c r="G287" s="24" t="n"/>
      <c r="H287" s="10" t="n"/>
      <c r="I287" s="17" t="n"/>
      <c r="J287" s="16" t="n"/>
    </row>
    <row r="288">
      <c r="A288" s="16" t="n"/>
      <c r="B288" s="17" t="n"/>
      <c r="C288" s="10" t="n"/>
      <c r="D288" s="17" t="n"/>
      <c r="E288" s="17" t="n"/>
      <c r="F288" s="17" t="n"/>
      <c r="G288" s="24" t="n"/>
      <c r="H288" s="10" t="n"/>
      <c r="I288" s="17" t="n"/>
      <c r="J288" s="16" t="n"/>
    </row>
    <row r="289">
      <c r="A289" s="16" t="n"/>
      <c r="B289" s="17" t="n"/>
      <c r="C289" s="10" t="n"/>
      <c r="D289" s="17" t="n"/>
      <c r="E289" s="17" t="n"/>
      <c r="F289" s="17" t="n"/>
      <c r="G289" s="24" t="n"/>
      <c r="H289" s="10" t="n"/>
      <c r="I289" s="17" t="n"/>
      <c r="J289" s="16" t="n"/>
    </row>
    <row r="290">
      <c r="A290" s="16" t="n"/>
      <c r="B290" s="17" t="n"/>
      <c r="C290" s="10" t="n"/>
      <c r="D290" s="17" t="n"/>
      <c r="E290" s="17" t="n"/>
      <c r="F290" s="17" t="n"/>
      <c r="G290" s="24" t="n"/>
      <c r="H290" s="10" t="n"/>
      <c r="I290" s="17" t="n"/>
      <c r="J290" s="16" t="n"/>
    </row>
    <row r="291">
      <c r="A291" s="16" t="n"/>
      <c r="B291" s="17" t="n"/>
      <c r="C291" s="10" t="n"/>
      <c r="D291" s="17" t="n"/>
      <c r="E291" s="17" t="n"/>
      <c r="F291" s="17" t="n"/>
      <c r="G291" s="24" t="n"/>
      <c r="H291" s="10" t="n"/>
      <c r="I291" s="17" t="n"/>
      <c r="J291" s="16" t="n"/>
    </row>
    <row r="292">
      <c r="A292" s="16" t="n"/>
      <c r="B292" s="17" t="n"/>
      <c r="C292" s="10" t="n"/>
      <c r="D292" s="17" t="n"/>
      <c r="E292" s="17" t="n"/>
      <c r="F292" s="17" t="n"/>
      <c r="G292" s="24" t="n"/>
      <c r="H292" s="10" t="n"/>
      <c r="I292" s="17" t="n"/>
      <c r="J292" s="16" t="n"/>
    </row>
    <row r="293">
      <c r="A293" s="16" t="n"/>
      <c r="B293" s="17" t="n"/>
      <c r="C293" s="10" t="n"/>
      <c r="D293" s="17" t="n"/>
      <c r="E293" s="17" t="n"/>
      <c r="F293" s="17" t="n"/>
      <c r="G293" s="24" t="n"/>
      <c r="H293" s="10" t="n"/>
      <c r="I293" s="17" t="n"/>
      <c r="J293" s="16" t="n"/>
    </row>
    <row r="294">
      <c r="A294" s="16" t="n"/>
      <c r="B294" s="17" t="n"/>
      <c r="C294" s="10" t="n"/>
      <c r="D294" s="17" t="n"/>
      <c r="E294" s="17" t="n"/>
      <c r="F294" s="17" t="n"/>
      <c r="G294" s="24" t="n"/>
      <c r="H294" s="10" t="n"/>
      <c r="I294" s="17" t="n"/>
      <c r="J294" s="16" t="n"/>
    </row>
    <row r="295">
      <c r="A295" s="16" t="n"/>
      <c r="B295" s="17" t="n"/>
      <c r="C295" s="10" t="n"/>
      <c r="D295" s="17" t="n"/>
      <c r="E295" s="17" t="n"/>
      <c r="F295" s="17" t="n"/>
      <c r="G295" s="24" t="n"/>
      <c r="H295" s="10" t="n"/>
      <c r="I295" s="17" t="n"/>
      <c r="J295" s="16" t="n"/>
    </row>
    <row r="296">
      <c r="A296" s="16" t="n"/>
      <c r="B296" s="17" t="n"/>
      <c r="C296" s="10" t="n"/>
      <c r="D296" s="17" t="n"/>
      <c r="E296" s="17" t="n"/>
      <c r="F296" s="17" t="n"/>
      <c r="G296" s="24" t="n"/>
      <c r="H296" s="10" t="n"/>
      <c r="I296" s="17" t="n"/>
      <c r="J296" s="16" t="n"/>
    </row>
    <row r="297">
      <c r="A297" s="16" t="n"/>
      <c r="B297" s="17" t="n"/>
      <c r="C297" s="10" t="n"/>
      <c r="D297" s="17" t="n"/>
      <c r="E297" s="17" t="n"/>
      <c r="F297" s="17" t="n"/>
      <c r="G297" s="24" t="n"/>
      <c r="H297" s="10" t="n"/>
      <c r="I297" s="17" t="n"/>
      <c r="J297" s="16" t="n"/>
    </row>
    <row r="298">
      <c r="A298" s="16" t="n"/>
      <c r="B298" s="17" t="n"/>
      <c r="C298" s="10" t="n"/>
      <c r="D298" s="17" t="n"/>
      <c r="E298" s="17" t="n"/>
      <c r="F298" s="17" t="n"/>
      <c r="G298" s="24" t="n"/>
      <c r="H298" s="10" t="n"/>
      <c r="I298" s="17" t="n"/>
      <c r="J298" s="16" t="n"/>
    </row>
    <row r="299">
      <c r="A299" s="16" t="n"/>
      <c r="B299" s="17" t="n"/>
      <c r="C299" s="10" t="n"/>
      <c r="D299" s="17" t="n"/>
      <c r="E299" s="17" t="n"/>
      <c r="F299" s="17" t="n"/>
      <c r="G299" s="24" t="n"/>
      <c r="H299" s="10" t="n"/>
      <c r="I299" s="17" t="n"/>
      <c r="J299" s="16" t="n"/>
    </row>
    <row r="300">
      <c r="A300" s="16" t="n"/>
      <c r="B300" s="17" t="n"/>
      <c r="C300" s="10" t="n"/>
      <c r="D300" s="17" t="n"/>
      <c r="E300" s="17" t="n"/>
      <c r="F300" s="17" t="n"/>
      <c r="G300" s="24" t="n"/>
      <c r="H300" s="10" t="n"/>
      <c r="I300" s="17" t="n"/>
      <c r="J300" s="16" t="n"/>
    </row>
    <row r="301">
      <c r="A301" s="16" t="n"/>
      <c r="B301" s="17" t="n"/>
      <c r="C301" s="10" t="n"/>
      <c r="D301" s="17" t="n"/>
      <c r="E301" s="17" t="n"/>
      <c r="F301" s="17" t="n"/>
      <c r="G301" s="24" t="n"/>
      <c r="H301" s="10" t="n"/>
      <c r="I301" s="17" t="n"/>
      <c r="J301" s="16" t="n"/>
    </row>
    <row r="302">
      <c r="A302" s="16" t="n"/>
      <c r="B302" s="17" t="n"/>
      <c r="C302" s="10" t="n"/>
      <c r="D302" s="17" t="n"/>
      <c r="E302" s="17" t="n"/>
      <c r="F302" s="17" t="n"/>
      <c r="G302" s="24" t="n"/>
      <c r="H302" s="10" t="n"/>
      <c r="I302" s="17" t="n"/>
      <c r="J302" s="16" t="n"/>
    </row>
    <row r="303">
      <c r="A303" s="16" t="n"/>
      <c r="B303" s="17" t="n"/>
      <c r="C303" s="10" t="n"/>
      <c r="D303" s="17" t="n"/>
      <c r="E303" s="17" t="n"/>
      <c r="F303" s="17" t="n"/>
      <c r="G303" s="24" t="n"/>
      <c r="H303" s="10" t="n"/>
      <c r="I303" s="17" t="n"/>
      <c r="J303" s="16" t="n"/>
    </row>
    <row r="304">
      <c r="A304" s="16" t="n"/>
      <c r="B304" s="17" t="n"/>
      <c r="C304" s="10" t="n"/>
      <c r="D304" s="17" t="n"/>
      <c r="E304" s="17" t="n"/>
      <c r="F304" s="17" t="n"/>
      <c r="G304" s="24" t="n"/>
      <c r="H304" s="10" t="n"/>
      <c r="I304" s="17" t="n"/>
      <c r="J304" s="16" t="n"/>
    </row>
    <row r="305">
      <c r="A305" s="16" t="n"/>
      <c r="B305" s="17" t="n"/>
      <c r="C305" s="10" t="n"/>
      <c r="D305" s="17" t="n"/>
      <c r="E305" s="17" t="n"/>
      <c r="F305" s="17" t="n"/>
      <c r="G305" s="24" t="n"/>
      <c r="H305" s="10" t="n"/>
      <c r="I305" s="17" t="n"/>
      <c r="J305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J305"/>
  <mergeCells count="1">
    <mergeCell ref="A2:J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F7F7F"/>
    <outlinePr summaryBelow="1" summaryRight="1"/>
    <pageSetUpPr/>
  </sheetPr>
  <dimension ref="A1:I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70" customWidth="1" min="4" max="4"/>
    <col width="22" customWidth="1" min="5" max="5"/>
    <col width="16" customWidth="1" min="6" max="6"/>
    <col width="18" customWidth="1" min="7" max="7"/>
    <col width="18" customWidth="1" min="8" max="8"/>
    <col width="36" customWidth="1" min="9" max="9"/>
  </cols>
  <sheetData>
    <row r="1">
      <c r="A1" s="4" t="inlineStr">
        <is>
          <t>Final Reconciliation Findings</t>
        </is>
      </c>
    </row>
    <row r="2" ht="48" customHeight="1">
      <c r="A2" s="3" t="inlineStr">
        <is>
          <t>Latest reconciliation run. Critical findings block final approval and cannot be excepted. Accept exceptions in the application (documented reason, role-checked).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severity</t>
        </is>
      </c>
      <c r="B4" t="inlineStr">
        <is>
          <t>rule_code</t>
        </is>
      </c>
      <c r="C4" t="inlineStr">
        <is>
          <t>title</t>
        </is>
      </c>
      <c r="D4" t="inlineStr">
        <is>
          <t>detail</t>
        </is>
      </c>
      <c r="E4" t="inlineStr">
        <is>
          <t>entity</t>
        </is>
      </c>
      <c r="F4" t="inlineStr">
        <is>
          <t>financial_impact</t>
        </is>
      </c>
      <c r="G4" t="inlineStr">
        <is>
          <t>owner</t>
        </is>
      </c>
      <c r="H4" t="inlineStr">
        <is>
          <t>status</t>
        </is>
      </c>
      <c r="I4" t="inlineStr">
        <is>
          <t>exception_reason</t>
        </is>
      </c>
    </row>
    <row r="5" ht="34" customHeight="1">
      <c r="A5" s="15" t="inlineStr">
        <is>
          <t>Severity</t>
        </is>
      </c>
      <c r="B5" s="15" t="inlineStr">
        <is>
          <t>Rule</t>
        </is>
      </c>
      <c r="C5" s="15" t="inlineStr">
        <is>
          <t>Title</t>
        </is>
      </c>
      <c r="D5" s="15" t="inlineStr">
        <is>
          <t>Detail</t>
        </is>
      </c>
      <c r="E5" s="15" t="inlineStr">
        <is>
          <t>Entity</t>
        </is>
      </c>
      <c r="F5" s="15" t="inlineStr">
        <is>
          <t>Financial impact (SAR)</t>
        </is>
      </c>
      <c r="G5" s="15" t="inlineStr">
        <is>
          <t>Owner</t>
        </is>
      </c>
      <c r="H5" s="15" t="inlineStr">
        <is>
          <t>Status</t>
        </is>
      </c>
      <c r="I5" s="15" t="inlineStr">
        <is>
          <t>Exception reason</t>
        </is>
      </c>
    </row>
    <row r="6">
      <c r="A6" s="16" t="n"/>
      <c r="B6" s="16" t="n"/>
      <c r="C6" s="9" t="n"/>
      <c r="D6" s="9" t="n"/>
      <c r="E6" s="16" t="n"/>
      <c r="F6" s="19" t="n"/>
      <c r="G6" s="16" t="n"/>
      <c r="H6" s="16" t="n"/>
      <c r="I6" s="9" t="n"/>
    </row>
    <row r="7">
      <c r="A7" s="16" t="n"/>
      <c r="B7" s="16" t="n"/>
      <c r="C7" s="9" t="n"/>
      <c r="D7" s="9" t="n"/>
      <c r="E7" s="16" t="n"/>
      <c r="F7" s="19" t="n"/>
      <c r="G7" s="16" t="n"/>
      <c r="H7" s="16" t="n"/>
      <c r="I7" s="9" t="n"/>
    </row>
    <row r="8">
      <c r="A8" s="16" t="n"/>
      <c r="B8" s="16" t="n"/>
      <c r="C8" s="9" t="n"/>
      <c r="D8" s="9" t="n"/>
      <c r="E8" s="16" t="n"/>
      <c r="F8" s="19" t="n"/>
      <c r="G8" s="16" t="n"/>
      <c r="H8" s="16" t="n"/>
      <c r="I8" s="9" t="n"/>
    </row>
    <row r="9">
      <c r="A9" s="16" t="n"/>
      <c r="B9" s="16" t="n"/>
      <c r="C9" s="9" t="n"/>
      <c r="D9" s="9" t="n"/>
      <c r="E9" s="16" t="n"/>
      <c r="F9" s="19" t="n"/>
      <c r="G9" s="16" t="n"/>
      <c r="H9" s="16" t="n"/>
      <c r="I9" s="9" t="n"/>
    </row>
    <row r="10">
      <c r="A10" s="16" t="n"/>
      <c r="B10" s="16" t="n"/>
      <c r="C10" s="9" t="n"/>
      <c r="D10" s="9" t="n"/>
      <c r="E10" s="16" t="n"/>
      <c r="F10" s="19" t="n"/>
      <c r="G10" s="16" t="n"/>
      <c r="H10" s="16" t="n"/>
      <c r="I10" s="9" t="n"/>
    </row>
    <row r="11">
      <c r="A11" s="16" t="n"/>
      <c r="B11" s="16" t="n"/>
      <c r="C11" s="9" t="n"/>
      <c r="D11" s="9" t="n"/>
      <c r="E11" s="16" t="n"/>
      <c r="F11" s="19" t="n"/>
      <c r="G11" s="16" t="n"/>
      <c r="H11" s="16" t="n"/>
      <c r="I11" s="9" t="n"/>
    </row>
    <row r="12">
      <c r="A12" s="16" t="n"/>
      <c r="B12" s="16" t="n"/>
      <c r="C12" s="9" t="n"/>
      <c r="D12" s="9" t="n"/>
      <c r="E12" s="16" t="n"/>
      <c r="F12" s="19" t="n"/>
      <c r="G12" s="16" t="n"/>
      <c r="H12" s="16" t="n"/>
      <c r="I12" s="9" t="n"/>
    </row>
    <row r="13">
      <c r="A13" s="16" t="n"/>
      <c r="B13" s="16" t="n"/>
      <c r="C13" s="9" t="n"/>
      <c r="D13" s="9" t="n"/>
      <c r="E13" s="16" t="n"/>
      <c r="F13" s="19" t="n"/>
      <c r="G13" s="16" t="n"/>
      <c r="H13" s="16" t="n"/>
      <c r="I13" s="9" t="n"/>
    </row>
    <row r="14">
      <c r="A14" s="16" t="n"/>
      <c r="B14" s="16" t="n"/>
      <c r="C14" s="9" t="n"/>
      <c r="D14" s="9" t="n"/>
      <c r="E14" s="16" t="n"/>
      <c r="F14" s="19" t="n"/>
      <c r="G14" s="16" t="n"/>
      <c r="H14" s="16" t="n"/>
      <c r="I14" s="9" t="n"/>
    </row>
    <row r="15">
      <c r="A15" s="16" t="n"/>
      <c r="B15" s="16" t="n"/>
      <c r="C15" s="9" t="n"/>
      <c r="D15" s="9" t="n"/>
      <c r="E15" s="16" t="n"/>
      <c r="F15" s="19" t="n"/>
      <c r="G15" s="16" t="n"/>
      <c r="H15" s="16" t="n"/>
      <c r="I15" s="9" t="n"/>
    </row>
    <row r="16">
      <c r="A16" s="16" t="n"/>
      <c r="B16" s="16" t="n"/>
      <c r="C16" s="9" t="n"/>
      <c r="D16" s="9" t="n"/>
      <c r="E16" s="16" t="n"/>
      <c r="F16" s="19" t="n"/>
      <c r="G16" s="16" t="n"/>
      <c r="H16" s="16" t="n"/>
      <c r="I16" s="9" t="n"/>
    </row>
    <row r="17">
      <c r="A17" s="16" t="n"/>
      <c r="B17" s="16" t="n"/>
      <c r="C17" s="9" t="n"/>
      <c r="D17" s="9" t="n"/>
      <c r="E17" s="16" t="n"/>
      <c r="F17" s="19" t="n"/>
      <c r="G17" s="16" t="n"/>
      <c r="H17" s="16" t="n"/>
      <c r="I17" s="9" t="n"/>
    </row>
    <row r="18">
      <c r="A18" s="16" t="n"/>
      <c r="B18" s="16" t="n"/>
      <c r="C18" s="9" t="n"/>
      <c r="D18" s="9" t="n"/>
      <c r="E18" s="16" t="n"/>
      <c r="F18" s="19" t="n"/>
      <c r="G18" s="16" t="n"/>
      <c r="H18" s="16" t="n"/>
      <c r="I18" s="9" t="n"/>
    </row>
    <row r="19">
      <c r="A19" s="16" t="n"/>
      <c r="B19" s="16" t="n"/>
      <c r="C19" s="9" t="n"/>
      <c r="D19" s="9" t="n"/>
      <c r="E19" s="16" t="n"/>
      <c r="F19" s="19" t="n"/>
      <c r="G19" s="16" t="n"/>
      <c r="H19" s="16" t="n"/>
      <c r="I19" s="9" t="n"/>
    </row>
    <row r="20">
      <c r="A20" s="16" t="n"/>
      <c r="B20" s="16" t="n"/>
      <c r="C20" s="9" t="n"/>
      <c r="D20" s="9" t="n"/>
      <c r="E20" s="16" t="n"/>
      <c r="F20" s="19" t="n"/>
      <c r="G20" s="16" t="n"/>
      <c r="H20" s="16" t="n"/>
      <c r="I20" s="9" t="n"/>
    </row>
    <row r="21">
      <c r="A21" s="16" t="n"/>
      <c r="B21" s="16" t="n"/>
      <c r="C21" s="9" t="n"/>
      <c r="D21" s="9" t="n"/>
      <c r="E21" s="16" t="n"/>
      <c r="F21" s="19" t="n"/>
      <c r="G21" s="16" t="n"/>
      <c r="H21" s="16" t="n"/>
      <c r="I21" s="9" t="n"/>
    </row>
    <row r="22">
      <c r="A22" s="16" t="n"/>
      <c r="B22" s="16" t="n"/>
      <c r="C22" s="9" t="n"/>
      <c r="D22" s="9" t="n"/>
      <c r="E22" s="16" t="n"/>
      <c r="F22" s="19" t="n"/>
      <c r="G22" s="16" t="n"/>
      <c r="H22" s="16" t="n"/>
      <c r="I22" s="9" t="n"/>
    </row>
    <row r="23">
      <c r="A23" s="16" t="n"/>
      <c r="B23" s="16" t="n"/>
      <c r="C23" s="9" t="n"/>
      <c r="D23" s="9" t="n"/>
      <c r="E23" s="16" t="n"/>
      <c r="F23" s="19" t="n"/>
      <c r="G23" s="16" t="n"/>
      <c r="H23" s="16" t="n"/>
      <c r="I23" s="9" t="n"/>
    </row>
    <row r="24">
      <c r="A24" s="16" t="n"/>
      <c r="B24" s="16" t="n"/>
      <c r="C24" s="9" t="n"/>
      <c r="D24" s="9" t="n"/>
      <c r="E24" s="16" t="n"/>
      <c r="F24" s="19" t="n"/>
      <c r="G24" s="16" t="n"/>
      <c r="H24" s="16" t="n"/>
      <c r="I24" s="9" t="n"/>
    </row>
    <row r="25">
      <c r="A25" s="16" t="n"/>
      <c r="B25" s="16" t="n"/>
      <c r="C25" s="9" t="n"/>
      <c r="D25" s="9" t="n"/>
      <c r="E25" s="16" t="n"/>
      <c r="F25" s="19" t="n"/>
      <c r="G25" s="16" t="n"/>
      <c r="H25" s="16" t="n"/>
      <c r="I25" s="9" t="n"/>
    </row>
    <row r="26">
      <c r="A26" s="16" t="n"/>
      <c r="B26" s="16" t="n"/>
      <c r="C26" s="9" t="n"/>
      <c r="D26" s="9" t="n"/>
      <c r="E26" s="16" t="n"/>
      <c r="F26" s="19" t="n"/>
      <c r="G26" s="16" t="n"/>
      <c r="H26" s="16" t="n"/>
      <c r="I26" s="9" t="n"/>
    </row>
    <row r="27">
      <c r="A27" s="16" t="n"/>
      <c r="B27" s="16" t="n"/>
      <c r="C27" s="9" t="n"/>
      <c r="D27" s="9" t="n"/>
      <c r="E27" s="16" t="n"/>
      <c r="F27" s="19" t="n"/>
      <c r="G27" s="16" t="n"/>
      <c r="H27" s="16" t="n"/>
      <c r="I27" s="9" t="n"/>
    </row>
    <row r="28">
      <c r="A28" s="16" t="n"/>
      <c r="B28" s="16" t="n"/>
      <c r="C28" s="9" t="n"/>
      <c r="D28" s="9" t="n"/>
      <c r="E28" s="16" t="n"/>
      <c r="F28" s="19" t="n"/>
      <c r="G28" s="16" t="n"/>
      <c r="H28" s="16" t="n"/>
      <c r="I28" s="9" t="n"/>
    </row>
    <row r="29">
      <c r="A29" s="16" t="n"/>
      <c r="B29" s="16" t="n"/>
      <c r="C29" s="9" t="n"/>
      <c r="D29" s="9" t="n"/>
      <c r="E29" s="16" t="n"/>
      <c r="F29" s="19" t="n"/>
      <c r="G29" s="16" t="n"/>
      <c r="H29" s="16" t="n"/>
      <c r="I29" s="9" t="n"/>
    </row>
    <row r="30">
      <c r="A30" s="16" t="n"/>
      <c r="B30" s="16" t="n"/>
      <c r="C30" s="9" t="n"/>
      <c r="D30" s="9" t="n"/>
      <c r="E30" s="16" t="n"/>
      <c r="F30" s="19" t="n"/>
      <c r="G30" s="16" t="n"/>
      <c r="H30" s="16" t="n"/>
      <c r="I30" s="9" t="n"/>
    </row>
    <row r="31">
      <c r="A31" s="16" t="n"/>
      <c r="B31" s="16" t="n"/>
      <c r="C31" s="9" t="n"/>
      <c r="D31" s="9" t="n"/>
      <c r="E31" s="16" t="n"/>
      <c r="F31" s="19" t="n"/>
      <c r="G31" s="16" t="n"/>
      <c r="H31" s="16" t="n"/>
      <c r="I31" s="9" t="n"/>
    </row>
    <row r="32">
      <c r="A32" s="16" t="n"/>
      <c r="B32" s="16" t="n"/>
      <c r="C32" s="9" t="n"/>
      <c r="D32" s="9" t="n"/>
      <c r="E32" s="16" t="n"/>
      <c r="F32" s="19" t="n"/>
      <c r="G32" s="16" t="n"/>
      <c r="H32" s="16" t="n"/>
      <c r="I32" s="9" t="n"/>
    </row>
    <row r="33">
      <c r="A33" s="16" t="n"/>
      <c r="B33" s="16" t="n"/>
      <c r="C33" s="9" t="n"/>
      <c r="D33" s="9" t="n"/>
      <c r="E33" s="16" t="n"/>
      <c r="F33" s="19" t="n"/>
      <c r="G33" s="16" t="n"/>
      <c r="H33" s="16" t="n"/>
      <c r="I33" s="9" t="n"/>
    </row>
    <row r="34">
      <c r="A34" s="16" t="n"/>
      <c r="B34" s="16" t="n"/>
      <c r="C34" s="9" t="n"/>
      <c r="D34" s="9" t="n"/>
      <c r="E34" s="16" t="n"/>
      <c r="F34" s="19" t="n"/>
      <c r="G34" s="16" t="n"/>
      <c r="H34" s="16" t="n"/>
      <c r="I34" s="9" t="n"/>
    </row>
    <row r="35">
      <c r="A35" s="16" t="n"/>
      <c r="B35" s="16" t="n"/>
      <c r="C35" s="9" t="n"/>
      <c r="D35" s="9" t="n"/>
      <c r="E35" s="16" t="n"/>
      <c r="F35" s="19" t="n"/>
      <c r="G35" s="16" t="n"/>
      <c r="H35" s="16" t="n"/>
      <c r="I35" s="9" t="n"/>
    </row>
    <row r="36">
      <c r="A36" s="16" t="n"/>
      <c r="B36" s="16" t="n"/>
      <c r="C36" s="9" t="n"/>
      <c r="D36" s="9" t="n"/>
      <c r="E36" s="16" t="n"/>
      <c r="F36" s="19" t="n"/>
      <c r="G36" s="16" t="n"/>
      <c r="H36" s="16" t="n"/>
      <c r="I36" s="9" t="n"/>
    </row>
    <row r="37">
      <c r="A37" s="16" t="n"/>
      <c r="B37" s="16" t="n"/>
      <c r="C37" s="9" t="n"/>
      <c r="D37" s="9" t="n"/>
      <c r="E37" s="16" t="n"/>
      <c r="F37" s="19" t="n"/>
      <c r="G37" s="16" t="n"/>
      <c r="H37" s="16" t="n"/>
      <c r="I37" s="9" t="n"/>
    </row>
    <row r="38">
      <c r="A38" s="16" t="n"/>
      <c r="B38" s="16" t="n"/>
      <c r="C38" s="9" t="n"/>
      <c r="D38" s="9" t="n"/>
      <c r="E38" s="16" t="n"/>
      <c r="F38" s="19" t="n"/>
      <c r="G38" s="16" t="n"/>
      <c r="H38" s="16" t="n"/>
      <c r="I38" s="9" t="n"/>
    </row>
    <row r="39">
      <c r="A39" s="16" t="n"/>
      <c r="B39" s="16" t="n"/>
      <c r="C39" s="9" t="n"/>
      <c r="D39" s="9" t="n"/>
      <c r="E39" s="16" t="n"/>
      <c r="F39" s="19" t="n"/>
      <c r="G39" s="16" t="n"/>
      <c r="H39" s="16" t="n"/>
      <c r="I39" s="9" t="n"/>
    </row>
    <row r="40">
      <c r="A40" s="16" t="n"/>
      <c r="B40" s="16" t="n"/>
      <c r="C40" s="9" t="n"/>
      <c r="D40" s="9" t="n"/>
      <c r="E40" s="16" t="n"/>
      <c r="F40" s="19" t="n"/>
      <c r="G40" s="16" t="n"/>
      <c r="H40" s="16" t="n"/>
      <c r="I40" s="9" t="n"/>
    </row>
    <row r="41">
      <c r="A41" s="16" t="n"/>
      <c r="B41" s="16" t="n"/>
      <c r="C41" s="9" t="n"/>
      <c r="D41" s="9" t="n"/>
      <c r="E41" s="16" t="n"/>
      <c r="F41" s="19" t="n"/>
      <c r="G41" s="16" t="n"/>
      <c r="H41" s="16" t="n"/>
      <c r="I41" s="9" t="n"/>
    </row>
    <row r="42">
      <c r="A42" s="16" t="n"/>
      <c r="B42" s="16" t="n"/>
      <c r="C42" s="9" t="n"/>
      <c r="D42" s="9" t="n"/>
      <c r="E42" s="16" t="n"/>
      <c r="F42" s="19" t="n"/>
      <c r="G42" s="16" t="n"/>
      <c r="H42" s="16" t="n"/>
      <c r="I42" s="9" t="n"/>
    </row>
    <row r="43">
      <c r="A43" s="16" t="n"/>
      <c r="B43" s="16" t="n"/>
      <c r="C43" s="9" t="n"/>
      <c r="D43" s="9" t="n"/>
      <c r="E43" s="16" t="n"/>
      <c r="F43" s="19" t="n"/>
      <c r="G43" s="16" t="n"/>
      <c r="H43" s="16" t="n"/>
      <c r="I43" s="9" t="n"/>
    </row>
    <row r="44">
      <c r="A44" s="16" t="n"/>
      <c r="B44" s="16" t="n"/>
      <c r="C44" s="9" t="n"/>
      <c r="D44" s="9" t="n"/>
      <c r="E44" s="16" t="n"/>
      <c r="F44" s="19" t="n"/>
      <c r="G44" s="16" t="n"/>
      <c r="H44" s="16" t="n"/>
      <c r="I44" s="9" t="n"/>
    </row>
    <row r="45">
      <c r="A45" s="16" t="n"/>
      <c r="B45" s="16" t="n"/>
      <c r="C45" s="9" t="n"/>
      <c r="D45" s="9" t="n"/>
      <c r="E45" s="16" t="n"/>
      <c r="F45" s="19" t="n"/>
      <c r="G45" s="16" t="n"/>
      <c r="H45" s="16" t="n"/>
      <c r="I45" s="9" t="n"/>
    </row>
    <row r="46">
      <c r="A46" s="16" t="n"/>
      <c r="B46" s="16" t="n"/>
      <c r="C46" s="9" t="n"/>
      <c r="D46" s="9" t="n"/>
      <c r="E46" s="16" t="n"/>
      <c r="F46" s="19" t="n"/>
      <c r="G46" s="16" t="n"/>
      <c r="H46" s="16" t="n"/>
      <c r="I46" s="9" t="n"/>
    </row>
    <row r="47">
      <c r="A47" s="16" t="n"/>
      <c r="B47" s="16" t="n"/>
      <c r="C47" s="9" t="n"/>
      <c r="D47" s="9" t="n"/>
      <c r="E47" s="16" t="n"/>
      <c r="F47" s="19" t="n"/>
      <c r="G47" s="16" t="n"/>
      <c r="H47" s="16" t="n"/>
      <c r="I47" s="9" t="n"/>
    </row>
    <row r="48">
      <c r="A48" s="16" t="n"/>
      <c r="B48" s="16" t="n"/>
      <c r="C48" s="9" t="n"/>
      <c r="D48" s="9" t="n"/>
      <c r="E48" s="16" t="n"/>
      <c r="F48" s="19" t="n"/>
      <c r="G48" s="16" t="n"/>
      <c r="H48" s="16" t="n"/>
      <c r="I48" s="9" t="n"/>
    </row>
    <row r="49">
      <c r="A49" s="16" t="n"/>
      <c r="B49" s="16" t="n"/>
      <c r="C49" s="9" t="n"/>
      <c r="D49" s="9" t="n"/>
      <c r="E49" s="16" t="n"/>
      <c r="F49" s="19" t="n"/>
      <c r="G49" s="16" t="n"/>
      <c r="H49" s="16" t="n"/>
      <c r="I49" s="9" t="n"/>
    </row>
    <row r="50">
      <c r="A50" s="16" t="n"/>
      <c r="B50" s="16" t="n"/>
      <c r="C50" s="9" t="n"/>
      <c r="D50" s="9" t="n"/>
      <c r="E50" s="16" t="n"/>
      <c r="F50" s="19" t="n"/>
      <c r="G50" s="16" t="n"/>
      <c r="H50" s="16" t="n"/>
      <c r="I50" s="9" t="n"/>
    </row>
    <row r="51">
      <c r="A51" s="16" t="n"/>
      <c r="B51" s="16" t="n"/>
      <c r="C51" s="9" t="n"/>
      <c r="D51" s="9" t="n"/>
      <c r="E51" s="16" t="n"/>
      <c r="F51" s="19" t="n"/>
      <c r="G51" s="16" t="n"/>
      <c r="H51" s="16" t="n"/>
      <c r="I51" s="9" t="n"/>
    </row>
    <row r="52">
      <c r="A52" s="16" t="n"/>
      <c r="B52" s="16" t="n"/>
      <c r="C52" s="9" t="n"/>
      <c r="D52" s="9" t="n"/>
      <c r="E52" s="16" t="n"/>
      <c r="F52" s="19" t="n"/>
      <c r="G52" s="16" t="n"/>
      <c r="H52" s="16" t="n"/>
      <c r="I52" s="9" t="n"/>
    </row>
    <row r="53">
      <c r="A53" s="16" t="n"/>
      <c r="B53" s="16" t="n"/>
      <c r="C53" s="9" t="n"/>
      <c r="D53" s="9" t="n"/>
      <c r="E53" s="16" t="n"/>
      <c r="F53" s="19" t="n"/>
      <c r="G53" s="16" t="n"/>
      <c r="H53" s="16" t="n"/>
      <c r="I53" s="9" t="n"/>
    </row>
    <row r="54">
      <c r="A54" s="16" t="n"/>
      <c r="B54" s="16" t="n"/>
      <c r="C54" s="9" t="n"/>
      <c r="D54" s="9" t="n"/>
      <c r="E54" s="16" t="n"/>
      <c r="F54" s="19" t="n"/>
      <c r="G54" s="16" t="n"/>
      <c r="H54" s="16" t="n"/>
      <c r="I54" s="9" t="n"/>
    </row>
    <row r="55">
      <c r="A55" s="16" t="n"/>
      <c r="B55" s="16" t="n"/>
      <c r="C55" s="9" t="n"/>
      <c r="D55" s="9" t="n"/>
      <c r="E55" s="16" t="n"/>
      <c r="F55" s="19" t="n"/>
      <c r="G55" s="16" t="n"/>
      <c r="H55" s="16" t="n"/>
      <c r="I55" s="9" t="n"/>
    </row>
    <row r="56">
      <c r="A56" s="16" t="n"/>
      <c r="B56" s="16" t="n"/>
      <c r="C56" s="9" t="n"/>
      <c r="D56" s="9" t="n"/>
      <c r="E56" s="16" t="n"/>
      <c r="F56" s="19" t="n"/>
      <c r="G56" s="16" t="n"/>
      <c r="H56" s="16" t="n"/>
      <c r="I56" s="9" t="n"/>
    </row>
    <row r="57">
      <c r="A57" s="16" t="n"/>
      <c r="B57" s="16" t="n"/>
      <c r="C57" s="9" t="n"/>
      <c r="D57" s="9" t="n"/>
      <c r="E57" s="16" t="n"/>
      <c r="F57" s="19" t="n"/>
      <c r="G57" s="16" t="n"/>
      <c r="H57" s="16" t="n"/>
      <c r="I57" s="9" t="n"/>
    </row>
    <row r="58">
      <c r="A58" s="16" t="n"/>
      <c r="B58" s="16" t="n"/>
      <c r="C58" s="9" t="n"/>
      <c r="D58" s="9" t="n"/>
      <c r="E58" s="16" t="n"/>
      <c r="F58" s="19" t="n"/>
      <c r="G58" s="16" t="n"/>
      <c r="H58" s="16" t="n"/>
      <c r="I58" s="9" t="n"/>
    </row>
    <row r="59">
      <c r="A59" s="16" t="n"/>
      <c r="B59" s="16" t="n"/>
      <c r="C59" s="9" t="n"/>
      <c r="D59" s="9" t="n"/>
      <c r="E59" s="16" t="n"/>
      <c r="F59" s="19" t="n"/>
      <c r="G59" s="16" t="n"/>
      <c r="H59" s="16" t="n"/>
      <c r="I59" s="9" t="n"/>
    </row>
    <row r="60">
      <c r="A60" s="16" t="n"/>
      <c r="B60" s="16" t="n"/>
      <c r="C60" s="9" t="n"/>
      <c r="D60" s="9" t="n"/>
      <c r="E60" s="16" t="n"/>
      <c r="F60" s="19" t="n"/>
      <c r="G60" s="16" t="n"/>
      <c r="H60" s="16" t="n"/>
      <c r="I60" s="9" t="n"/>
    </row>
    <row r="61">
      <c r="A61" s="16" t="n"/>
      <c r="B61" s="16" t="n"/>
      <c r="C61" s="9" t="n"/>
      <c r="D61" s="9" t="n"/>
      <c r="E61" s="16" t="n"/>
      <c r="F61" s="19" t="n"/>
      <c r="G61" s="16" t="n"/>
      <c r="H61" s="16" t="n"/>
      <c r="I61" s="9" t="n"/>
    </row>
    <row r="62">
      <c r="A62" s="16" t="n"/>
      <c r="B62" s="16" t="n"/>
      <c r="C62" s="9" t="n"/>
      <c r="D62" s="9" t="n"/>
      <c r="E62" s="16" t="n"/>
      <c r="F62" s="19" t="n"/>
      <c r="G62" s="16" t="n"/>
      <c r="H62" s="16" t="n"/>
      <c r="I62" s="9" t="n"/>
    </row>
    <row r="63">
      <c r="A63" s="16" t="n"/>
      <c r="B63" s="16" t="n"/>
      <c r="C63" s="9" t="n"/>
      <c r="D63" s="9" t="n"/>
      <c r="E63" s="16" t="n"/>
      <c r="F63" s="19" t="n"/>
      <c r="G63" s="16" t="n"/>
      <c r="H63" s="16" t="n"/>
      <c r="I63" s="9" t="n"/>
    </row>
    <row r="64">
      <c r="A64" s="16" t="n"/>
      <c r="B64" s="16" t="n"/>
      <c r="C64" s="9" t="n"/>
      <c r="D64" s="9" t="n"/>
      <c r="E64" s="16" t="n"/>
      <c r="F64" s="19" t="n"/>
      <c r="G64" s="16" t="n"/>
      <c r="H64" s="16" t="n"/>
      <c r="I64" s="9" t="n"/>
    </row>
    <row r="65">
      <c r="A65" s="16" t="n"/>
      <c r="B65" s="16" t="n"/>
      <c r="C65" s="9" t="n"/>
      <c r="D65" s="9" t="n"/>
      <c r="E65" s="16" t="n"/>
      <c r="F65" s="19" t="n"/>
      <c r="G65" s="16" t="n"/>
      <c r="H65" s="16" t="n"/>
      <c r="I65" s="9" t="n"/>
    </row>
    <row r="66">
      <c r="A66" s="16" t="n"/>
      <c r="B66" s="16" t="n"/>
      <c r="C66" s="9" t="n"/>
      <c r="D66" s="9" t="n"/>
      <c r="E66" s="16" t="n"/>
      <c r="F66" s="19" t="n"/>
      <c r="G66" s="16" t="n"/>
      <c r="H66" s="16" t="n"/>
      <c r="I66" s="9" t="n"/>
    </row>
    <row r="67">
      <c r="A67" s="16" t="n"/>
      <c r="B67" s="16" t="n"/>
      <c r="C67" s="9" t="n"/>
      <c r="D67" s="9" t="n"/>
      <c r="E67" s="16" t="n"/>
      <c r="F67" s="19" t="n"/>
      <c r="G67" s="16" t="n"/>
      <c r="H67" s="16" t="n"/>
      <c r="I67" s="9" t="n"/>
    </row>
    <row r="68">
      <c r="A68" s="16" t="n"/>
      <c r="B68" s="16" t="n"/>
      <c r="C68" s="9" t="n"/>
      <c r="D68" s="9" t="n"/>
      <c r="E68" s="16" t="n"/>
      <c r="F68" s="19" t="n"/>
      <c r="G68" s="16" t="n"/>
      <c r="H68" s="16" t="n"/>
      <c r="I68" s="9" t="n"/>
    </row>
    <row r="69">
      <c r="A69" s="16" t="n"/>
      <c r="B69" s="16" t="n"/>
      <c r="C69" s="9" t="n"/>
      <c r="D69" s="9" t="n"/>
      <c r="E69" s="16" t="n"/>
      <c r="F69" s="19" t="n"/>
      <c r="G69" s="16" t="n"/>
      <c r="H69" s="16" t="n"/>
      <c r="I69" s="9" t="n"/>
    </row>
    <row r="70">
      <c r="A70" s="16" t="n"/>
      <c r="B70" s="16" t="n"/>
      <c r="C70" s="9" t="n"/>
      <c r="D70" s="9" t="n"/>
      <c r="E70" s="16" t="n"/>
      <c r="F70" s="19" t="n"/>
      <c r="G70" s="16" t="n"/>
      <c r="H70" s="16" t="n"/>
      <c r="I70" s="9" t="n"/>
    </row>
    <row r="71">
      <c r="A71" s="16" t="n"/>
      <c r="B71" s="16" t="n"/>
      <c r="C71" s="9" t="n"/>
      <c r="D71" s="9" t="n"/>
      <c r="E71" s="16" t="n"/>
      <c r="F71" s="19" t="n"/>
      <c r="G71" s="16" t="n"/>
      <c r="H71" s="16" t="n"/>
      <c r="I71" s="9" t="n"/>
    </row>
    <row r="72">
      <c r="A72" s="16" t="n"/>
      <c r="B72" s="16" t="n"/>
      <c r="C72" s="9" t="n"/>
      <c r="D72" s="9" t="n"/>
      <c r="E72" s="16" t="n"/>
      <c r="F72" s="19" t="n"/>
      <c r="G72" s="16" t="n"/>
      <c r="H72" s="16" t="n"/>
      <c r="I72" s="9" t="n"/>
    </row>
    <row r="73">
      <c r="A73" s="16" t="n"/>
      <c r="B73" s="16" t="n"/>
      <c r="C73" s="9" t="n"/>
      <c r="D73" s="9" t="n"/>
      <c r="E73" s="16" t="n"/>
      <c r="F73" s="19" t="n"/>
      <c r="G73" s="16" t="n"/>
      <c r="H73" s="16" t="n"/>
      <c r="I73" s="9" t="n"/>
    </row>
    <row r="74">
      <c r="A74" s="16" t="n"/>
      <c r="B74" s="16" t="n"/>
      <c r="C74" s="9" t="n"/>
      <c r="D74" s="9" t="n"/>
      <c r="E74" s="16" t="n"/>
      <c r="F74" s="19" t="n"/>
      <c r="G74" s="16" t="n"/>
      <c r="H74" s="16" t="n"/>
      <c r="I74" s="9" t="n"/>
    </row>
    <row r="75">
      <c r="A75" s="16" t="n"/>
      <c r="B75" s="16" t="n"/>
      <c r="C75" s="9" t="n"/>
      <c r="D75" s="9" t="n"/>
      <c r="E75" s="16" t="n"/>
      <c r="F75" s="19" t="n"/>
      <c r="G75" s="16" t="n"/>
      <c r="H75" s="16" t="n"/>
      <c r="I75" s="9" t="n"/>
    </row>
    <row r="76">
      <c r="A76" s="16" t="n"/>
      <c r="B76" s="16" t="n"/>
      <c r="C76" s="9" t="n"/>
      <c r="D76" s="9" t="n"/>
      <c r="E76" s="16" t="n"/>
      <c r="F76" s="19" t="n"/>
      <c r="G76" s="16" t="n"/>
      <c r="H76" s="16" t="n"/>
      <c r="I76" s="9" t="n"/>
    </row>
    <row r="77">
      <c r="A77" s="16" t="n"/>
      <c r="B77" s="16" t="n"/>
      <c r="C77" s="9" t="n"/>
      <c r="D77" s="9" t="n"/>
      <c r="E77" s="16" t="n"/>
      <c r="F77" s="19" t="n"/>
      <c r="G77" s="16" t="n"/>
      <c r="H77" s="16" t="n"/>
      <c r="I77" s="9" t="n"/>
    </row>
    <row r="78">
      <c r="A78" s="16" t="n"/>
      <c r="B78" s="16" t="n"/>
      <c r="C78" s="9" t="n"/>
      <c r="D78" s="9" t="n"/>
      <c r="E78" s="16" t="n"/>
      <c r="F78" s="19" t="n"/>
      <c r="G78" s="16" t="n"/>
      <c r="H78" s="16" t="n"/>
      <c r="I78" s="9" t="n"/>
    </row>
    <row r="79">
      <c r="A79" s="16" t="n"/>
      <c r="B79" s="16" t="n"/>
      <c r="C79" s="9" t="n"/>
      <c r="D79" s="9" t="n"/>
      <c r="E79" s="16" t="n"/>
      <c r="F79" s="19" t="n"/>
      <c r="G79" s="16" t="n"/>
      <c r="H79" s="16" t="n"/>
      <c r="I79" s="9" t="n"/>
    </row>
    <row r="80">
      <c r="A80" s="16" t="n"/>
      <c r="B80" s="16" t="n"/>
      <c r="C80" s="9" t="n"/>
      <c r="D80" s="9" t="n"/>
      <c r="E80" s="16" t="n"/>
      <c r="F80" s="19" t="n"/>
      <c r="G80" s="16" t="n"/>
      <c r="H80" s="16" t="n"/>
      <c r="I80" s="9" t="n"/>
    </row>
    <row r="81">
      <c r="A81" s="16" t="n"/>
      <c r="B81" s="16" t="n"/>
      <c r="C81" s="9" t="n"/>
      <c r="D81" s="9" t="n"/>
      <c r="E81" s="16" t="n"/>
      <c r="F81" s="19" t="n"/>
      <c r="G81" s="16" t="n"/>
      <c r="H81" s="16" t="n"/>
      <c r="I81" s="9" t="n"/>
    </row>
    <row r="82">
      <c r="A82" s="16" t="n"/>
      <c r="B82" s="16" t="n"/>
      <c r="C82" s="9" t="n"/>
      <c r="D82" s="9" t="n"/>
      <c r="E82" s="16" t="n"/>
      <c r="F82" s="19" t="n"/>
      <c r="G82" s="16" t="n"/>
      <c r="H82" s="16" t="n"/>
      <c r="I82" s="9" t="n"/>
    </row>
    <row r="83">
      <c r="A83" s="16" t="n"/>
      <c r="B83" s="16" t="n"/>
      <c r="C83" s="9" t="n"/>
      <c r="D83" s="9" t="n"/>
      <c r="E83" s="16" t="n"/>
      <c r="F83" s="19" t="n"/>
      <c r="G83" s="16" t="n"/>
      <c r="H83" s="16" t="n"/>
      <c r="I83" s="9" t="n"/>
    </row>
    <row r="84">
      <c r="A84" s="16" t="n"/>
      <c r="B84" s="16" t="n"/>
      <c r="C84" s="9" t="n"/>
      <c r="D84" s="9" t="n"/>
      <c r="E84" s="16" t="n"/>
      <c r="F84" s="19" t="n"/>
      <c r="G84" s="16" t="n"/>
      <c r="H84" s="16" t="n"/>
      <c r="I84" s="9" t="n"/>
    </row>
    <row r="85">
      <c r="A85" s="16" t="n"/>
      <c r="B85" s="16" t="n"/>
      <c r="C85" s="9" t="n"/>
      <c r="D85" s="9" t="n"/>
      <c r="E85" s="16" t="n"/>
      <c r="F85" s="19" t="n"/>
      <c r="G85" s="16" t="n"/>
      <c r="H85" s="16" t="n"/>
      <c r="I85" s="9" t="n"/>
    </row>
    <row r="86">
      <c r="A86" s="16" t="n"/>
      <c r="B86" s="16" t="n"/>
      <c r="C86" s="9" t="n"/>
      <c r="D86" s="9" t="n"/>
      <c r="E86" s="16" t="n"/>
      <c r="F86" s="19" t="n"/>
      <c r="G86" s="16" t="n"/>
      <c r="H86" s="16" t="n"/>
      <c r="I86" s="9" t="n"/>
    </row>
    <row r="87">
      <c r="A87" s="16" t="n"/>
      <c r="B87" s="16" t="n"/>
      <c r="C87" s="9" t="n"/>
      <c r="D87" s="9" t="n"/>
      <c r="E87" s="16" t="n"/>
      <c r="F87" s="19" t="n"/>
      <c r="G87" s="16" t="n"/>
      <c r="H87" s="16" t="n"/>
      <c r="I87" s="9" t="n"/>
    </row>
    <row r="88">
      <c r="A88" s="16" t="n"/>
      <c r="B88" s="16" t="n"/>
      <c r="C88" s="9" t="n"/>
      <c r="D88" s="9" t="n"/>
      <c r="E88" s="16" t="n"/>
      <c r="F88" s="19" t="n"/>
      <c r="G88" s="16" t="n"/>
      <c r="H88" s="16" t="n"/>
      <c r="I88" s="9" t="n"/>
    </row>
    <row r="89">
      <c r="A89" s="16" t="n"/>
      <c r="B89" s="16" t="n"/>
      <c r="C89" s="9" t="n"/>
      <c r="D89" s="9" t="n"/>
      <c r="E89" s="16" t="n"/>
      <c r="F89" s="19" t="n"/>
      <c r="G89" s="16" t="n"/>
      <c r="H89" s="16" t="n"/>
      <c r="I89" s="9" t="n"/>
    </row>
    <row r="90">
      <c r="A90" s="16" t="n"/>
      <c r="B90" s="16" t="n"/>
      <c r="C90" s="9" t="n"/>
      <c r="D90" s="9" t="n"/>
      <c r="E90" s="16" t="n"/>
      <c r="F90" s="19" t="n"/>
      <c r="G90" s="16" t="n"/>
      <c r="H90" s="16" t="n"/>
      <c r="I90" s="9" t="n"/>
    </row>
    <row r="91">
      <c r="A91" s="16" t="n"/>
      <c r="B91" s="16" t="n"/>
      <c r="C91" s="9" t="n"/>
      <c r="D91" s="9" t="n"/>
      <c r="E91" s="16" t="n"/>
      <c r="F91" s="19" t="n"/>
      <c r="G91" s="16" t="n"/>
      <c r="H91" s="16" t="n"/>
      <c r="I91" s="9" t="n"/>
    </row>
    <row r="92">
      <c r="A92" s="16" t="n"/>
      <c r="B92" s="16" t="n"/>
      <c r="C92" s="9" t="n"/>
      <c r="D92" s="9" t="n"/>
      <c r="E92" s="16" t="n"/>
      <c r="F92" s="19" t="n"/>
      <c r="G92" s="16" t="n"/>
      <c r="H92" s="16" t="n"/>
      <c r="I92" s="9" t="n"/>
    </row>
    <row r="93">
      <c r="A93" s="16" t="n"/>
      <c r="B93" s="16" t="n"/>
      <c r="C93" s="9" t="n"/>
      <c r="D93" s="9" t="n"/>
      <c r="E93" s="16" t="n"/>
      <c r="F93" s="19" t="n"/>
      <c r="G93" s="16" t="n"/>
      <c r="H93" s="16" t="n"/>
      <c r="I93" s="9" t="n"/>
    </row>
    <row r="94">
      <c r="A94" s="16" t="n"/>
      <c r="B94" s="16" t="n"/>
      <c r="C94" s="9" t="n"/>
      <c r="D94" s="9" t="n"/>
      <c r="E94" s="16" t="n"/>
      <c r="F94" s="19" t="n"/>
      <c r="G94" s="16" t="n"/>
      <c r="H94" s="16" t="n"/>
      <c r="I94" s="9" t="n"/>
    </row>
    <row r="95">
      <c r="A95" s="16" t="n"/>
      <c r="B95" s="16" t="n"/>
      <c r="C95" s="9" t="n"/>
      <c r="D95" s="9" t="n"/>
      <c r="E95" s="16" t="n"/>
      <c r="F95" s="19" t="n"/>
      <c r="G95" s="16" t="n"/>
      <c r="H95" s="16" t="n"/>
      <c r="I95" s="9" t="n"/>
    </row>
    <row r="96">
      <c r="A96" s="16" t="n"/>
      <c r="B96" s="16" t="n"/>
      <c r="C96" s="9" t="n"/>
      <c r="D96" s="9" t="n"/>
      <c r="E96" s="16" t="n"/>
      <c r="F96" s="19" t="n"/>
      <c r="G96" s="16" t="n"/>
      <c r="H96" s="16" t="n"/>
      <c r="I96" s="9" t="n"/>
    </row>
    <row r="97">
      <c r="A97" s="16" t="n"/>
      <c r="B97" s="16" t="n"/>
      <c r="C97" s="9" t="n"/>
      <c r="D97" s="9" t="n"/>
      <c r="E97" s="16" t="n"/>
      <c r="F97" s="19" t="n"/>
      <c r="G97" s="16" t="n"/>
      <c r="H97" s="16" t="n"/>
      <c r="I97" s="9" t="n"/>
    </row>
    <row r="98">
      <c r="A98" s="16" t="n"/>
      <c r="B98" s="16" t="n"/>
      <c r="C98" s="9" t="n"/>
      <c r="D98" s="9" t="n"/>
      <c r="E98" s="16" t="n"/>
      <c r="F98" s="19" t="n"/>
      <c r="G98" s="16" t="n"/>
      <c r="H98" s="16" t="n"/>
      <c r="I98" s="9" t="n"/>
    </row>
    <row r="99">
      <c r="A99" s="16" t="n"/>
      <c r="B99" s="16" t="n"/>
      <c r="C99" s="9" t="n"/>
      <c r="D99" s="9" t="n"/>
      <c r="E99" s="16" t="n"/>
      <c r="F99" s="19" t="n"/>
      <c r="G99" s="16" t="n"/>
      <c r="H99" s="16" t="n"/>
      <c r="I99" s="9" t="n"/>
    </row>
    <row r="100">
      <c r="A100" s="16" t="n"/>
      <c r="B100" s="16" t="n"/>
      <c r="C100" s="9" t="n"/>
      <c r="D100" s="9" t="n"/>
      <c r="E100" s="16" t="n"/>
      <c r="F100" s="19" t="n"/>
      <c r="G100" s="16" t="n"/>
      <c r="H100" s="16" t="n"/>
      <c r="I100" s="9" t="n"/>
    </row>
    <row r="101">
      <c r="A101" s="16" t="n"/>
      <c r="B101" s="16" t="n"/>
      <c r="C101" s="9" t="n"/>
      <c r="D101" s="9" t="n"/>
      <c r="E101" s="16" t="n"/>
      <c r="F101" s="19" t="n"/>
      <c r="G101" s="16" t="n"/>
      <c r="H101" s="16" t="n"/>
      <c r="I101" s="9" t="n"/>
    </row>
    <row r="102">
      <c r="A102" s="16" t="n"/>
      <c r="B102" s="16" t="n"/>
      <c r="C102" s="9" t="n"/>
      <c r="D102" s="9" t="n"/>
      <c r="E102" s="16" t="n"/>
      <c r="F102" s="19" t="n"/>
      <c r="G102" s="16" t="n"/>
      <c r="H102" s="16" t="n"/>
      <c r="I102" s="9" t="n"/>
    </row>
    <row r="103">
      <c r="A103" s="16" t="n"/>
      <c r="B103" s="16" t="n"/>
      <c r="C103" s="9" t="n"/>
      <c r="D103" s="9" t="n"/>
      <c r="E103" s="16" t="n"/>
      <c r="F103" s="19" t="n"/>
      <c r="G103" s="16" t="n"/>
      <c r="H103" s="16" t="n"/>
      <c r="I103" s="9" t="n"/>
    </row>
    <row r="104">
      <c r="A104" s="16" t="n"/>
      <c r="B104" s="16" t="n"/>
      <c r="C104" s="9" t="n"/>
      <c r="D104" s="9" t="n"/>
      <c r="E104" s="16" t="n"/>
      <c r="F104" s="19" t="n"/>
      <c r="G104" s="16" t="n"/>
      <c r="H104" s="16" t="n"/>
      <c r="I104" s="9" t="n"/>
    </row>
    <row r="105">
      <c r="A105" s="16" t="n"/>
      <c r="B105" s="16" t="n"/>
      <c r="C105" s="9" t="n"/>
      <c r="D105" s="9" t="n"/>
      <c r="E105" s="16" t="n"/>
      <c r="F105" s="19" t="n"/>
      <c r="G105" s="16" t="n"/>
      <c r="H105" s="16" t="n"/>
      <c r="I105" s="9" t="n"/>
    </row>
    <row r="106">
      <c r="A106" s="16" t="n"/>
      <c r="B106" s="16" t="n"/>
      <c r="C106" s="9" t="n"/>
      <c r="D106" s="9" t="n"/>
      <c r="E106" s="16" t="n"/>
      <c r="F106" s="19" t="n"/>
      <c r="G106" s="16" t="n"/>
      <c r="H106" s="16" t="n"/>
      <c r="I106" s="9" t="n"/>
    </row>
    <row r="107">
      <c r="A107" s="16" t="n"/>
      <c r="B107" s="16" t="n"/>
      <c r="C107" s="9" t="n"/>
      <c r="D107" s="9" t="n"/>
      <c r="E107" s="16" t="n"/>
      <c r="F107" s="19" t="n"/>
      <c r="G107" s="16" t="n"/>
      <c r="H107" s="16" t="n"/>
      <c r="I107" s="9" t="n"/>
    </row>
    <row r="108">
      <c r="A108" s="16" t="n"/>
      <c r="B108" s="16" t="n"/>
      <c r="C108" s="9" t="n"/>
      <c r="D108" s="9" t="n"/>
      <c r="E108" s="16" t="n"/>
      <c r="F108" s="19" t="n"/>
      <c r="G108" s="16" t="n"/>
      <c r="H108" s="16" t="n"/>
      <c r="I108" s="9" t="n"/>
    </row>
    <row r="109">
      <c r="A109" s="16" t="n"/>
      <c r="B109" s="16" t="n"/>
      <c r="C109" s="9" t="n"/>
      <c r="D109" s="9" t="n"/>
      <c r="E109" s="16" t="n"/>
      <c r="F109" s="19" t="n"/>
      <c r="G109" s="16" t="n"/>
      <c r="H109" s="16" t="n"/>
      <c r="I109" s="9" t="n"/>
    </row>
    <row r="110">
      <c r="A110" s="16" t="n"/>
      <c r="B110" s="16" t="n"/>
      <c r="C110" s="9" t="n"/>
      <c r="D110" s="9" t="n"/>
      <c r="E110" s="16" t="n"/>
      <c r="F110" s="19" t="n"/>
      <c r="G110" s="16" t="n"/>
      <c r="H110" s="16" t="n"/>
      <c r="I110" s="9" t="n"/>
    </row>
    <row r="111">
      <c r="A111" s="16" t="n"/>
      <c r="B111" s="16" t="n"/>
      <c r="C111" s="9" t="n"/>
      <c r="D111" s="9" t="n"/>
      <c r="E111" s="16" t="n"/>
      <c r="F111" s="19" t="n"/>
      <c r="G111" s="16" t="n"/>
      <c r="H111" s="16" t="n"/>
      <c r="I111" s="9" t="n"/>
    </row>
    <row r="112">
      <c r="A112" s="16" t="n"/>
      <c r="B112" s="16" t="n"/>
      <c r="C112" s="9" t="n"/>
      <c r="D112" s="9" t="n"/>
      <c r="E112" s="16" t="n"/>
      <c r="F112" s="19" t="n"/>
      <c r="G112" s="16" t="n"/>
      <c r="H112" s="16" t="n"/>
      <c r="I112" s="9" t="n"/>
    </row>
    <row r="113">
      <c r="A113" s="16" t="n"/>
      <c r="B113" s="16" t="n"/>
      <c r="C113" s="9" t="n"/>
      <c r="D113" s="9" t="n"/>
      <c r="E113" s="16" t="n"/>
      <c r="F113" s="19" t="n"/>
      <c r="G113" s="16" t="n"/>
      <c r="H113" s="16" t="n"/>
      <c r="I113" s="9" t="n"/>
    </row>
    <row r="114">
      <c r="A114" s="16" t="n"/>
      <c r="B114" s="16" t="n"/>
      <c r="C114" s="9" t="n"/>
      <c r="D114" s="9" t="n"/>
      <c r="E114" s="16" t="n"/>
      <c r="F114" s="19" t="n"/>
      <c r="G114" s="16" t="n"/>
      <c r="H114" s="16" t="n"/>
      <c r="I114" s="9" t="n"/>
    </row>
    <row r="115">
      <c r="A115" s="16" t="n"/>
      <c r="B115" s="16" t="n"/>
      <c r="C115" s="9" t="n"/>
      <c r="D115" s="9" t="n"/>
      <c r="E115" s="16" t="n"/>
      <c r="F115" s="19" t="n"/>
      <c r="G115" s="16" t="n"/>
      <c r="H115" s="16" t="n"/>
      <c r="I115" s="9" t="n"/>
    </row>
    <row r="116">
      <c r="A116" s="16" t="n"/>
      <c r="B116" s="16" t="n"/>
      <c r="C116" s="9" t="n"/>
      <c r="D116" s="9" t="n"/>
      <c r="E116" s="16" t="n"/>
      <c r="F116" s="19" t="n"/>
      <c r="G116" s="16" t="n"/>
      <c r="H116" s="16" t="n"/>
      <c r="I116" s="9" t="n"/>
    </row>
    <row r="117">
      <c r="A117" s="16" t="n"/>
      <c r="B117" s="16" t="n"/>
      <c r="C117" s="9" t="n"/>
      <c r="D117" s="9" t="n"/>
      <c r="E117" s="16" t="n"/>
      <c r="F117" s="19" t="n"/>
      <c r="G117" s="16" t="n"/>
      <c r="H117" s="16" t="n"/>
      <c r="I117" s="9" t="n"/>
    </row>
    <row r="118">
      <c r="A118" s="16" t="n"/>
      <c r="B118" s="16" t="n"/>
      <c r="C118" s="9" t="n"/>
      <c r="D118" s="9" t="n"/>
      <c r="E118" s="16" t="n"/>
      <c r="F118" s="19" t="n"/>
      <c r="G118" s="16" t="n"/>
      <c r="H118" s="16" t="n"/>
      <c r="I118" s="9" t="n"/>
    </row>
    <row r="119">
      <c r="A119" s="16" t="n"/>
      <c r="B119" s="16" t="n"/>
      <c r="C119" s="9" t="n"/>
      <c r="D119" s="9" t="n"/>
      <c r="E119" s="16" t="n"/>
      <c r="F119" s="19" t="n"/>
      <c r="G119" s="16" t="n"/>
      <c r="H119" s="16" t="n"/>
      <c r="I119" s="9" t="n"/>
    </row>
    <row r="120">
      <c r="A120" s="16" t="n"/>
      <c r="B120" s="16" t="n"/>
      <c r="C120" s="9" t="n"/>
      <c r="D120" s="9" t="n"/>
      <c r="E120" s="16" t="n"/>
      <c r="F120" s="19" t="n"/>
      <c r="G120" s="16" t="n"/>
      <c r="H120" s="16" t="n"/>
      <c r="I120" s="9" t="n"/>
    </row>
    <row r="121">
      <c r="A121" s="16" t="n"/>
      <c r="B121" s="16" t="n"/>
      <c r="C121" s="9" t="n"/>
      <c r="D121" s="9" t="n"/>
      <c r="E121" s="16" t="n"/>
      <c r="F121" s="19" t="n"/>
      <c r="G121" s="16" t="n"/>
      <c r="H121" s="16" t="n"/>
      <c r="I121" s="9" t="n"/>
    </row>
    <row r="122">
      <c r="A122" s="16" t="n"/>
      <c r="B122" s="16" t="n"/>
      <c r="C122" s="9" t="n"/>
      <c r="D122" s="9" t="n"/>
      <c r="E122" s="16" t="n"/>
      <c r="F122" s="19" t="n"/>
      <c r="G122" s="16" t="n"/>
      <c r="H122" s="16" t="n"/>
      <c r="I122" s="9" t="n"/>
    </row>
    <row r="123">
      <c r="A123" s="16" t="n"/>
      <c r="B123" s="16" t="n"/>
      <c r="C123" s="9" t="n"/>
      <c r="D123" s="9" t="n"/>
      <c r="E123" s="16" t="n"/>
      <c r="F123" s="19" t="n"/>
      <c r="G123" s="16" t="n"/>
      <c r="H123" s="16" t="n"/>
      <c r="I123" s="9" t="n"/>
    </row>
    <row r="124">
      <c r="A124" s="16" t="n"/>
      <c r="B124" s="16" t="n"/>
      <c r="C124" s="9" t="n"/>
      <c r="D124" s="9" t="n"/>
      <c r="E124" s="16" t="n"/>
      <c r="F124" s="19" t="n"/>
      <c r="G124" s="16" t="n"/>
      <c r="H124" s="16" t="n"/>
      <c r="I124" s="9" t="n"/>
    </row>
    <row r="125">
      <c r="A125" s="16" t="n"/>
      <c r="B125" s="16" t="n"/>
      <c r="C125" s="9" t="n"/>
      <c r="D125" s="9" t="n"/>
      <c r="E125" s="16" t="n"/>
      <c r="F125" s="19" t="n"/>
      <c r="G125" s="16" t="n"/>
      <c r="H125" s="16" t="n"/>
      <c r="I125" s="9" t="n"/>
    </row>
    <row r="126">
      <c r="A126" s="16" t="n"/>
      <c r="B126" s="16" t="n"/>
      <c r="C126" s="9" t="n"/>
      <c r="D126" s="9" t="n"/>
      <c r="E126" s="16" t="n"/>
      <c r="F126" s="19" t="n"/>
      <c r="G126" s="16" t="n"/>
      <c r="H126" s="16" t="n"/>
      <c r="I126" s="9" t="n"/>
    </row>
    <row r="127">
      <c r="A127" s="16" t="n"/>
      <c r="B127" s="16" t="n"/>
      <c r="C127" s="9" t="n"/>
      <c r="D127" s="9" t="n"/>
      <c r="E127" s="16" t="n"/>
      <c r="F127" s="19" t="n"/>
      <c r="G127" s="16" t="n"/>
      <c r="H127" s="16" t="n"/>
      <c r="I127" s="9" t="n"/>
    </row>
    <row r="128">
      <c r="A128" s="16" t="n"/>
      <c r="B128" s="16" t="n"/>
      <c r="C128" s="9" t="n"/>
      <c r="D128" s="9" t="n"/>
      <c r="E128" s="16" t="n"/>
      <c r="F128" s="19" t="n"/>
      <c r="G128" s="16" t="n"/>
      <c r="H128" s="16" t="n"/>
      <c r="I128" s="9" t="n"/>
    </row>
    <row r="129">
      <c r="A129" s="16" t="n"/>
      <c r="B129" s="16" t="n"/>
      <c r="C129" s="9" t="n"/>
      <c r="D129" s="9" t="n"/>
      <c r="E129" s="16" t="n"/>
      <c r="F129" s="19" t="n"/>
      <c r="G129" s="16" t="n"/>
      <c r="H129" s="16" t="n"/>
      <c r="I129" s="9" t="n"/>
    </row>
    <row r="130">
      <c r="A130" s="16" t="n"/>
      <c r="B130" s="16" t="n"/>
      <c r="C130" s="9" t="n"/>
      <c r="D130" s="9" t="n"/>
      <c r="E130" s="16" t="n"/>
      <c r="F130" s="19" t="n"/>
      <c r="G130" s="16" t="n"/>
      <c r="H130" s="16" t="n"/>
      <c r="I130" s="9" t="n"/>
    </row>
    <row r="131">
      <c r="A131" s="16" t="n"/>
      <c r="B131" s="16" t="n"/>
      <c r="C131" s="9" t="n"/>
      <c r="D131" s="9" t="n"/>
      <c r="E131" s="16" t="n"/>
      <c r="F131" s="19" t="n"/>
      <c r="G131" s="16" t="n"/>
      <c r="H131" s="16" t="n"/>
      <c r="I131" s="9" t="n"/>
    </row>
    <row r="132">
      <c r="A132" s="16" t="n"/>
      <c r="B132" s="16" t="n"/>
      <c r="C132" s="9" t="n"/>
      <c r="D132" s="9" t="n"/>
      <c r="E132" s="16" t="n"/>
      <c r="F132" s="19" t="n"/>
      <c r="G132" s="16" t="n"/>
      <c r="H132" s="16" t="n"/>
      <c r="I132" s="9" t="n"/>
    </row>
    <row r="133">
      <c r="A133" s="16" t="n"/>
      <c r="B133" s="16" t="n"/>
      <c r="C133" s="9" t="n"/>
      <c r="D133" s="9" t="n"/>
      <c r="E133" s="16" t="n"/>
      <c r="F133" s="19" t="n"/>
      <c r="G133" s="16" t="n"/>
      <c r="H133" s="16" t="n"/>
      <c r="I133" s="9" t="n"/>
    </row>
    <row r="134">
      <c r="A134" s="16" t="n"/>
      <c r="B134" s="16" t="n"/>
      <c r="C134" s="9" t="n"/>
      <c r="D134" s="9" t="n"/>
      <c r="E134" s="16" t="n"/>
      <c r="F134" s="19" t="n"/>
      <c r="G134" s="16" t="n"/>
      <c r="H134" s="16" t="n"/>
      <c r="I134" s="9" t="n"/>
    </row>
    <row r="135">
      <c r="A135" s="16" t="n"/>
      <c r="B135" s="16" t="n"/>
      <c r="C135" s="9" t="n"/>
      <c r="D135" s="9" t="n"/>
      <c r="E135" s="16" t="n"/>
      <c r="F135" s="19" t="n"/>
      <c r="G135" s="16" t="n"/>
      <c r="H135" s="16" t="n"/>
      <c r="I135" s="9" t="n"/>
    </row>
    <row r="136">
      <c r="A136" s="16" t="n"/>
      <c r="B136" s="16" t="n"/>
      <c r="C136" s="9" t="n"/>
      <c r="D136" s="9" t="n"/>
      <c r="E136" s="16" t="n"/>
      <c r="F136" s="19" t="n"/>
      <c r="G136" s="16" t="n"/>
      <c r="H136" s="16" t="n"/>
      <c r="I136" s="9" t="n"/>
    </row>
    <row r="137">
      <c r="A137" s="16" t="n"/>
      <c r="B137" s="16" t="n"/>
      <c r="C137" s="9" t="n"/>
      <c r="D137" s="9" t="n"/>
      <c r="E137" s="16" t="n"/>
      <c r="F137" s="19" t="n"/>
      <c r="G137" s="16" t="n"/>
      <c r="H137" s="16" t="n"/>
      <c r="I137" s="9" t="n"/>
    </row>
    <row r="138">
      <c r="A138" s="16" t="n"/>
      <c r="B138" s="16" t="n"/>
      <c r="C138" s="9" t="n"/>
      <c r="D138" s="9" t="n"/>
      <c r="E138" s="16" t="n"/>
      <c r="F138" s="19" t="n"/>
      <c r="G138" s="16" t="n"/>
      <c r="H138" s="16" t="n"/>
      <c r="I138" s="9" t="n"/>
    </row>
    <row r="139">
      <c r="A139" s="16" t="n"/>
      <c r="B139" s="16" t="n"/>
      <c r="C139" s="9" t="n"/>
      <c r="D139" s="9" t="n"/>
      <c r="E139" s="16" t="n"/>
      <c r="F139" s="19" t="n"/>
      <c r="G139" s="16" t="n"/>
      <c r="H139" s="16" t="n"/>
      <c r="I139" s="9" t="n"/>
    </row>
    <row r="140">
      <c r="A140" s="16" t="n"/>
      <c r="B140" s="16" t="n"/>
      <c r="C140" s="9" t="n"/>
      <c r="D140" s="9" t="n"/>
      <c r="E140" s="16" t="n"/>
      <c r="F140" s="19" t="n"/>
      <c r="G140" s="16" t="n"/>
      <c r="H140" s="16" t="n"/>
      <c r="I140" s="9" t="n"/>
    </row>
    <row r="141">
      <c r="A141" s="16" t="n"/>
      <c r="B141" s="16" t="n"/>
      <c r="C141" s="9" t="n"/>
      <c r="D141" s="9" t="n"/>
      <c r="E141" s="16" t="n"/>
      <c r="F141" s="19" t="n"/>
      <c r="G141" s="16" t="n"/>
      <c r="H141" s="16" t="n"/>
      <c r="I141" s="9" t="n"/>
    </row>
    <row r="142">
      <c r="A142" s="16" t="n"/>
      <c r="B142" s="16" t="n"/>
      <c r="C142" s="9" t="n"/>
      <c r="D142" s="9" t="n"/>
      <c r="E142" s="16" t="n"/>
      <c r="F142" s="19" t="n"/>
      <c r="G142" s="16" t="n"/>
      <c r="H142" s="16" t="n"/>
      <c r="I142" s="9" t="n"/>
    </row>
    <row r="143">
      <c r="A143" s="16" t="n"/>
      <c r="B143" s="16" t="n"/>
      <c r="C143" s="9" t="n"/>
      <c r="D143" s="9" t="n"/>
      <c r="E143" s="16" t="n"/>
      <c r="F143" s="19" t="n"/>
      <c r="G143" s="16" t="n"/>
      <c r="H143" s="16" t="n"/>
      <c r="I143" s="9" t="n"/>
    </row>
    <row r="144">
      <c r="A144" s="16" t="n"/>
      <c r="B144" s="16" t="n"/>
      <c r="C144" s="9" t="n"/>
      <c r="D144" s="9" t="n"/>
      <c r="E144" s="16" t="n"/>
      <c r="F144" s="19" t="n"/>
      <c r="G144" s="16" t="n"/>
      <c r="H144" s="16" t="n"/>
      <c r="I144" s="9" t="n"/>
    </row>
    <row r="145">
      <c r="A145" s="16" t="n"/>
      <c r="B145" s="16" t="n"/>
      <c r="C145" s="9" t="n"/>
      <c r="D145" s="9" t="n"/>
      <c r="E145" s="16" t="n"/>
      <c r="F145" s="19" t="n"/>
      <c r="G145" s="16" t="n"/>
      <c r="H145" s="16" t="n"/>
      <c r="I145" s="9" t="n"/>
    </row>
    <row r="146">
      <c r="A146" s="16" t="n"/>
      <c r="B146" s="16" t="n"/>
      <c r="C146" s="9" t="n"/>
      <c r="D146" s="9" t="n"/>
      <c r="E146" s="16" t="n"/>
      <c r="F146" s="19" t="n"/>
      <c r="G146" s="16" t="n"/>
      <c r="H146" s="16" t="n"/>
      <c r="I146" s="9" t="n"/>
    </row>
    <row r="147">
      <c r="A147" s="16" t="n"/>
      <c r="B147" s="16" t="n"/>
      <c r="C147" s="9" t="n"/>
      <c r="D147" s="9" t="n"/>
      <c r="E147" s="16" t="n"/>
      <c r="F147" s="19" t="n"/>
      <c r="G147" s="16" t="n"/>
      <c r="H147" s="16" t="n"/>
      <c r="I147" s="9" t="n"/>
    </row>
    <row r="148">
      <c r="A148" s="16" t="n"/>
      <c r="B148" s="16" t="n"/>
      <c r="C148" s="9" t="n"/>
      <c r="D148" s="9" t="n"/>
      <c r="E148" s="16" t="n"/>
      <c r="F148" s="19" t="n"/>
      <c r="G148" s="16" t="n"/>
      <c r="H148" s="16" t="n"/>
      <c r="I148" s="9" t="n"/>
    </row>
    <row r="149">
      <c r="A149" s="16" t="n"/>
      <c r="B149" s="16" t="n"/>
      <c r="C149" s="9" t="n"/>
      <c r="D149" s="9" t="n"/>
      <c r="E149" s="16" t="n"/>
      <c r="F149" s="19" t="n"/>
      <c r="G149" s="16" t="n"/>
      <c r="H149" s="16" t="n"/>
      <c r="I149" s="9" t="n"/>
    </row>
    <row r="150">
      <c r="A150" s="16" t="n"/>
      <c r="B150" s="16" t="n"/>
      <c r="C150" s="9" t="n"/>
      <c r="D150" s="9" t="n"/>
      <c r="E150" s="16" t="n"/>
      <c r="F150" s="19" t="n"/>
      <c r="G150" s="16" t="n"/>
      <c r="H150" s="16" t="n"/>
      <c r="I150" s="9" t="n"/>
    </row>
    <row r="151">
      <c r="A151" s="16" t="n"/>
      <c r="B151" s="16" t="n"/>
      <c r="C151" s="9" t="n"/>
      <c r="D151" s="9" t="n"/>
      <c r="E151" s="16" t="n"/>
      <c r="F151" s="19" t="n"/>
      <c r="G151" s="16" t="n"/>
      <c r="H151" s="16" t="n"/>
      <c r="I151" s="9" t="n"/>
    </row>
    <row r="152">
      <c r="A152" s="16" t="n"/>
      <c r="B152" s="16" t="n"/>
      <c r="C152" s="9" t="n"/>
      <c r="D152" s="9" t="n"/>
      <c r="E152" s="16" t="n"/>
      <c r="F152" s="19" t="n"/>
      <c r="G152" s="16" t="n"/>
      <c r="H152" s="16" t="n"/>
      <c r="I152" s="9" t="n"/>
    </row>
    <row r="153">
      <c r="A153" s="16" t="n"/>
      <c r="B153" s="16" t="n"/>
      <c r="C153" s="9" t="n"/>
      <c r="D153" s="9" t="n"/>
      <c r="E153" s="16" t="n"/>
      <c r="F153" s="19" t="n"/>
      <c r="G153" s="16" t="n"/>
      <c r="H153" s="16" t="n"/>
      <c r="I153" s="9" t="n"/>
    </row>
    <row r="154">
      <c r="A154" s="16" t="n"/>
      <c r="B154" s="16" t="n"/>
      <c r="C154" s="9" t="n"/>
      <c r="D154" s="9" t="n"/>
      <c r="E154" s="16" t="n"/>
      <c r="F154" s="19" t="n"/>
      <c r="G154" s="16" t="n"/>
      <c r="H154" s="16" t="n"/>
      <c r="I154" s="9" t="n"/>
    </row>
    <row r="155">
      <c r="A155" s="16" t="n"/>
      <c r="B155" s="16" t="n"/>
      <c r="C155" s="9" t="n"/>
      <c r="D155" s="9" t="n"/>
      <c r="E155" s="16" t="n"/>
      <c r="F155" s="19" t="n"/>
      <c r="G155" s="16" t="n"/>
      <c r="H155" s="16" t="n"/>
      <c r="I155" s="9" t="n"/>
    </row>
    <row r="156">
      <c r="A156" s="16" t="n"/>
      <c r="B156" s="16" t="n"/>
      <c r="C156" s="9" t="n"/>
      <c r="D156" s="9" t="n"/>
      <c r="E156" s="16" t="n"/>
      <c r="F156" s="19" t="n"/>
      <c r="G156" s="16" t="n"/>
      <c r="H156" s="16" t="n"/>
      <c r="I156" s="9" t="n"/>
    </row>
    <row r="157">
      <c r="A157" s="16" t="n"/>
      <c r="B157" s="16" t="n"/>
      <c r="C157" s="9" t="n"/>
      <c r="D157" s="9" t="n"/>
      <c r="E157" s="16" t="n"/>
      <c r="F157" s="19" t="n"/>
      <c r="G157" s="16" t="n"/>
      <c r="H157" s="16" t="n"/>
      <c r="I157" s="9" t="n"/>
    </row>
    <row r="158">
      <c r="A158" s="16" t="n"/>
      <c r="B158" s="16" t="n"/>
      <c r="C158" s="9" t="n"/>
      <c r="D158" s="9" t="n"/>
      <c r="E158" s="16" t="n"/>
      <c r="F158" s="19" t="n"/>
      <c r="G158" s="16" t="n"/>
      <c r="H158" s="16" t="n"/>
      <c r="I158" s="9" t="n"/>
    </row>
    <row r="159">
      <c r="A159" s="16" t="n"/>
      <c r="B159" s="16" t="n"/>
      <c r="C159" s="9" t="n"/>
      <c r="D159" s="9" t="n"/>
      <c r="E159" s="16" t="n"/>
      <c r="F159" s="19" t="n"/>
      <c r="G159" s="16" t="n"/>
      <c r="H159" s="16" t="n"/>
      <c r="I159" s="9" t="n"/>
    </row>
    <row r="160">
      <c r="A160" s="16" t="n"/>
      <c r="B160" s="16" t="n"/>
      <c r="C160" s="9" t="n"/>
      <c r="D160" s="9" t="n"/>
      <c r="E160" s="16" t="n"/>
      <c r="F160" s="19" t="n"/>
      <c r="G160" s="16" t="n"/>
      <c r="H160" s="16" t="n"/>
      <c r="I160" s="9" t="n"/>
    </row>
    <row r="161">
      <c r="A161" s="16" t="n"/>
      <c r="B161" s="16" t="n"/>
      <c r="C161" s="9" t="n"/>
      <c r="D161" s="9" t="n"/>
      <c r="E161" s="16" t="n"/>
      <c r="F161" s="19" t="n"/>
      <c r="G161" s="16" t="n"/>
      <c r="H161" s="16" t="n"/>
      <c r="I161" s="9" t="n"/>
    </row>
    <row r="162">
      <c r="A162" s="16" t="n"/>
      <c r="B162" s="16" t="n"/>
      <c r="C162" s="9" t="n"/>
      <c r="D162" s="9" t="n"/>
      <c r="E162" s="16" t="n"/>
      <c r="F162" s="19" t="n"/>
      <c r="G162" s="16" t="n"/>
      <c r="H162" s="16" t="n"/>
      <c r="I162" s="9" t="n"/>
    </row>
    <row r="163">
      <c r="A163" s="16" t="n"/>
      <c r="B163" s="16" t="n"/>
      <c r="C163" s="9" t="n"/>
      <c r="D163" s="9" t="n"/>
      <c r="E163" s="16" t="n"/>
      <c r="F163" s="19" t="n"/>
      <c r="G163" s="16" t="n"/>
      <c r="H163" s="16" t="n"/>
      <c r="I163" s="9" t="n"/>
    </row>
    <row r="164">
      <c r="A164" s="16" t="n"/>
      <c r="B164" s="16" t="n"/>
      <c r="C164" s="9" t="n"/>
      <c r="D164" s="9" t="n"/>
      <c r="E164" s="16" t="n"/>
      <c r="F164" s="19" t="n"/>
      <c r="G164" s="16" t="n"/>
      <c r="H164" s="16" t="n"/>
      <c r="I164" s="9" t="n"/>
    </row>
    <row r="165">
      <c r="A165" s="16" t="n"/>
      <c r="B165" s="16" t="n"/>
      <c r="C165" s="9" t="n"/>
      <c r="D165" s="9" t="n"/>
      <c r="E165" s="16" t="n"/>
      <c r="F165" s="19" t="n"/>
      <c r="G165" s="16" t="n"/>
      <c r="H165" s="16" t="n"/>
      <c r="I165" s="9" t="n"/>
    </row>
    <row r="166">
      <c r="A166" s="16" t="n"/>
      <c r="B166" s="16" t="n"/>
      <c r="C166" s="9" t="n"/>
      <c r="D166" s="9" t="n"/>
      <c r="E166" s="16" t="n"/>
      <c r="F166" s="19" t="n"/>
      <c r="G166" s="16" t="n"/>
      <c r="H166" s="16" t="n"/>
      <c r="I166" s="9" t="n"/>
    </row>
    <row r="167">
      <c r="A167" s="16" t="n"/>
      <c r="B167" s="16" t="n"/>
      <c r="C167" s="9" t="n"/>
      <c r="D167" s="9" t="n"/>
      <c r="E167" s="16" t="n"/>
      <c r="F167" s="19" t="n"/>
      <c r="G167" s="16" t="n"/>
      <c r="H167" s="16" t="n"/>
      <c r="I167" s="9" t="n"/>
    </row>
    <row r="168">
      <c r="A168" s="16" t="n"/>
      <c r="B168" s="16" t="n"/>
      <c r="C168" s="9" t="n"/>
      <c r="D168" s="9" t="n"/>
      <c r="E168" s="16" t="n"/>
      <c r="F168" s="19" t="n"/>
      <c r="G168" s="16" t="n"/>
      <c r="H168" s="16" t="n"/>
      <c r="I168" s="9" t="n"/>
    </row>
    <row r="169">
      <c r="A169" s="16" t="n"/>
      <c r="B169" s="16" t="n"/>
      <c r="C169" s="9" t="n"/>
      <c r="D169" s="9" t="n"/>
      <c r="E169" s="16" t="n"/>
      <c r="F169" s="19" t="n"/>
      <c r="G169" s="16" t="n"/>
      <c r="H169" s="16" t="n"/>
      <c r="I169" s="9" t="n"/>
    </row>
    <row r="170">
      <c r="A170" s="16" t="n"/>
      <c r="B170" s="16" t="n"/>
      <c r="C170" s="9" t="n"/>
      <c r="D170" s="9" t="n"/>
      <c r="E170" s="16" t="n"/>
      <c r="F170" s="19" t="n"/>
      <c r="G170" s="16" t="n"/>
      <c r="H170" s="16" t="n"/>
      <c r="I170" s="9" t="n"/>
    </row>
    <row r="171">
      <c r="A171" s="16" t="n"/>
      <c r="B171" s="16" t="n"/>
      <c r="C171" s="9" t="n"/>
      <c r="D171" s="9" t="n"/>
      <c r="E171" s="16" t="n"/>
      <c r="F171" s="19" t="n"/>
      <c r="G171" s="16" t="n"/>
      <c r="H171" s="16" t="n"/>
      <c r="I171" s="9" t="n"/>
    </row>
    <row r="172">
      <c r="A172" s="16" t="n"/>
      <c r="B172" s="16" t="n"/>
      <c r="C172" s="9" t="n"/>
      <c r="D172" s="9" t="n"/>
      <c r="E172" s="16" t="n"/>
      <c r="F172" s="19" t="n"/>
      <c r="G172" s="16" t="n"/>
      <c r="H172" s="16" t="n"/>
      <c r="I172" s="9" t="n"/>
    </row>
    <row r="173">
      <c r="A173" s="16" t="n"/>
      <c r="B173" s="16" t="n"/>
      <c r="C173" s="9" t="n"/>
      <c r="D173" s="9" t="n"/>
      <c r="E173" s="16" t="n"/>
      <c r="F173" s="19" t="n"/>
      <c r="G173" s="16" t="n"/>
      <c r="H173" s="16" t="n"/>
      <c r="I173" s="9" t="n"/>
    </row>
    <row r="174">
      <c r="A174" s="16" t="n"/>
      <c r="B174" s="16" t="n"/>
      <c r="C174" s="9" t="n"/>
      <c r="D174" s="9" t="n"/>
      <c r="E174" s="16" t="n"/>
      <c r="F174" s="19" t="n"/>
      <c r="G174" s="16" t="n"/>
      <c r="H174" s="16" t="n"/>
      <c r="I174" s="9" t="n"/>
    </row>
    <row r="175">
      <c r="A175" s="16" t="n"/>
      <c r="B175" s="16" t="n"/>
      <c r="C175" s="9" t="n"/>
      <c r="D175" s="9" t="n"/>
      <c r="E175" s="16" t="n"/>
      <c r="F175" s="19" t="n"/>
      <c r="G175" s="16" t="n"/>
      <c r="H175" s="16" t="n"/>
      <c r="I175" s="9" t="n"/>
    </row>
    <row r="176">
      <c r="A176" s="16" t="n"/>
      <c r="B176" s="16" t="n"/>
      <c r="C176" s="9" t="n"/>
      <c r="D176" s="9" t="n"/>
      <c r="E176" s="16" t="n"/>
      <c r="F176" s="19" t="n"/>
      <c r="G176" s="16" t="n"/>
      <c r="H176" s="16" t="n"/>
      <c r="I176" s="9" t="n"/>
    </row>
    <row r="177">
      <c r="A177" s="16" t="n"/>
      <c r="B177" s="16" t="n"/>
      <c r="C177" s="9" t="n"/>
      <c r="D177" s="9" t="n"/>
      <c r="E177" s="16" t="n"/>
      <c r="F177" s="19" t="n"/>
      <c r="G177" s="16" t="n"/>
      <c r="H177" s="16" t="n"/>
      <c r="I177" s="9" t="n"/>
    </row>
    <row r="178">
      <c r="A178" s="16" t="n"/>
      <c r="B178" s="16" t="n"/>
      <c r="C178" s="9" t="n"/>
      <c r="D178" s="9" t="n"/>
      <c r="E178" s="16" t="n"/>
      <c r="F178" s="19" t="n"/>
      <c r="G178" s="16" t="n"/>
      <c r="H178" s="16" t="n"/>
      <c r="I178" s="9" t="n"/>
    </row>
    <row r="179">
      <c r="A179" s="16" t="n"/>
      <c r="B179" s="16" t="n"/>
      <c r="C179" s="9" t="n"/>
      <c r="D179" s="9" t="n"/>
      <c r="E179" s="16" t="n"/>
      <c r="F179" s="19" t="n"/>
      <c r="G179" s="16" t="n"/>
      <c r="H179" s="16" t="n"/>
      <c r="I179" s="9" t="n"/>
    </row>
    <row r="180">
      <c r="A180" s="16" t="n"/>
      <c r="B180" s="16" t="n"/>
      <c r="C180" s="9" t="n"/>
      <c r="D180" s="9" t="n"/>
      <c r="E180" s="16" t="n"/>
      <c r="F180" s="19" t="n"/>
      <c r="G180" s="16" t="n"/>
      <c r="H180" s="16" t="n"/>
      <c r="I180" s="9" t="n"/>
    </row>
    <row r="181">
      <c r="A181" s="16" t="n"/>
      <c r="B181" s="16" t="n"/>
      <c r="C181" s="9" t="n"/>
      <c r="D181" s="9" t="n"/>
      <c r="E181" s="16" t="n"/>
      <c r="F181" s="19" t="n"/>
      <c r="G181" s="16" t="n"/>
      <c r="H181" s="16" t="n"/>
      <c r="I181" s="9" t="n"/>
    </row>
    <row r="182">
      <c r="A182" s="16" t="n"/>
      <c r="B182" s="16" t="n"/>
      <c r="C182" s="9" t="n"/>
      <c r="D182" s="9" t="n"/>
      <c r="E182" s="16" t="n"/>
      <c r="F182" s="19" t="n"/>
      <c r="G182" s="16" t="n"/>
      <c r="H182" s="16" t="n"/>
      <c r="I182" s="9" t="n"/>
    </row>
    <row r="183">
      <c r="A183" s="16" t="n"/>
      <c r="B183" s="16" t="n"/>
      <c r="C183" s="9" t="n"/>
      <c r="D183" s="9" t="n"/>
      <c r="E183" s="16" t="n"/>
      <c r="F183" s="19" t="n"/>
      <c r="G183" s="16" t="n"/>
      <c r="H183" s="16" t="n"/>
      <c r="I183" s="9" t="n"/>
    </row>
    <row r="184">
      <c r="A184" s="16" t="n"/>
      <c r="B184" s="16" t="n"/>
      <c r="C184" s="9" t="n"/>
      <c r="D184" s="9" t="n"/>
      <c r="E184" s="16" t="n"/>
      <c r="F184" s="19" t="n"/>
      <c r="G184" s="16" t="n"/>
      <c r="H184" s="16" t="n"/>
      <c r="I184" s="9" t="n"/>
    </row>
    <row r="185">
      <c r="A185" s="16" t="n"/>
      <c r="B185" s="16" t="n"/>
      <c r="C185" s="9" t="n"/>
      <c r="D185" s="9" t="n"/>
      <c r="E185" s="16" t="n"/>
      <c r="F185" s="19" t="n"/>
      <c r="G185" s="16" t="n"/>
      <c r="H185" s="16" t="n"/>
      <c r="I185" s="9" t="n"/>
    </row>
    <row r="186">
      <c r="A186" s="16" t="n"/>
      <c r="B186" s="16" t="n"/>
      <c r="C186" s="9" t="n"/>
      <c r="D186" s="9" t="n"/>
      <c r="E186" s="16" t="n"/>
      <c r="F186" s="19" t="n"/>
      <c r="G186" s="16" t="n"/>
      <c r="H186" s="16" t="n"/>
      <c r="I186" s="9" t="n"/>
    </row>
    <row r="187">
      <c r="A187" s="16" t="n"/>
      <c r="B187" s="16" t="n"/>
      <c r="C187" s="9" t="n"/>
      <c r="D187" s="9" t="n"/>
      <c r="E187" s="16" t="n"/>
      <c r="F187" s="19" t="n"/>
      <c r="G187" s="16" t="n"/>
      <c r="H187" s="16" t="n"/>
      <c r="I187" s="9" t="n"/>
    </row>
    <row r="188">
      <c r="A188" s="16" t="n"/>
      <c r="B188" s="16" t="n"/>
      <c r="C188" s="9" t="n"/>
      <c r="D188" s="9" t="n"/>
      <c r="E188" s="16" t="n"/>
      <c r="F188" s="19" t="n"/>
      <c r="G188" s="16" t="n"/>
      <c r="H188" s="16" t="n"/>
      <c r="I188" s="9" t="n"/>
    </row>
    <row r="189">
      <c r="A189" s="16" t="n"/>
      <c r="B189" s="16" t="n"/>
      <c r="C189" s="9" t="n"/>
      <c r="D189" s="9" t="n"/>
      <c r="E189" s="16" t="n"/>
      <c r="F189" s="19" t="n"/>
      <c r="G189" s="16" t="n"/>
      <c r="H189" s="16" t="n"/>
      <c r="I189" s="9" t="n"/>
    </row>
    <row r="190">
      <c r="A190" s="16" t="n"/>
      <c r="B190" s="16" t="n"/>
      <c r="C190" s="9" t="n"/>
      <c r="D190" s="9" t="n"/>
      <c r="E190" s="16" t="n"/>
      <c r="F190" s="19" t="n"/>
      <c r="G190" s="16" t="n"/>
      <c r="H190" s="16" t="n"/>
      <c r="I190" s="9" t="n"/>
    </row>
    <row r="191">
      <c r="A191" s="16" t="n"/>
      <c r="B191" s="16" t="n"/>
      <c r="C191" s="9" t="n"/>
      <c r="D191" s="9" t="n"/>
      <c r="E191" s="16" t="n"/>
      <c r="F191" s="19" t="n"/>
      <c r="G191" s="16" t="n"/>
      <c r="H191" s="16" t="n"/>
      <c r="I191" s="9" t="n"/>
    </row>
    <row r="192">
      <c r="A192" s="16" t="n"/>
      <c r="B192" s="16" t="n"/>
      <c r="C192" s="9" t="n"/>
      <c r="D192" s="9" t="n"/>
      <c r="E192" s="16" t="n"/>
      <c r="F192" s="19" t="n"/>
      <c r="G192" s="16" t="n"/>
      <c r="H192" s="16" t="n"/>
      <c r="I192" s="9" t="n"/>
    </row>
    <row r="193">
      <c r="A193" s="16" t="n"/>
      <c r="B193" s="16" t="n"/>
      <c r="C193" s="9" t="n"/>
      <c r="D193" s="9" t="n"/>
      <c r="E193" s="16" t="n"/>
      <c r="F193" s="19" t="n"/>
      <c r="G193" s="16" t="n"/>
      <c r="H193" s="16" t="n"/>
      <c r="I193" s="9" t="n"/>
    </row>
    <row r="194">
      <c r="A194" s="16" t="n"/>
      <c r="B194" s="16" t="n"/>
      <c r="C194" s="9" t="n"/>
      <c r="D194" s="9" t="n"/>
      <c r="E194" s="16" t="n"/>
      <c r="F194" s="19" t="n"/>
      <c r="G194" s="16" t="n"/>
      <c r="H194" s="16" t="n"/>
      <c r="I194" s="9" t="n"/>
    </row>
    <row r="195">
      <c r="A195" s="16" t="n"/>
      <c r="B195" s="16" t="n"/>
      <c r="C195" s="9" t="n"/>
      <c r="D195" s="9" t="n"/>
      <c r="E195" s="16" t="n"/>
      <c r="F195" s="19" t="n"/>
      <c r="G195" s="16" t="n"/>
      <c r="H195" s="16" t="n"/>
      <c r="I195" s="9" t="n"/>
    </row>
    <row r="196">
      <c r="A196" s="16" t="n"/>
      <c r="B196" s="16" t="n"/>
      <c r="C196" s="9" t="n"/>
      <c r="D196" s="9" t="n"/>
      <c r="E196" s="16" t="n"/>
      <c r="F196" s="19" t="n"/>
      <c r="G196" s="16" t="n"/>
      <c r="H196" s="16" t="n"/>
      <c r="I196" s="9" t="n"/>
    </row>
    <row r="197">
      <c r="A197" s="16" t="n"/>
      <c r="B197" s="16" t="n"/>
      <c r="C197" s="9" t="n"/>
      <c r="D197" s="9" t="n"/>
      <c r="E197" s="16" t="n"/>
      <c r="F197" s="19" t="n"/>
      <c r="G197" s="16" t="n"/>
      <c r="H197" s="16" t="n"/>
      <c r="I197" s="9" t="n"/>
    </row>
    <row r="198">
      <c r="A198" s="16" t="n"/>
      <c r="B198" s="16" t="n"/>
      <c r="C198" s="9" t="n"/>
      <c r="D198" s="9" t="n"/>
      <c r="E198" s="16" t="n"/>
      <c r="F198" s="19" t="n"/>
      <c r="G198" s="16" t="n"/>
      <c r="H198" s="16" t="n"/>
      <c r="I198" s="9" t="n"/>
    </row>
    <row r="199">
      <c r="A199" s="16" t="n"/>
      <c r="B199" s="16" t="n"/>
      <c r="C199" s="9" t="n"/>
      <c r="D199" s="9" t="n"/>
      <c r="E199" s="16" t="n"/>
      <c r="F199" s="19" t="n"/>
      <c r="G199" s="16" t="n"/>
      <c r="H199" s="16" t="n"/>
      <c r="I199" s="9" t="n"/>
    </row>
    <row r="200">
      <c r="A200" s="16" t="n"/>
      <c r="B200" s="16" t="n"/>
      <c r="C200" s="9" t="n"/>
      <c r="D200" s="9" t="n"/>
      <c r="E200" s="16" t="n"/>
      <c r="F200" s="19" t="n"/>
      <c r="G200" s="16" t="n"/>
      <c r="H200" s="16" t="n"/>
      <c r="I200" s="9" t="n"/>
    </row>
    <row r="201">
      <c r="A201" s="16" t="n"/>
      <c r="B201" s="16" t="n"/>
      <c r="C201" s="9" t="n"/>
      <c r="D201" s="9" t="n"/>
      <c r="E201" s="16" t="n"/>
      <c r="F201" s="19" t="n"/>
      <c r="G201" s="16" t="n"/>
      <c r="H201" s="16" t="n"/>
      <c r="I201" s="9" t="n"/>
    </row>
    <row r="202">
      <c r="A202" s="16" t="n"/>
      <c r="B202" s="16" t="n"/>
      <c r="C202" s="9" t="n"/>
      <c r="D202" s="9" t="n"/>
      <c r="E202" s="16" t="n"/>
      <c r="F202" s="19" t="n"/>
      <c r="G202" s="16" t="n"/>
      <c r="H202" s="16" t="n"/>
      <c r="I202" s="9" t="n"/>
    </row>
    <row r="203">
      <c r="A203" s="16" t="n"/>
      <c r="B203" s="16" t="n"/>
      <c r="C203" s="9" t="n"/>
      <c r="D203" s="9" t="n"/>
      <c r="E203" s="16" t="n"/>
      <c r="F203" s="19" t="n"/>
      <c r="G203" s="16" t="n"/>
      <c r="H203" s="16" t="n"/>
      <c r="I203" s="9" t="n"/>
    </row>
    <row r="204">
      <c r="A204" s="16" t="n"/>
      <c r="B204" s="16" t="n"/>
      <c r="C204" s="9" t="n"/>
      <c r="D204" s="9" t="n"/>
      <c r="E204" s="16" t="n"/>
      <c r="F204" s="19" t="n"/>
      <c r="G204" s="16" t="n"/>
      <c r="H204" s="16" t="n"/>
      <c r="I204" s="9" t="n"/>
    </row>
    <row r="205">
      <c r="A205" s="16" t="n"/>
      <c r="B205" s="16" t="n"/>
      <c r="C205" s="9" t="n"/>
      <c r="D205" s="9" t="n"/>
      <c r="E205" s="16" t="n"/>
      <c r="F205" s="19" t="n"/>
      <c r="G205" s="16" t="n"/>
      <c r="H205" s="16" t="n"/>
      <c r="I205" s="9" t="n"/>
    </row>
    <row r="206">
      <c r="A206" s="16" t="n"/>
      <c r="B206" s="16" t="n"/>
      <c r="C206" s="9" t="n"/>
      <c r="D206" s="9" t="n"/>
      <c r="E206" s="16" t="n"/>
      <c r="F206" s="19" t="n"/>
      <c r="G206" s="16" t="n"/>
      <c r="H206" s="16" t="n"/>
      <c r="I206" s="9" t="n"/>
    </row>
    <row r="207">
      <c r="A207" s="16" t="n"/>
      <c r="B207" s="16" t="n"/>
      <c r="C207" s="9" t="n"/>
      <c r="D207" s="9" t="n"/>
      <c r="E207" s="16" t="n"/>
      <c r="F207" s="19" t="n"/>
      <c r="G207" s="16" t="n"/>
      <c r="H207" s="16" t="n"/>
      <c r="I207" s="9" t="n"/>
    </row>
    <row r="208">
      <c r="A208" s="16" t="n"/>
      <c r="B208" s="16" t="n"/>
      <c r="C208" s="9" t="n"/>
      <c r="D208" s="9" t="n"/>
      <c r="E208" s="16" t="n"/>
      <c r="F208" s="19" t="n"/>
      <c r="G208" s="16" t="n"/>
      <c r="H208" s="16" t="n"/>
      <c r="I208" s="9" t="n"/>
    </row>
    <row r="209">
      <c r="A209" s="16" t="n"/>
      <c r="B209" s="16" t="n"/>
      <c r="C209" s="9" t="n"/>
      <c r="D209" s="9" t="n"/>
      <c r="E209" s="16" t="n"/>
      <c r="F209" s="19" t="n"/>
      <c r="G209" s="16" t="n"/>
      <c r="H209" s="16" t="n"/>
      <c r="I209" s="9" t="n"/>
    </row>
    <row r="210">
      <c r="A210" s="16" t="n"/>
      <c r="B210" s="16" t="n"/>
      <c r="C210" s="9" t="n"/>
      <c r="D210" s="9" t="n"/>
      <c r="E210" s="16" t="n"/>
      <c r="F210" s="19" t="n"/>
      <c r="G210" s="16" t="n"/>
      <c r="H210" s="16" t="n"/>
      <c r="I210" s="9" t="n"/>
    </row>
    <row r="211">
      <c r="A211" s="16" t="n"/>
      <c r="B211" s="16" t="n"/>
      <c r="C211" s="9" t="n"/>
      <c r="D211" s="9" t="n"/>
      <c r="E211" s="16" t="n"/>
      <c r="F211" s="19" t="n"/>
      <c r="G211" s="16" t="n"/>
      <c r="H211" s="16" t="n"/>
      <c r="I211" s="9" t="n"/>
    </row>
    <row r="212">
      <c r="A212" s="16" t="n"/>
      <c r="B212" s="16" t="n"/>
      <c r="C212" s="9" t="n"/>
      <c r="D212" s="9" t="n"/>
      <c r="E212" s="16" t="n"/>
      <c r="F212" s="19" t="n"/>
      <c r="G212" s="16" t="n"/>
      <c r="H212" s="16" t="n"/>
      <c r="I212" s="9" t="n"/>
    </row>
    <row r="213">
      <c r="A213" s="16" t="n"/>
      <c r="B213" s="16" t="n"/>
      <c r="C213" s="9" t="n"/>
      <c r="D213" s="9" t="n"/>
      <c r="E213" s="16" t="n"/>
      <c r="F213" s="19" t="n"/>
      <c r="G213" s="16" t="n"/>
      <c r="H213" s="16" t="n"/>
      <c r="I213" s="9" t="n"/>
    </row>
    <row r="214">
      <c r="A214" s="16" t="n"/>
      <c r="B214" s="16" t="n"/>
      <c r="C214" s="9" t="n"/>
      <c r="D214" s="9" t="n"/>
      <c r="E214" s="16" t="n"/>
      <c r="F214" s="19" t="n"/>
      <c r="G214" s="16" t="n"/>
      <c r="H214" s="16" t="n"/>
      <c r="I214" s="9" t="n"/>
    </row>
    <row r="215">
      <c r="A215" s="16" t="n"/>
      <c r="B215" s="16" t="n"/>
      <c r="C215" s="9" t="n"/>
      <c r="D215" s="9" t="n"/>
      <c r="E215" s="16" t="n"/>
      <c r="F215" s="19" t="n"/>
      <c r="G215" s="16" t="n"/>
      <c r="H215" s="16" t="n"/>
      <c r="I215" s="9" t="n"/>
    </row>
    <row r="216">
      <c r="A216" s="16" t="n"/>
      <c r="B216" s="16" t="n"/>
      <c r="C216" s="9" t="n"/>
      <c r="D216" s="9" t="n"/>
      <c r="E216" s="16" t="n"/>
      <c r="F216" s="19" t="n"/>
      <c r="G216" s="16" t="n"/>
      <c r="H216" s="16" t="n"/>
      <c r="I216" s="9" t="n"/>
    </row>
    <row r="217">
      <c r="A217" s="16" t="n"/>
      <c r="B217" s="16" t="n"/>
      <c r="C217" s="9" t="n"/>
      <c r="D217" s="9" t="n"/>
      <c r="E217" s="16" t="n"/>
      <c r="F217" s="19" t="n"/>
      <c r="G217" s="16" t="n"/>
      <c r="H217" s="16" t="n"/>
      <c r="I217" s="9" t="n"/>
    </row>
    <row r="218">
      <c r="A218" s="16" t="n"/>
      <c r="B218" s="16" t="n"/>
      <c r="C218" s="9" t="n"/>
      <c r="D218" s="9" t="n"/>
      <c r="E218" s="16" t="n"/>
      <c r="F218" s="19" t="n"/>
      <c r="G218" s="16" t="n"/>
      <c r="H218" s="16" t="n"/>
      <c r="I218" s="9" t="n"/>
    </row>
    <row r="219">
      <c r="A219" s="16" t="n"/>
      <c r="B219" s="16" t="n"/>
      <c r="C219" s="9" t="n"/>
      <c r="D219" s="9" t="n"/>
      <c r="E219" s="16" t="n"/>
      <c r="F219" s="19" t="n"/>
      <c r="G219" s="16" t="n"/>
      <c r="H219" s="16" t="n"/>
      <c r="I219" s="9" t="n"/>
    </row>
    <row r="220">
      <c r="A220" s="16" t="n"/>
      <c r="B220" s="16" t="n"/>
      <c r="C220" s="9" t="n"/>
      <c r="D220" s="9" t="n"/>
      <c r="E220" s="16" t="n"/>
      <c r="F220" s="19" t="n"/>
      <c r="G220" s="16" t="n"/>
      <c r="H220" s="16" t="n"/>
      <c r="I220" s="9" t="n"/>
    </row>
    <row r="221">
      <c r="A221" s="16" t="n"/>
      <c r="B221" s="16" t="n"/>
      <c r="C221" s="9" t="n"/>
      <c r="D221" s="9" t="n"/>
      <c r="E221" s="16" t="n"/>
      <c r="F221" s="19" t="n"/>
      <c r="G221" s="16" t="n"/>
      <c r="H221" s="16" t="n"/>
      <c r="I221" s="9" t="n"/>
    </row>
    <row r="222">
      <c r="A222" s="16" t="n"/>
      <c r="B222" s="16" t="n"/>
      <c r="C222" s="9" t="n"/>
      <c r="D222" s="9" t="n"/>
      <c r="E222" s="16" t="n"/>
      <c r="F222" s="19" t="n"/>
      <c r="G222" s="16" t="n"/>
      <c r="H222" s="16" t="n"/>
      <c r="I222" s="9" t="n"/>
    </row>
    <row r="223">
      <c r="A223" s="16" t="n"/>
      <c r="B223" s="16" t="n"/>
      <c r="C223" s="9" t="n"/>
      <c r="D223" s="9" t="n"/>
      <c r="E223" s="16" t="n"/>
      <c r="F223" s="19" t="n"/>
      <c r="G223" s="16" t="n"/>
      <c r="H223" s="16" t="n"/>
      <c r="I223" s="9" t="n"/>
    </row>
    <row r="224">
      <c r="A224" s="16" t="n"/>
      <c r="B224" s="16" t="n"/>
      <c r="C224" s="9" t="n"/>
      <c r="D224" s="9" t="n"/>
      <c r="E224" s="16" t="n"/>
      <c r="F224" s="19" t="n"/>
      <c r="G224" s="16" t="n"/>
      <c r="H224" s="16" t="n"/>
      <c r="I224" s="9" t="n"/>
    </row>
    <row r="225">
      <c r="A225" s="16" t="n"/>
      <c r="B225" s="16" t="n"/>
      <c r="C225" s="9" t="n"/>
      <c r="D225" s="9" t="n"/>
      <c r="E225" s="16" t="n"/>
      <c r="F225" s="19" t="n"/>
      <c r="G225" s="16" t="n"/>
      <c r="H225" s="16" t="n"/>
      <c r="I225" s="9" t="n"/>
    </row>
    <row r="226">
      <c r="A226" s="16" t="n"/>
      <c r="B226" s="16" t="n"/>
      <c r="C226" s="9" t="n"/>
      <c r="D226" s="9" t="n"/>
      <c r="E226" s="16" t="n"/>
      <c r="F226" s="19" t="n"/>
      <c r="G226" s="16" t="n"/>
      <c r="H226" s="16" t="n"/>
      <c r="I226" s="9" t="n"/>
    </row>
    <row r="227">
      <c r="A227" s="16" t="n"/>
      <c r="B227" s="16" t="n"/>
      <c r="C227" s="9" t="n"/>
      <c r="D227" s="9" t="n"/>
      <c r="E227" s="16" t="n"/>
      <c r="F227" s="19" t="n"/>
      <c r="G227" s="16" t="n"/>
      <c r="H227" s="16" t="n"/>
      <c r="I227" s="9" t="n"/>
    </row>
    <row r="228">
      <c r="A228" s="16" t="n"/>
      <c r="B228" s="16" t="n"/>
      <c r="C228" s="9" t="n"/>
      <c r="D228" s="9" t="n"/>
      <c r="E228" s="16" t="n"/>
      <c r="F228" s="19" t="n"/>
      <c r="G228" s="16" t="n"/>
      <c r="H228" s="16" t="n"/>
      <c r="I228" s="9" t="n"/>
    </row>
    <row r="229">
      <c r="A229" s="16" t="n"/>
      <c r="B229" s="16" t="n"/>
      <c r="C229" s="9" t="n"/>
      <c r="D229" s="9" t="n"/>
      <c r="E229" s="16" t="n"/>
      <c r="F229" s="19" t="n"/>
      <c r="G229" s="16" t="n"/>
      <c r="H229" s="16" t="n"/>
      <c r="I229" s="9" t="n"/>
    </row>
    <row r="230">
      <c r="A230" s="16" t="n"/>
      <c r="B230" s="16" t="n"/>
      <c r="C230" s="9" t="n"/>
      <c r="D230" s="9" t="n"/>
      <c r="E230" s="16" t="n"/>
      <c r="F230" s="19" t="n"/>
      <c r="G230" s="16" t="n"/>
      <c r="H230" s="16" t="n"/>
      <c r="I230" s="9" t="n"/>
    </row>
    <row r="231">
      <c r="A231" s="16" t="n"/>
      <c r="B231" s="16" t="n"/>
      <c r="C231" s="9" t="n"/>
      <c r="D231" s="9" t="n"/>
      <c r="E231" s="16" t="n"/>
      <c r="F231" s="19" t="n"/>
      <c r="G231" s="16" t="n"/>
      <c r="H231" s="16" t="n"/>
      <c r="I231" s="9" t="n"/>
    </row>
    <row r="232">
      <c r="A232" s="16" t="n"/>
      <c r="B232" s="16" t="n"/>
      <c r="C232" s="9" t="n"/>
      <c r="D232" s="9" t="n"/>
      <c r="E232" s="16" t="n"/>
      <c r="F232" s="19" t="n"/>
      <c r="G232" s="16" t="n"/>
      <c r="H232" s="16" t="n"/>
      <c r="I232" s="9" t="n"/>
    </row>
    <row r="233">
      <c r="A233" s="16" t="n"/>
      <c r="B233" s="16" t="n"/>
      <c r="C233" s="9" t="n"/>
      <c r="D233" s="9" t="n"/>
      <c r="E233" s="16" t="n"/>
      <c r="F233" s="19" t="n"/>
      <c r="G233" s="16" t="n"/>
      <c r="H233" s="16" t="n"/>
      <c r="I233" s="9" t="n"/>
    </row>
    <row r="234">
      <c r="A234" s="16" t="n"/>
      <c r="B234" s="16" t="n"/>
      <c r="C234" s="9" t="n"/>
      <c r="D234" s="9" t="n"/>
      <c r="E234" s="16" t="n"/>
      <c r="F234" s="19" t="n"/>
      <c r="G234" s="16" t="n"/>
      <c r="H234" s="16" t="n"/>
      <c r="I234" s="9" t="n"/>
    </row>
    <row r="235">
      <c r="A235" s="16" t="n"/>
      <c r="B235" s="16" t="n"/>
      <c r="C235" s="9" t="n"/>
      <c r="D235" s="9" t="n"/>
      <c r="E235" s="16" t="n"/>
      <c r="F235" s="19" t="n"/>
      <c r="G235" s="16" t="n"/>
      <c r="H235" s="16" t="n"/>
      <c r="I235" s="9" t="n"/>
    </row>
    <row r="236">
      <c r="A236" s="16" t="n"/>
      <c r="B236" s="16" t="n"/>
      <c r="C236" s="9" t="n"/>
      <c r="D236" s="9" t="n"/>
      <c r="E236" s="16" t="n"/>
      <c r="F236" s="19" t="n"/>
      <c r="G236" s="16" t="n"/>
      <c r="H236" s="16" t="n"/>
      <c r="I236" s="9" t="n"/>
    </row>
    <row r="237">
      <c r="A237" s="16" t="n"/>
      <c r="B237" s="16" t="n"/>
      <c r="C237" s="9" t="n"/>
      <c r="D237" s="9" t="n"/>
      <c r="E237" s="16" t="n"/>
      <c r="F237" s="19" t="n"/>
      <c r="G237" s="16" t="n"/>
      <c r="H237" s="16" t="n"/>
      <c r="I237" s="9" t="n"/>
    </row>
    <row r="238">
      <c r="A238" s="16" t="n"/>
      <c r="B238" s="16" t="n"/>
      <c r="C238" s="9" t="n"/>
      <c r="D238" s="9" t="n"/>
      <c r="E238" s="16" t="n"/>
      <c r="F238" s="19" t="n"/>
      <c r="G238" s="16" t="n"/>
      <c r="H238" s="16" t="n"/>
      <c r="I238" s="9" t="n"/>
    </row>
    <row r="239">
      <c r="A239" s="16" t="n"/>
      <c r="B239" s="16" t="n"/>
      <c r="C239" s="9" t="n"/>
      <c r="D239" s="9" t="n"/>
      <c r="E239" s="16" t="n"/>
      <c r="F239" s="19" t="n"/>
      <c r="G239" s="16" t="n"/>
      <c r="H239" s="16" t="n"/>
      <c r="I239" s="9" t="n"/>
    </row>
    <row r="240">
      <c r="A240" s="16" t="n"/>
      <c r="B240" s="16" t="n"/>
      <c r="C240" s="9" t="n"/>
      <c r="D240" s="9" t="n"/>
      <c r="E240" s="16" t="n"/>
      <c r="F240" s="19" t="n"/>
      <c r="G240" s="16" t="n"/>
      <c r="H240" s="16" t="n"/>
      <c r="I240" s="9" t="n"/>
    </row>
    <row r="241">
      <c r="A241" s="16" t="n"/>
      <c r="B241" s="16" t="n"/>
      <c r="C241" s="9" t="n"/>
      <c r="D241" s="9" t="n"/>
      <c r="E241" s="16" t="n"/>
      <c r="F241" s="19" t="n"/>
      <c r="G241" s="16" t="n"/>
      <c r="H241" s="16" t="n"/>
      <c r="I241" s="9" t="n"/>
    </row>
    <row r="242">
      <c r="A242" s="16" t="n"/>
      <c r="B242" s="16" t="n"/>
      <c r="C242" s="9" t="n"/>
      <c r="D242" s="9" t="n"/>
      <c r="E242" s="16" t="n"/>
      <c r="F242" s="19" t="n"/>
      <c r="G242" s="16" t="n"/>
      <c r="H242" s="16" t="n"/>
      <c r="I242" s="9" t="n"/>
    </row>
    <row r="243">
      <c r="A243" s="16" t="n"/>
      <c r="B243" s="16" t="n"/>
      <c r="C243" s="9" t="n"/>
      <c r="D243" s="9" t="n"/>
      <c r="E243" s="16" t="n"/>
      <c r="F243" s="19" t="n"/>
      <c r="G243" s="16" t="n"/>
      <c r="H243" s="16" t="n"/>
      <c r="I243" s="9" t="n"/>
    </row>
    <row r="244">
      <c r="A244" s="16" t="n"/>
      <c r="B244" s="16" t="n"/>
      <c r="C244" s="9" t="n"/>
      <c r="D244" s="9" t="n"/>
      <c r="E244" s="16" t="n"/>
      <c r="F244" s="19" t="n"/>
      <c r="G244" s="16" t="n"/>
      <c r="H244" s="16" t="n"/>
      <c r="I244" s="9" t="n"/>
    </row>
    <row r="245">
      <c r="A245" s="16" t="n"/>
      <c r="B245" s="16" t="n"/>
      <c r="C245" s="9" t="n"/>
      <c r="D245" s="9" t="n"/>
      <c r="E245" s="16" t="n"/>
      <c r="F245" s="19" t="n"/>
      <c r="G245" s="16" t="n"/>
      <c r="H245" s="16" t="n"/>
      <c r="I245" s="9" t="n"/>
    </row>
    <row r="246">
      <c r="A246" s="16" t="n"/>
      <c r="B246" s="16" t="n"/>
      <c r="C246" s="9" t="n"/>
      <c r="D246" s="9" t="n"/>
      <c r="E246" s="16" t="n"/>
      <c r="F246" s="19" t="n"/>
      <c r="G246" s="16" t="n"/>
      <c r="H246" s="16" t="n"/>
      <c r="I246" s="9" t="n"/>
    </row>
    <row r="247">
      <c r="A247" s="16" t="n"/>
      <c r="B247" s="16" t="n"/>
      <c r="C247" s="9" t="n"/>
      <c r="D247" s="9" t="n"/>
      <c r="E247" s="16" t="n"/>
      <c r="F247" s="19" t="n"/>
      <c r="G247" s="16" t="n"/>
      <c r="H247" s="16" t="n"/>
      <c r="I247" s="9" t="n"/>
    </row>
    <row r="248">
      <c r="A248" s="16" t="n"/>
      <c r="B248" s="16" t="n"/>
      <c r="C248" s="9" t="n"/>
      <c r="D248" s="9" t="n"/>
      <c r="E248" s="16" t="n"/>
      <c r="F248" s="19" t="n"/>
      <c r="G248" s="16" t="n"/>
      <c r="H248" s="16" t="n"/>
      <c r="I248" s="9" t="n"/>
    </row>
    <row r="249">
      <c r="A249" s="16" t="n"/>
      <c r="B249" s="16" t="n"/>
      <c r="C249" s="9" t="n"/>
      <c r="D249" s="9" t="n"/>
      <c r="E249" s="16" t="n"/>
      <c r="F249" s="19" t="n"/>
      <c r="G249" s="16" t="n"/>
      <c r="H249" s="16" t="n"/>
      <c r="I249" s="9" t="n"/>
    </row>
    <row r="250">
      <c r="A250" s="16" t="n"/>
      <c r="B250" s="16" t="n"/>
      <c r="C250" s="9" t="n"/>
      <c r="D250" s="9" t="n"/>
      <c r="E250" s="16" t="n"/>
      <c r="F250" s="19" t="n"/>
      <c r="G250" s="16" t="n"/>
      <c r="H250" s="16" t="n"/>
      <c r="I250" s="9" t="n"/>
    </row>
    <row r="251">
      <c r="A251" s="16" t="n"/>
      <c r="B251" s="16" t="n"/>
      <c r="C251" s="9" t="n"/>
      <c r="D251" s="9" t="n"/>
      <c r="E251" s="16" t="n"/>
      <c r="F251" s="19" t="n"/>
      <c r="G251" s="16" t="n"/>
      <c r="H251" s="16" t="n"/>
      <c r="I251" s="9" t="n"/>
    </row>
    <row r="252">
      <c r="A252" s="16" t="n"/>
      <c r="B252" s="16" t="n"/>
      <c r="C252" s="9" t="n"/>
      <c r="D252" s="9" t="n"/>
      <c r="E252" s="16" t="n"/>
      <c r="F252" s="19" t="n"/>
      <c r="G252" s="16" t="n"/>
      <c r="H252" s="16" t="n"/>
      <c r="I252" s="9" t="n"/>
    </row>
    <row r="253">
      <c r="A253" s="16" t="n"/>
      <c r="B253" s="16" t="n"/>
      <c r="C253" s="9" t="n"/>
      <c r="D253" s="9" t="n"/>
      <c r="E253" s="16" t="n"/>
      <c r="F253" s="19" t="n"/>
      <c r="G253" s="16" t="n"/>
      <c r="H253" s="16" t="n"/>
      <c r="I253" s="9" t="n"/>
    </row>
    <row r="254">
      <c r="A254" s="16" t="n"/>
      <c r="B254" s="16" t="n"/>
      <c r="C254" s="9" t="n"/>
      <c r="D254" s="9" t="n"/>
      <c r="E254" s="16" t="n"/>
      <c r="F254" s="19" t="n"/>
      <c r="G254" s="16" t="n"/>
      <c r="H254" s="16" t="n"/>
      <c r="I254" s="9" t="n"/>
    </row>
    <row r="255">
      <c r="A255" s="16" t="n"/>
      <c r="B255" s="16" t="n"/>
      <c r="C255" s="9" t="n"/>
      <c r="D255" s="9" t="n"/>
      <c r="E255" s="16" t="n"/>
      <c r="F255" s="19" t="n"/>
      <c r="G255" s="16" t="n"/>
      <c r="H255" s="16" t="n"/>
      <c r="I255" s="9" t="n"/>
    </row>
    <row r="256">
      <c r="A256" s="16" t="n"/>
      <c r="B256" s="16" t="n"/>
      <c r="C256" s="9" t="n"/>
      <c r="D256" s="9" t="n"/>
      <c r="E256" s="16" t="n"/>
      <c r="F256" s="19" t="n"/>
      <c r="G256" s="16" t="n"/>
      <c r="H256" s="16" t="n"/>
      <c r="I256" s="9" t="n"/>
    </row>
    <row r="257">
      <c r="A257" s="16" t="n"/>
      <c r="B257" s="16" t="n"/>
      <c r="C257" s="9" t="n"/>
      <c r="D257" s="9" t="n"/>
      <c r="E257" s="16" t="n"/>
      <c r="F257" s="19" t="n"/>
      <c r="G257" s="16" t="n"/>
      <c r="H257" s="16" t="n"/>
      <c r="I257" s="9" t="n"/>
    </row>
    <row r="258">
      <c r="A258" s="16" t="n"/>
      <c r="B258" s="16" t="n"/>
      <c r="C258" s="9" t="n"/>
      <c r="D258" s="9" t="n"/>
      <c r="E258" s="16" t="n"/>
      <c r="F258" s="19" t="n"/>
      <c r="G258" s="16" t="n"/>
      <c r="H258" s="16" t="n"/>
      <c r="I258" s="9" t="n"/>
    </row>
    <row r="259">
      <c r="A259" s="16" t="n"/>
      <c r="B259" s="16" t="n"/>
      <c r="C259" s="9" t="n"/>
      <c r="D259" s="9" t="n"/>
      <c r="E259" s="16" t="n"/>
      <c r="F259" s="19" t="n"/>
      <c r="G259" s="16" t="n"/>
      <c r="H259" s="16" t="n"/>
      <c r="I259" s="9" t="n"/>
    </row>
    <row r="260">
      <c r="A260" s="16" t="n"/>
      <c r="B260" s="16" t="n"/>
      <c r="C260" s="9" t="n"/>
      <c r="D260" s="9" t="n"/>
      <c r="E260" s="16" t="n"/>
      <c r="F260" s="19" t="n"/>
      <c r="G260" s="16" t="n"/>
      <c r="H260" s="16" t="n"/>
      <c r="I260" s="9" t="n"/>
    </row>
    <row r="261">
      <c r="A261" s="16" t="n"/>
      <c r="B261" s="16" t="n"/>
      <c r="C261" s="9" t="n"/>
      <c r="D261" s="9" t="n"/>
      <c r="E261" s="16" t="n"/>
      <c r="F261" s="19" t="n"/>
      <c r="G261" s="16" t="n"/>
      <c r="H261" s="16" t="n"/>
      <c r="I261" s="9" t="n"/>
    </row>
    <row r="262">
      <c r="A262" s="16" t="n"/>
      <c r="B262" s="16" t="n"/>
      <c r="C262" s="9" t="n"/>
      <c r="D262" s="9" t="n"/>
      <c r="E262" s="16" t="n"/>
      <c r="F262" s="19" t="n"/>
      <c r="G262" s="16" t="n"/>
      <c r="H262" s="16" t="n"/>
      <c r="I262" s="9" t="n"/>
    </row>
    <row r="263">
      <c r="A263" s="16" t="n"/>
      <c r="B263" s="16" t="n"/>
      <c r="C263" s="9" t="n"/>
      <c r="D263" s="9" t="n"/>
      <c r="E263" s="16" t="n"/>
      <c r="F263" s="19" t="n"/>
      <c r="G263" s="16" t="n"/>
      <c r="H263" s="16" t="n"/>
      <c r="I263" s="9" t="n"/>
    </row>
    <row r="264">
      <c r="A264" s="16" t="n"/>
      <c r="B264" s="16" t="n"/>
      <c r="C264" s="9" t="n"/>
      <c r="D264" s="9" t="n"/>
      <c r="E264" s="16" t="n"/>
      <c r="F264" s="19" t="n"/>
      <c r="G264" s="16" t="n"/>
      <c r="H264" s="16" t="n"/>
      <c r="I264" s="9" t="n"/>
    </row>
    <row r="265">
      <c r="A265" s="16" t="n"/>
      <c r="B265" s="16" t="n"/>
      <c r="C265" s="9" t="n"/>
      <c r="D265" s="9" t="n"/>
      <c r="E265" s="16" t="n"/>
      <c r="F265" s="19" t="n"/>
      <c r="G265" s="16" t="n"/>
      <c r="H265" s="16" t="n"/>
      <c r="I265" s="9" t="n"/>
    </row>
    <row r="266">
      <c r="A266" s="16" t="n"/>
      <c r="B266" s="16" t="n"/>
      <c r="C266" s="9" t="n"/>
      <c r="D266" s="9" t="n"/>
      <c r="E266" s="16" t="n"/>
      <c r="F266" s="19" t="n"/>
      <c r="G266" s="16" t="n"/>
      <c r="H266" s="16" t="n"/>
      <c r="I266" s="9" t="n"/>
    </row>
    <row r="267">
      <c r="A267" s="16" t="n"/>
      <c r="B267" s="16" t="n"/>
      <c r="C267" s="9" t="n"/>
      <c r="D267" s="9" t="n"/>
      <c r="E267" s="16" t="n"/>
      <c r="F267" s="19" t="n"/>
      <c r="G267" s="16" t="n"/>
      <c r="H267" s="16" t="n"/>
      <c r="I267" s="9" t="n"/>
    </row>
    <row r="268">
      <c r="A268" s="16" t="n"/>
      <c r="B268" s="16" t="n"/>
      <c r="C268" s="9" t="n"/>
      <c r="D268" s="9" t="n"/>
      <c r="E268" s="16" t="n"/>
      <c r="F268" s="19" t="n"/>
      <c r="G268" s="16" t="n"/>
      <c r="H268" s="16" t="n"/>
      <c r="I268" s="9" t="n"/>
    </row>
    <row r="269">
      <c r="A269" s="16" t="n"/>
      <c r="B269" s="16" t="n"/>
      <c r="C269" s="9" t="n"/>
      <c r="D269" s="9" t="n"/>
      <c r="E269" s="16" t="n"/>
      <c r="F269" s="19" t="n"/>
      <c r="G269" s="16" t="n"/>
      <c r="H269" s="16" t="n"/>
      <c r="I269" s="9" t="n"/>
    </row>
    <row r="270">
      <c r="A270" s="16" t="n"/>
      <c r="B270" s="16" t="n"/>
      <c r="C270" s="9" t="n"/>
      <c r="D270" s="9" t="n"/>
      <c r="E270" s="16" t="n"/>
      <c r="F270" s="19" t="n"/>
      <c r="G270" s="16" t="n"/>
      <c r="H270" s="16" t="n"/>
      <c r="I270" s="9" t="n"/>
    </row>
    <row r="271">
      <c r="A271" s="16" t="n"/>
      <c r="B271" s="16" t="n"/>
      <c r="C271" s="9" t="n"/>
      <c r="D271" s="9" t="n"/>
      <c r="E271" s="16" t="n"/>
      <c r="F271" s="19" t="n"/>
      <c r="G271" s="16" t="n"/>
      <c r="H271" s="16" t="n"/>
      <c r="I271" s="9" t="n"/>
    </row>
    <row r="272">
      <c r="A272" s="16" t="n"/>
      <c r="B272" s="16" t="n"/>
      <c r="C272" s="9" t="n"/>
      <c r="D272" s="9" t="n"/>
      <c r="E272" s="16" t="n"/>
      <c r="F272" s="19" t="n"/>
      <c r="G272" s="16" t="n"/>
      <c r="H272" s="16" t="n"/>
      <c r="I272" s="9" t="n"/>
    </row>
    <row r="273">
      <c r="A273" s="16" t="n"/>
      <c r="B273" s="16" t="n"/>
      <c r="C273" s="9" t="n"/>
      <c r="D273" s="9" t="n"/>
      <c r="E273" s="16" t="n"/>
      <c r="F273" s="19" t="n"/>
      <c r="G273" s="16" t="n"/>
      <c r="H273" s="16" t="n"/>
      <c r="I273" s="9" t="n"/>
    </row>
    <row r="274">
      <c r="A274" s="16" t="n"/>
      <c r="B274" s="16" t="n"/>
      <c r="C274" s="9" t="n"/>
      <c r="D274" s="9" t="n"/>
      <c r="E274" s="16" t="n"/>
      <c r="F274" s="19" t="n"/>
      <c r="G274" s="16" t="n"/>
      <c r="H274" s="16" t="n"/>
      <c r="I274" s="9" t="n"/>
    </row>
    <row r="275">
      <c r="A275" s="16" t="n"/>
      <c r="B275" s="16" t="n"/>
      <c r="C275" s="9" t="n"/>
      <c r="D275" s="9" t="n"/>
      <c r="E275" s="16" t="n"/>
      <c r="F275" s="19" t="n"/>
      <c r="G275" s="16" t="n"/>
      <c r="H275" s="16" t="n"/>
      <c r="I275" s="9" t="n"/>
    </row>
    <row r="276">
      <c r="A276" s="16" t="n"/>
      <c r="B276" s="16" t="n"/>
      <c r="C276" s="9" t="n"/>
      <c r="D276" s="9" t="n"/>
      <c r="E276" s="16" t="n"/>
      <c r="F276" s="19" t="n"/>
      <c r="G276" s="16" t="n"/>
      <c r="H276" s="16" t="n"/>
      <c r="I276" s="9" t="n"/>
    </row>
    <row r="277">
      <c r="A277" s="16" t="n"/>
      <c r="B277" s="16" t="n"/>
      <c r="C277" s="9" t="n"/>
      <c r="D277" s="9" t="n"/>
      <c r="E277" s="16" t="n"/>
      <c r="F277" s="19" t="n"/>
      <c r="G277" s="16" t="n"/>
      <c r="H277" s="16" t="n"/>
      <c r="I277" s="9" t="n"/>
    </row>
    <row r="278">
      <c r="A278" s="16" t="n"/>
      <c r="B278" s="16" t="n"/>
      <c r="C278" s="9" t="n"/>
      <c r="D278" s="9" t="n"/>
      <c r="E278" s="16" t="n"/>
      <c r="F278" s="19" t="n"/>
      <c r="G278" s="16" t="n"/>
      <c r="H278" s="16" t="n"/>
      <c r="I278" s="9" t="n"/>
    </row>
    <row r="279">
      <c r="A279" s="16" t="n"/>
      <c r="B279" s="16" t="n"/>
      <c r="C279" s="9" t="n"/>
      <c r="D279" s="9" t="n"/>
      <c r="E279" s="16" t="n"/>
      <c r="F279" s="19" t="n"/>
      <c r="G279" s="16" t="n"/>
      <c r="H279" s="16" t="n"/>
      <c r="I279" s="9" t="n"/>
    </row>
    <row r="280">
      <c r="A280" s="16" t="n"/>
      <c r="B280" s="16" t="n"/>
      <c r="C280" s="9" t="n"/>
      <c r="D280" s="9" t="n"/>
      <c r="E280" s="16" t="n"/>
      <c r="F280" s="19" t="n"/>
      <c r="G280" s="16" t="n"/>
      <c r="H280" s="16" t="n"/>
      <c r="I280" s="9" t="n"/>
    </row>
    <row r="281">
      <c r="A281" s="16" t="n"/>
      <c r="B281" s="16" t="n"/>
      <c r="C281" s="9" t="n"/>
      <c r="D281" s="9" t="n"/>
      <c r="E281" s="16" t="n"/>
      <c r="F281" s="19" t="n"/>
      <c r="G281" s="16" t="n"/>
      <c r="H281" s="16" t="n"/>
      <c r="I281" s="9" t="n"/>
    </row>
    <row r="282">
      <c r="A282" s="16" t="n"/>
      <c r="B282" s="16" t="n"/>
      <c r="C282" s="9" t="n"/>
      <c r="D282" s="9" t="n"/>
      <c r="E282" s="16" t="n"/>
      <c r="F282" s="19" t="n"/>
      <c r="G282" s="16" t="n"/>
      <c r="H282" s="16" t="n"/>
      <c r="I282" s="9" t="n"/>
    </row>
    <row r="283">
      <c r="A283" s="16" t="n"/>
      <c r="B283" s="16" t="n"/>
      <c r="C283" s="9" t="n"/>
      <c r="D283" s="9" t="n"/>
      <c r="E283" s="16" t="n"/>
      <c r="F283" s="19" t="n"/>
      <c r="G283" s="16" t="n"/>
      <c r="H283" s="16" t="n"/>
      <c r="I283" s="9" t="n"/>
    </row>
    <row r="284">
      <c r="A284" s="16" t="n"/>
      <c r="B284" s="16" t="n"/>
      <c r="C284" s="9" t="n"/>
      <c r="D284" s="9" t="n"/>
      <c r="E284" s="16" t="n"/>
      <c r="F284" s="19" t="n"/>
      <c r="G284" s="16" t="n"/>
      <c r="H284" s="16" t="n"/>
      <c r="I284" s="9" t="n"/>
    </row>
    <row r="285">
      <c r="A285" s="16" t="n"/>
      <c r="B285" s="16" t="n"/>
      <c r="C285" s="9" t="n"/>
      <c r="D285" s="9" t="n"/>
      <c r="E285" s="16" t="n"/>
      <c r="F285" s="19" t="n"/>
      <c r="G285" s="16" t="n"/>
      <c r="H285" s="16" t="n"/>
      <c r="I285" s="9" t="n"/>
    </row>
    <row r="286">
      <c r="A286" s="16" t="n"/>
      <c r="B286" s="16" t="n"/>
      <c r="C286" s="9" t="n"/>
      <c r="D286" s="9" t="n"/>
      <c r="E286" s="16" t="n"/>
      <c r="F286" s="19" t="n"/>
      <c r="G286" s="16" t="n"/>
      <c r="H286" s="16" t="n"/>
      <c r="I286" s="9" t="n"/>
    </row>
    <row r="287">
      <c r="A287" s="16" t="n"/>
      <c r="B287" s="16" t="n"/>
      <c r="C287" s="9" t="n"/>
      <c r="D287" s="9" t="n"/>
      <c r="E287" s="16" t="n"/>
      <c r="F287" s="19" t="n"/>
      <c r="G287" s="16" t="n"/>
      <c r="H287" s="16" t="n"/>
      <c r="I287" s="9" t="n"/>
    </row>
    <row r="288">
      <c r="A288" s="16" t="n"/>
      <c r="B288" s="16" t="n"/>
      <c r="C288" s="9" t="n"/>
      <c r="D288" s="9" t="n"/>
      <c r="E288" s="16" t="n"/>
      <c r="F288" s="19" t="n"/>
      <c r="G288" s="16" t="n"/>
      <c r="H288" s="16" t="n"/>
      <c r="I288" s="9" t="n"/>
    </row>
    <row r="289">
      <c r="A289" s="16" t="n"/>
      <c r="B289" s="16" t="n"/>
      <c r="C289" s="9" t="n"/>
      <c r="D289" s="9" t="n"/>
      <c r="E289" s="16" t="n"/>
      <c r="F289" s="19" t="n"/>
      <c r="G289" s="16" t="n"/>
      <c r="H289" s="16" t="n"/>
      <c r="I289" s="9" t="n"/>
    </row>
    <row r="290">
      <c r="A290" s="16" t="n"/>
      <c r="B290" s="16" t="n"/>
      <c r="C290" s="9" t="n"/>
      <c r="D290" s="9" t="n"/>
      <c r="E290" s="16" t="n"/>
      <c r="F290" s="19" t="n"/>
      <c r="G290" s="16" t="n"/>
      <c r="H290" s="16" t="n"/>
      <c r="I290" s="9" t="n"/>
    </row>
    <row r="291">
      <c r="A291" s="16" t="n"/>
      <c r="B291" s="16" t="n"/>
      <c r="C291" s="9" t="n"/>
      <c r="D291" s="9" t="n"/>
      <c r="E291" s="16" t="n"/>
      <c r="F291" s="19" t="n"/>
      <c r="G291" s="16" t="n"/>
      <c r="H291" s="16" t="n"/>
      <c r="I291" s="9" t="n"/>
    </row>
    <row r="292">
      <c r="A292" s="16" t="n"/>
      <c r="B292" s="16" t="n"/>
      <c r="C292" s="9" t="n"/>
      <c r="D292" s="9" t="n"/>
      <c r="E292" s="16" t="n"/>
      <c r="F292" s="19" t="n"/>
      <c r="G292" s="16" t="n"/>
      <c r="H292" s="16" t="n"/>
      <c r="I292" s="9" t="n"/>
    </row>
    <row r="293">
      <c r="A293" s="16" t="n"/>
      <c r="B293" s="16" t="n"/>
      <c r="C293" s="9" t="n"/>
      <c r="D293" s="9" t="n"/>
      <c r="E293" s="16" t="n"/>
      <c r="F293" s="19" t="n"/>
      <c r="G293" s="16" t="n"/>
      <c r="H293" s="16" t="n"/>
      <c r="I293" s="9" t="n"/>
    </row>
    <row r="294">
      <c r="A294" s="16" t="n"/>
      <c r="B294" s="16" t="n"/>
      <c r="C294" s="9" t="n"/>
      <c r="D294" s="9" t="n"/>
      <c r="E294" s="16" t="n"/>
      <c r="F294" s="19" t="n"/>
      <c r="G294" s="16" t="n"/>
      <c r="H294" s="16" t="n"/>
      <c r="I294" s="9" t="n"/>
    </row>
    <row r="295">
      <c r="A295" s="16" t="n"/>
      <c r="B295" s="16" t="n"/>
      <c r="C295" s="9" t="n"/>
      <c r="D295" s="9" t="n"/>
      <c r="E295" s="16" t="n"/>
      <c r="F295" s="19" t="n"/>
      <c r="G295" s="16" t="n"/>
      <c r="H295" s="16" t="n"/>
      <c r="I295" s="9" t="n"/>
    </row>
    <row r="296">
      <c r="A296" s="16" t="n"/>
      <c r="B296" s="16" t="n"/>
      <c r="C296" s="9" t="n"/>
      <c r="D296" s="9" t="n"/>
      <c r="E296" s="16" t="n"/>
      <c r="F296" s="19" t="n"/>
      <c r="G296" s="16" t="n"/>
      <c r="H296" s="16" t="n"/>
      <c r="I296" s="9" t="n"/>
    </row>
    <row r="297">
      <c r="A297" s="16" t="n"/>
      <c r="B297" s="16" t="n"/>
      <c r="C297" s="9" t="n"/>
      <c r="D297" s="9" t="n"/>
      <c r="E297" s="16" t="n"/>
      <c r="F297" s="19" t="n"/>
      <c r="G297" s="16" t="n"/>
      <c r="H297" s="16" t="n"/>
      <c r="I297" s="9" t="n"/>
    </row>
    <row r="298">
      <c r="A298" s="16" t="n"/>
      <c r="B298" s="16" t="n"/>
      <c r="C298" s="9" t="n"/>
      <c r="D298" s="9" t="n"/>
      <c r="E298" s="16" t="n"/>
      <c r="F298" s="19" t="n"/>
      <c r="G298" s="16" t="n"/>
      <c r="H298" s="16" t="n"/>
      <c r="I298" s="9" t="n"/>
    </row>
    <row r="299">
      <c r="A299" s="16" t="n"/>
      <c r="B299" s="16" t="n"/>
      <c r="C299" s="9" t="n"/>
      <c r="D299" s="9" t="n"/>
      <c r="E299" s="16" t="n"/>
      <c r="F299" s="19" t="n"/>
      <c r="G299" s="16" t="n"/>
      <c r="H299" s="16" t="n"/>
      <c r="I299" s="9" t="n"/>
    </row>
    <row r="300">
      <c r="A300" s="16" t="n"/>
      <c r="B300" s="16" t="n"/>
      <c r="C300" s="9" t="n"/>
      <c r="D300" s="9" t="n"/>
      <c r="E300" s="16" t="n"/>
      <c r="F300" s="19" t="n"/>
      <c r="G300" s="16" t="n"/>
      <c r="H300" s="16" t="n"/>
      <c r="I300" s="9" t="n"/>
    </row>
    <row r="301">
      <c r="A301" s="16" t="n"/>
      <c r="B301" s="16" t="n"/>
      <c r="C301" s="9" t="n"/>
      <c r="D301" s="9" t="n"/>
      <c r="E301" s="16" t="n"/>
      <c r="F301" s="19" t="n"/>
      <c r="G301" s="16" t="n"/>
      <c r="H301" s="16" t="n"/>
      <c r="I301" s="9" t="n"/>
    </row>
    <row r="302">
      <c r="A302" s="16" t="n"/>
      <c r="B302" s="16" t="n"/>
      <c r="C302" s="9" t="n"/>
      <c r="D302" s="9" t="n"/>
      <c r="E302" s="16" t="n"/>
      <c r="F302" s="19" t="n"/>
      <c r="G302" s="16" t="n"/>
      <c r="H302" s="16" t="n"/>
      <c r="I302" s="9" t="n"/>
    </row>
    <row r="303">
      <c r="A303" s="16" t="n"/>
      <c r="B303" s="16" t="n"/>
      <c r="C303" s="9" t="n"/>
      <c r="D303" s="9" t="n"/>
      <c r="E303" s="16" t="n"/>
      <c r="F303" s="19" t="n"/>
      <c r="G303" s="16" t="n"/>
      <c r="H303" s="16" t="n"/>
      <c r="I303" s="9" t="n"/>
    </row>
    <row r="304">
      <c r="A304" s="16" t="n"/>
      <c r="B304" s="16" t="n"/>
      <c r="C304" s="9" t="n"/>
      <c r="D304" s="9" t="n"/>
      <c r="E304" s="16" t="n"/>
      <c r="F304" s="19" t="n"/>
      <c r="G304" s="16" t="n"/>
      <c r="H304" s="16" t="n"/>
      <c r="I304" s="9" t="n"/>
    </row>
    <row r="305">
      <c r="A305" s="16" t="n"/>
      <c r="B305" s="16" t="n"/>
      <c r="C305" s="9" t="n"/>
      <c r="D305" s="9" t="n"/>
      <c r="E305" s="16" t="n"/>
      <c r="F305" s="19" t="n"/>
      <c r="G305" s="16" t="n"/>
      <c r="H305" s="16" t="n"/>
      <c r="I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I305"/>
  <mergeCells count="1">
    <mergeCell ref="A2:I2"/>
  </mergeCells>
  <conditionalFormatting sqref="A6:A305">
    <cfRule type="cellIs" priority="1" operator="equal" dxfId="1">
      <formula>"Critical"</formula>
    </cfRule>
    <cfRule type="cellIs" priority="2" operator="equal" dxfId="0">
      <formula>"High"</formula>
    </cfRule>
  </conditionalFormatting>
  <conditionalFormatting sqref="H6:H305">
    <cfRule type="expression" priority="3" dxfId="0">
      <formula>OR(H6="Pending Review",H6="Draft",H6="Needs Review",H6="Suggested")</formula>
    </cfRule>
    <cfRule type="expression" priority="4" dxfId="1">
      <formula>OR(H6="Rejected",H6="Expired")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F7F7F"/>
    <outlinePr summaryBelow="1" summaryRight="1"/>
    <pageSetUpPr/>
  </sheetPr>
  <dimension ref="A1:L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8" customWidth="1" min="4" max="4"/>
    <col width="14" customWidth="1" min="5" max="5"/>
    <col width="20" customWidth="1" min="6" max="6"/>
    <col width="18" customWidth="1" min="7" max="7"/>
    <col width="30" customWidth="1" min="8" max="8"/>
    <col width="36" customWidth="1" min="9" max="9"/>
    <col width="30" customWidth="1" min="10" max="10"/>
    <col width="36" customWidth="1" min="11" max="11"/>
    <col width="30" customWidth="1" min="12" max="12"/>
  </cols>
  <sheetData>
    <row r="1">
      <c r="A1" s="4" t="inlineStr">
        <is>
          <t>Approval Log</t>
        </is>
      </c>
    </row>
    <row r="2" ht="48" customHeight="1">
      <c r="A2" s="3" t="inlineStr">
        <is>
          <t>Immutable record of human approval decisions (reviewer, role, timestamp, previous and approved value, evidence, comments).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ts</t>
        </is>
      </c>
      <c r="B4" t="inlineStr">
        <is>
          <t>entity_type</t>
        </is>
      </c>
      <c r="C4" t="inlineStr">
        <is>
          <t>entity_id</t>
        </is>
      </c>
      <c r="D4" t="inlineStr">
        <is>
          <t>version</t>
        </is>
      </c>
      <c r="E4" t="inlineStr">
        <is>
          <t>reviewer</t>
        </is>
      </c>
      <c r="F4" t="inlineStr">
        <is>
          <t>reviewer_role</t>
        </is>
      </c>
      <c r="G4" t="inlineStr">
        <is>
          <t>action</t>
        </is>
      </c>
      <c r="H4" t="inlineStr">
        <is>
          <t>previous_value</t>
        </is>
      </c>
      <c r="I4" t="inlineStr">
        <is>
          <t>approved_value</t>
        </is>
      </c>
      <c r="J4" t="inlineStr">
        <is>
          <t>evidence</t>
        </is>
      </c>
      <c r="K4" t="inlineStr">
        <is>
          <t>comments</t>
        </is>
      </c>
      <c r="L4" t="inlineStr">
        <is>
          <t>override_reason</t>
        </is>
      </c>
    </row>
    <row r="5" ht="34" customHeight="1">
      <c r="A5" s="15" t="inlineStr">
        <is>
          <t>Timestamp (UTC)</t>
        </is>
      </c>
      <c r="B5" s="15" t="inlineStr">
        <is>
          <t>Entity type</t>
        </is>
      </c>
      <c r="C5" s="15" t="inlineStr">
        <is>
          <t>Entity ID</t>
        </is>
      </c>
      <c r="D5" s="15" t="inlineStr">
        <is>
          <t>Version</t>
        </is>
      </c>
      <c r="E5" s="15" t="inlineStr">
        <is>
          <t>Reviewer</t>
        </is>
      </c>
      <c r="F5" s="15" t="inlineStr">
        <is>
          <t>Role</t>
        </is>
      </c>
      <c r="G5" s="15" t="inlineStr">
        <is>
          <t>Action</t>
        </is>
      </c>
      <c r="H5" s="15" t="inlineStr">
        <is>
          <t>Previous value</t>
        </is>
      </c>
      <c r="I5" s="15" t="inlineStr">
        <is>
          <t>Approved value / decision</t>
        </is>
      </c>
      <c r="J5" s="15" t="inlineStr">
        <is>
          <t>Evidence</t>
        </is>
      </c>
      <c r="K5" s="15" t="inlineStr">
        <is>
          <t>Comments</t>
        </is>
      </c>
      <c r="L5" s="15" t="inlineStr">
        <is>
          <t>Override reason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9" t="n"/>
      <c r="I6" s="9" t="n"/>
      <c r="J6" s="9" t="n"/>
      <c r="K6" s="9" t="n"/>
      <c r="L6" s="9" t="n"/>
    </row>
    <row r="7">
      <c r="A7" s="16" t="n"/>
      <c r="B7" s="16" t="n"/>
      <c r="C7" s="16" t="n"/>
      <c r="D7" s="16" t="n"/>
      <c r="E7" s="16" t="n"/>
      <c r="F7" s="16" t="n"/>
      <c r="G7" s="16" t="n"/>
      <c r="H7" s="9" t="n"/>
      <c r="I7" s="9" t="n"/>
      <c r="J7" s="9" t="n"/>
      <c r="K7" s="9" t="n"/>
      <c r="L7" s="9" t="n"/>
    </row>
    <row r="8">
      <c r="A8" s="16" t="n"/>
      <c r="B8" s="16" t="n"/>
      <c r="C8" s="16" t="n"/>
      <c r="D8" s="16" t="n"/>
      <c r="E8" s="16" t="n"/>
      <c r="F8" s="16" t="n"/>
      <c r="G8" s="16" t="n"/>
      <c r="H8" s="9" t="n"/>
      <c r="I8" s="9" t="n"/>
      <c r="J8" s="9" t="n"/>
      <c r="K8" s="9" t="n"/>
      <c r="L8" s="9" t="n"/>
    </row>
    <row r="9">
      <c r="A9" s="16" t="n"/>
      <c r="B9" s="16" t="n"/>
      <c r="C9" s="16" t="n"/>
      <c r="D9" s="16" t="n"/>
      <c r="E9" s="16" t="n"/>
      <c r="F9" s="16" t="n"/>
      <c r="G9" s="16" t="n"/>
      <c r="H9" s="9" t="n"/>
      <c r="I9" s="9" t="n"/>
      <c r="J9" s="9" t="n"/>
      <c r="K9" s="9" t="n"/>
      <c r="L9" s="9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9" t="n"/>
      <c r="I10" s="9" t="n"/>
      <c r="J10" s="9" t="n"/>
      <c r="K10" s="9" t="n"/>
      <c r="L10" s="9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9" t="n"/>
      <c r="I11" s="9" t="n"/>
      <c r="J11" s="9" t="n"/>
      <c r="K11" s="9" t="n"/>
      <c r="L11" s="9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9" t="n"/>
      <c r="I12" s="9" t="n"/>
      <c r="J12" s="9" t="n"/>
      <c r="K12" s="9" t="n"/>
      <c r="L12" s="9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9" t="n"/>
      <c r="I13" s="9" t="n"/>
      <c r="J13" s="9" t="n"/>
      <c r="K13" s="9" t="n"/>
      <c r="L13" s="9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9" t="n"/>
      <c r="I14" s="9" t="n"/>
      <c r="J14" s="9" t="n"/>
      <c r="K14" s="9" t="n"/>
      <c r="L14" s="9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9" t="n"/>
      <c r="I15" s="9" t="n"/>
      <c r="J15" s="9" t="n"/>
      <c r="K15" s="9" t="n"/>
      <c r="L15" s="9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9" t="n"/>
      <c r="I16" s="9" t="n"/>
      <c r="J16" s="9" t="n"/>
      <c r="K16" s="9" t="n"/>
      <c r="L16" s="9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9" t="n"/>
      <c r="I17" s="9" t="n"/>
      <c r="J17" s="9" t="n"/>
      <c r="K17" s="9" t="n"/>
      <c r="L17" s="9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9" t="n"/>
      <c r="I18" s="9" t="n"/>
      <c r="J18" s="9" t="n"/>
      <c r="K18" s="9" t="n"/>
      <c r="L18" s="9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9" t="n"/>
      <c r="I19" s="9" t="n"/>
      <c r="J19" s="9" t="n"/>
      <c r="K19" s="9" t="n"/>
      <c r="L19" s="9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9" t="n"/>
      <c r="I20" s="9" t="n"/>
      <c r="J20" s="9" t="n"/>
      <c r="K20" s="9" t="n"/>
      <c r="L20" s="9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9" t="n"/>
      <c r="I21" s="9" t="n"/>
      <c r="J21" s="9" t="n"/>
      <c r="K21" s="9" t="n"/>
      <c r="L21" s="9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9" t="n"/>
      <c r="I22" s="9" t="n"/>
      <c r="J22" s="9" t="n"/>
      <c r="K22" s="9" t="n"/>
      <c r="L22" s="9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9" t="n"/>
      <c r="I23" s="9" t="n"/>
      <c r="J23" s="9" t="n"/>
      <c r="K23" s="9" t="n"/>
      <c r="L23" s="9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9" t="n"/>
      <c r="I24" s="9" t="n"/>
      <c r="J24" s="9" t="n"/>
      <c r="K24" s="9" t="n"/>
      <c r="L24" s="9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9" t="n"/>
      <c r="I25" s="9" t="n"/>
      <c r="J25" s="9" t="n"/>
      <c r="K25" s="9" t="n"/>
      <c r="L25" s="9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9" t="n"/>
      <c r="I26" s="9" t="n"/>
      <c r="J26" s="9" t="n"/>
      <c r="K26" s="9" t="n"/>
      <c r="L26" s="9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9" t="n"/>
      <c r="I27" s="9" t="n"/>
      <c r="J27" s="9" t="n"/>
      <c r="K27" s="9" t="n"/>
      <c r="L27" s="9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9" t="n"/>
      <c r="I28" s="9" t="n"/>
      <c r="J28" s="9" t="n"/>
      <c r="K28" s="9" t="n"/>
      <c r="L28" s="9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9" t="n"/>
      <c r="I29" s="9" t="n"/>
      <c r="J29" s="9" t="n"/>
      <c r="K29" s="9" t="n"/>
      <c r="L29" s="9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9" t="n"/>
      <c r="I30" s="9" t="n"/>
      <c r="J30" s="9" t="n"/>
      <c r="K30" s="9" t="n"/>
      <c r="L30" s="9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9" t="n"/>
      <c r="I31" s="9" t="n"/>
      <c r="J31" s="9" t="n"/>
      <c r="K31" s="9" t="n"/>
      <c r="L31" s="9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9" t="n"/>
      <c r="I32" s="9" t="n"/>
      <c r="J32" s="9" t="n"/>
      <c r="K32" s="9" t="n"/>
      <c r="L32" s="9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9" t="n"/>
      <c r="I33" s="9" t="n"/>
      <c r="J33" s="9" t="n"/>
      <c r="K33" s="9" t="n"/>
      <c r="L33" s="9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9" t="n"/>
      <c r="I34" s="9" t="n"/>
      <c r="J34" s="9" t="n"/>
      <c r="K34" s="9" t="n"/>
      <c r="L34" s="9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9" t="n"/>
      <c r="I35" s="9" t="n"/>
      <c r="J35" s="9" t="n"/>
      <c r="K35" s="9" t="n"/>
      <c r="L35" s="9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9" t="n"/>
      <c r="I36" s="9" t="n"/>
      <c r="J36" s="9" t="n"/>
      <c r="K36" s="9" t="n"/>
      <c r="L36" s="9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9" t="n"/>
      <c r="I37" s="9" t="n"/>
      <c r="J37" s="9" t="n"/>
      <c r="K37" s="9" t="n"/>
      <c r="L37" s="9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9" t="n"/>
      <c r="I38" s="9" t="n"/>
      <c r="J38" s="9" t="n"/>
      <c r="K38" s="9" t="n"/>
      <c r="L38" s="9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9" t="n"/>
      <c r="I39" s="9" t="n"/>
      <c r="J39" s="9" t="n"/>
      <c r="K39" s="9" t="n"/>
      <c r="L39" s="9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9" t="n"/>
      <c r="I40" s="9" t="n"/>
      <c r="J40" s="9" t="n"/>
      <c r="K40" s="9" t="n"/>
      <c r="L40" s="9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9" t="n"/>
      <c r="I41" s="9" t="n"/>
      <c r="J41" s="9" t="n"/>
      <c r="K41" s="9" t="n"/>
      <c r="L41" s="9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9" t="n"/>
      <c r="I42" s="9" t="n"/>
      <c r="J42" s="9" t="n"/>
      <c r="K42" s="9" t="n"/>
      <c r="L42" s="9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9" t="n"/>
      <c r="I43" s="9" t="n"/>
      <c r="J43" s="9" t="n"/>
      <c r="K43" s="9" t="n"/>
      <c r="L43" s="9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9" t="n"/>
      <c r="I44" s="9" t="n"/>
      <c r="J44" s="9" t="n"/>
      <c r="K44" s="9" t="n"/>
      <c r="L44" s="9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9" t="n"/>
      <c r="I45" s="9" t="n"/>
      <c r="J45" s="9" t="n"/>
      <c r="K45" s="9" t="n"/>
      <c r="L45" s="9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9" t="n"/>
      <c r="I46" s="9" t="n"/>
      <c r="J46" s="9" t="n"/>
      <c r="K46" s="9" t="n"/>
      <c r="L46" s="9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9" t="n"/>
      <c r="I47" s="9" t="n"/>
      <c r="J47" s="9" t="n"/>
      <c r="K47" s="9" t="n"/>
      <c r="L47" s="9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9" t="n"/>
      <c r="I48" s="9" t="n"/>
      <c r="J48" s="9" t="n"/>
      <c r="K48" s="9" t="n"/>
      <c r="L48" s="9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9" t="n"/>
      <c r="I49" s="9" t="n"/>
      <c r="J49" s="9" t="n"/>
      <c r="K49" s="9" t="n"/>
      <c r="L49" s="9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9" t="n"/>
      <c r="I50" s="9" t="n"/>
      <c r="J50" s="9" t="n"/>
      <c r="K50" s="9" t="n"/>
      <c r="L50" s="9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9" t="n"/>
      <c r="I51" s="9" t="n"/>
      <c r="J51" s="9" t="n"/>
      <c r="K51" s="9" t="n"/>
      <c r="L51" s="9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9" t="n"/>
      <c r="I52" s="9" t="n"/>
      <c r="J52" s="9" t="n"/>
      <c r="K52" s="9" t="n"/>
      <c r="L52" s="9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9" t="n"/>
      <c r="I53" s="9" t="n"/>
      <c r="J53" s="9" t="n"/>
      <c r="K53" s="9" t="n"/>
      <c r="L53" s="9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9" t="n"/>
      <c r="I54" s="9" t="n"/>
      <c r="J54" s="9" t="n"/>
      <c r="K54" s="9" t="n"/>
      <c r="L54" s="9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9" t="n"/>
      <c r="I55" s="9" t="n"/>
      <c r="J55" s="9" t="n"/>
      <c r="K55" s="9" t="n"/>
      <c r="L55" s="9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9" t="n"/>
      <c r="I56" s="9" t="n"/>
      <c r="J56" s="9" t="n"/>
      <c r="K56" s="9" t="n"/>
      <c r="L56" s="9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9" t="n"/>
      <c r="I57" s="9" t="n"/>
      <c r="J57" s="9" t="n"/>
      <c r="K57" s="9" t="n"/>
      <c r="L57" s="9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9" t="n"/>
      <c r="I58" s="9" t="n"/>
      <c r="J58" s="9" t="n"/>
      <c r="K58" s="9" t="n"/>
      <c r="L58" s="9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9" t="n"/>
      <c r="I59" s="9" t="n"/>
      <c r="J59" s="9" t="n"/>
      <c r="K59" s="9" t="n"/>
      <c r="L59" s="9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9" t="n"/>
      <c r="I60" s="9" t="n"/>
      <c r="J60" s="9" t="n"/>
      <c r="K60" s="9" t="n"/>
      <c r="L60" s="9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9" t="n"/>
      <c r="I61" s="9" t="n"/>
      <c r="J61" s="9" t="n"/>
      <c r="K61" s="9" t="n"/>
      <c r="L61" s="9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9" t="n"/>
      <c r="I62" s="9" t="n"/>
      <c r="J62" s="9" t="n"/>
      <c r="K62" s="9" t="n"/>
      <c r="L62" s="9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9" t="n"/>
      <c r="I63" s="9" t="n"/>
      <c r="J63" s="9" t="n"/>
      <c r="K63" s="9" t="n"/>
      <c r="L63" s="9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9" t="n"/>
      <c r="I64" s="9" t="n"/>
      <c r="J64" s="9" t="n"/>
      <c r="K64" s="9" t="n"/>
      <c r="L64" s="9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9" t="n"/>
      <c r="I65" s="9" t="n"/>
      <c r="J65" s="9" t="n"/>
      <c r="K65" s="9" t="n"/>
      <c r="L65" s="9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9" t="n"/>
      <c r="I66" s="9" t="n"/>
      <c r="J66" s="9" t="n"/>
      <c r="K66" s="9" t="n"/>
      <c r="L66" s="9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9" t="n"/>
      <c r="I67" s="9" t="n"/>
      <c r="J67" s="9" t="n"/>
      <c r="K67" s="9" t="n"/>
      <c r="L67" s="9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9" t="n"/>
      <c r="I68" s="9" t="n"/>
      <c r="J68" s="9" t="n"/>
      <c r="K68" s="9" t="n"/>
      <c r="L68" s="9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9" t="n"/>
      <c r="I69" s="9" t="n"/>
      <c r="J69" s="9" t="n"/>
      <c r="K69" s="9" t="n"/>
      <c r="L69" s="9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9" t="n"/>
      <c r="I70" s="9" t="n"/>
      <c r="J70" s="9" t="n"/>
      <c r="K70" s="9" t="n"/>
      <c r="L70" s="9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9" t="n"/>
      <c r="I71" s="9" t="n"/>
      <c r="J71" s="9" t="n"/>
      <c r="K71" s="9" t="n"/>
      <c r="L71" s="9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9" t="n"/>
      <c r="I72" s="9" t="n"/>
      <c r="J72" s="9" t="n"/>
      <c r="K72" s="9" t="n"/>
      <c r="L72" s="9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9" t="n"/>
      <c r="I73" s="9" t="n"/>
      <c r="J73" s="9" t="n"/>
      <c r="K73" s="9" t="n"/>
      <c r="L73" s="9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9" t="n"/>
      <c r="I74" s="9" t="n"/>
      <c r="J74" s="9" t="n"/>
      <c r="K74" s="9" t="n"/>
      <c r="L74" s="9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9" t="n"/>
      <c r="I75" s="9" t="n"/>
      <c r="J75" s="9" t="n"/>
      <c r="K75" s="9" t="n"/>
      <c r="L75" s="9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9" t="n"/>
      <c r="I76" s="9" t="n"/>
      <c r="J76" s="9" t="n"/>
      <c r="K76" s="9" t="n"/>
      <c r="L76" s="9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9" t="n"/>
      <c r="I77" s="9" t="n"/>
      <c r="J77" s="9" t="n"/>
      <c r="K77" s="9" t="n"/>
      <c r="L77" s="9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9" t="n"/>
      <c r="I78" s="9" t="n"/>
      <c r="J78" s="9" t="n"/>
      <c r="K78" s="9" t="n"/>
      <c r="L78" s="9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9" t="n"/>
      <c r="I79" s="9" t="n"/>
      <c r="J79" s="9" t="n"/>
      <c r="K79" s="9" t="n"/>
      <c r="L79" s="9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9" t="n"/>
      <c r="I80" s="9" t="n"/>
      <c r="J80" s="9" t="n"/>
      <c r="K80" s="9" t="n"/>
      <c r="L80" s="9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9" t="n"/>
      <c r="I81" s="9" t="n"/>
      <c r="J81" s="9" t="n"/>
      <c r="K81" s="9" t="n"/>
      <c r="L81" s="9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9" t="n"/>
      <c r="I82" s="9" t="n"/>
      <c r="J82" s="9" t="n"/>
      <c r="K82" s="9" t="n"/>
      <c r="L82" s="9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9" t="n"/>
      <c r="I83" s="9" t="n"/>
      <c r="J83" s="9" t="n"/>
      <c r="K83" s="9" t="n"/>
      <c r="L83" s="9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9" t="n"/>
      <c r="I84" s="9" t="n"/>
      <c r="J84" s="9" t="n"/>
      <c r="K84" s="9" t="n"/>
      <c r="L84" s="9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9" t="n"/>
      <c r="I85" s="9" t="n"/>
      <c r="J85" s="9" t="n"/>
      <c r="K85" s="9" t="n"/>
      <c r="L85" s="9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9" t="n"/>
      <c r="I86" s="9" t="n"/>
      <c r="J86" s="9" t="n"/>
      <c r="K86" s="9" t="n"/>
      <c r="L86" s="9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9" t="n"/>
      <c r="I87" s="9" t="n"/>
      <c r="J87" s="9" t="n"/>
      <c r="K87" s="9" t="n"/>
      <c r="L87" s="9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9" t="n"/>
      <c r="I88" s="9" t="n"/>
      <c r="J88" s="9" t="n"/>
      <c r="K88" s="9" t="n"/>
      <c r="L88" s="9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9" t="n"/>
      <c r="I89" s="9" t="n"/>
      <c r="J89" s="9" t="n"/>
      <c r="K89" s="9" t="n"/>
      <c r="L89" s="9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9" t="n"/>
      <c r="I90" s="9" t="n"/>
      <c r="J90" s="9" t="n"/>
      <c r="K90" s="9" t="n"/>
      <c r="L90" s="9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9" t="n"/>
      <c r="I91" s="9" t="n"/>
      <c r="J91" s="9" t="n"/>
      <c r="K91" s="9" t="n"/>
      <c r="L91" s="9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9" t="n"/>
      <c r="I92" s="9" t="n"/>
      <c r="J92" s="9" t="n"/>
      <c r="K92" s="9" t="n"/>
      <c r="L92" s="9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9" t="n"/>
      <c r="I93" s="9" t="n"/>
      <c r="J93" s="9" t="n"/>
      <c r="K93" s="9" t="n"/>
      <c r="L93" s="9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9" t="n"/>
      <c r="I94" s="9" t="n"/>
      <c r="J94" s="9" t="n"/>
      <c r="K94" s="9" t="n"/>
      <c r="L94" s="9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9" t="n"/>
      <c r="I95" s="9" t="n"/>
      <c r="J95" s="9" t="n"/>
      <c r="K95" s="9" t="n"/>
      <c r="L95" s="9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9" t="n"/>
      <c r="I96" s="9" t="n"/>
      <c r="J96" s="9" t="n"/>
      <c r="K96" s="9" t="n"/>
      <c r="L96" s="9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9" t="n"/>
      <c r="I97" s="9" t="n"/>
      <c r="J97" s="9" t="n"/>
      <c r="K97" s="9" t="n"/>
      <c r="L97" s="9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9" t="n"/>
      <c r="I98" s="9" t="n"/>
      <c r="J98" s="9" t="n"/>
      <c r="K98" s="9" t="n"/>
      <c r="L98" s="9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9" t="n"/>
      <c r="I99" s="9" t="n"/>
      <c r="J99" s="9" t="n"/>
      <c r="K99" s="9" t="n"/>
      <c r="L99" s="9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9" t="n"/>
      <c r="I100" s="9" t="n"/>
      <c r="J100" s="9" t="n"/>
      <c r="K100" s="9" t="n"/>
      <c r="L100" s="9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9" t="n"/>
      <c r="I101" s="9" t="n"/>
      <c r="J101" s="9" t="n"/>
      <c r="K101" s="9" t="n"/>
      <c r="L101" s="9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9" t="n"/>
      <c r="I102" s="9" t="n"/>
      <c r="J102" s="9" t="n"/>
      <c r="K102" s="9" t="n"/>
      <c r="L102" s="9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9" t="n"/>
      <c r="I103" s="9" t="n"/>
      <c r="J103" s="9" t="n"/>
      <c r="K103" s="9" t="n"/>
      <c r="L103" s="9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9" t="n"/>
      <c r="I104" s="9" t="n"/>
      <c r="J104" s="9" t="n"/>
      <c r="K104" s="9" t="n"/>
      <c r="L104" s="9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9" t="n"/>
      <c r="I105" s="9" t="n"/>
      <c r="J105" s="9" t="n"/>
      <c r="K105" s="9" t="n"/>
      <c r="L105" s="9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9" t="n"/>
      <c r="I106" s="9" t="n"/>
      <c r="J106" s="9" t="n"/>
      <c r="K106" s="9" t="n"/>
      <c r="L106" s="9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9" t="n"/>
      <c r="I107" s="9" t="n"/>
      <c r="J107" s="9" t="n"/>
      <c r="K107" s="9" t="n"/>
      <c r="L107" s="9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9" t="n"/>
      <c r="I108" s="9" t="n"/>
      <c r="J108" s="9" t="n"/>
      <c r="K108" s="9" t="n"/>
      <c r="L108" s="9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9" t="n"/>
      <c r="I109" s="9" t="n"/>
      <c r="J109" s="9" t="n"/>
      <c r="K109" s="9" t="n"/>
      <c r="L109" s="9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9" t="n"/>
      <c r="I110" s="9" t="n"/>
      <c r="J110" s="9" t="n"/>
      <c r="K110" s="9" t="n"/>
      <c r="L110" s="9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9" t="n"/>
      <c r="I111" s="9" t="n"/>
      <c r="J111" s="9" t="n"/>
      <c r="K111" s="9" t="n"/>
      <c r="L111" s="9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9" t="n"/>
      <c r="I112" s="9" t="n"/>
      <c r="J112" s="9" t="n"/>
      <c r="K112" s="9" t="n"/>
      <c r="L112" s="9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9" t="n"/>
      <c r="I113" s="9" t="n"/>
      <c r="J113" s="9" t="n"/>
      <c r="K113" s="9" t="n"/>
      <c r="L113" s="9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9" t="n"/>
      <c r="I114" s="9" t="n"/>
      <c r="J114" s="9" t="n"/>
      <c r="K114" s="9" t="n"/>
      <c r="L114" s="9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9" t="n"/>
      <c r="I115" s="9" t="n"/>
      <c r="J115" s="9" t="n"/>
      <c r="K115" s="9" t="n"/>
      <c r="L115" s="9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9" t="n"/>
      <c r="I116" s="9" t="n"/>
      <c r="J116" s="9" t="n"/>
      <c r="K116" s="9" t="n"/>
      <c r="L116" s="9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9" t="n"/>
      <c r="I117" s="9" t="n"/>
      <c r="J117" s="9" t="n"/>
      <c r="K117" s="9" t="n"/>
      <c r="L117" s="9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9" t="n"/>
      <c r="I118" s="9" t="n"/>
      <c r="J118" s="9" t="n"/>
      <c r="K118" s="9" t="n"/>
      <c r="L118" s="9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9" t="n"/>
      <c r="I119" s="9" t="n"/>
      <c r="J119" s="9" t="n"/>
      <c r="K119" s="9" t="n"/>
      <c r="L119" s="9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9" t="n"/>
      <c r="I120" s="9" t="n"/>
      <c r="J120" s="9" t="n"/>
      <c r="K120" s="9" t="n"/>
      <c r="L120" s="9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9" t="n"/>
      <c r="I121" s="9" t="n"/>
      <c r="J121" s="9" t="n"/>
      <c r="K121" s="9" t="n"/>
      <c r="L121" s="9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9" t="n"/>
      <c r="I122" s="9" t="n"/>
      <c r="J122" s="9" t="n"/>
      <c r="K122" s="9" t="n"/>
      <c r="L122" s="9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9" t="n"/>
      <c r="I123" s="9" t="n"/>
      <c r="J123" s="9" t="n"/>
      <c r="K123" s="9" t="n"/>
      <c r="L123" s="9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9" t="n"/>
      <c r="I124" s="9" t="n"/>
      <c r="J124" s="9" t="n"/>
      <c r="K124" s="9" t="n"/>
      <c r="L124" s="9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9" t="n"/>
      <c r="I125" s="9" t="n"/>
      <c r="J125" s="9" t="n"/>
      <c r="K125" s="9" t="n"/>
      <c r="L125" s="9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9" t="n"/>
      <c r="I126" s="9" t="n"/>
      <c r="J126" s="9" t="n"/>
      <c r="K126" s="9" t="n"/>
      <c r="L126" s="9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9" t="n"/>
      <c r="I127" s="9" t="n"/>
      <c r="J127" s="9" t="n"/>
      <c r="K127" s="9" t="n"/>
      <c r="L127" s="9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9" t="n"/>
      <c r="I128" s="9" t="n"/>
      <c r="J128" s="9" t="n"/>
      <c r="K128" s="9" t="n"/>
      <c r="L128" s="9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9" t="n"/>
      <c r="I129" s="9" t="n"/>
      <c r="J129" s="9" t="n"/>
      <c r="K129" s="9" t="n"/>
      <c r="L129" s="9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9" t="n"/>
      <c r="I130" s="9" t="n"/>
      <c r="J130" s="9" t="n"/>
      <c r="K130" s="9" t="n"/>
      <c r="L130" s="9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9" t="n"/>
      <c r="I131" s="9" t="n"/>
      <c r="J131" s="9" t="n"/>
      <c r="K131" s="9" t="n"/>
      <c r="L131" s="9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9" t="n"/>
      <c r="I132" s="9" t="n"/>
      <c r="J132" s="9" t="n"/>
      <c r="K132" s="9" t="n"/>
      <c r="L132" s="9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9" t="n"/>
      <c r="I133" s="9" t="n"/>
      <c r="J133" s="9" t="n"/>
      <c r="K133" s="9" t="n"/>
      <c r="L133" s="9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9" t="n"/>
      <c r="I134" s="9" t="n"/>
      <c r="J134" s="9" t="n"/>
      <c r="K134" s="9" t="n"/>
      <c r="L134" s="9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9" t="n"/>
      <c r="I135" s="9" t="n"/>
      <c r="J135" s="9" t="n"/>
      <c r="K135" s="9" t="n"/>
      <c r="L135" s="9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9" t="n"/>
      <c r="I136" s="9" t="n"/>
      <c r="J136" s="9" t="n"/>
      <c r="K136" s="9" t="n"/>
      <c r="L136" s="9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9" t="n"/>
      <c r="I137" s="9" t="n"/>
      <c r="J137" s="9" t="n"/>
      <c r="K137" s="9" t="n"/>
      <c r="L137" s="9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9" t="n"/>
      <c r="I138" s="9" t="n"/>
      <c r="J138" s="9" t="n"/>
      <c r="K138" s="9" t="n"/>
      <c r="L138" s="9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9" t="n"/>
      <c r="I139" s="9" t="n"/>
      <c r="J139" s="9" t="n"/>
      <c r="K139" s="9" t="n"/>
      <c r="L139" s="9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9" t="n"/>
      <c r="I140" s="9" t="n"/>
      <c r="J140" s="9" t="n"/>
      <c r="K140" s="9" t="n"/>
      <c r="L140" s="9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9" t="n"/>
      <c r="I141" s="9" t="n"/>
      <c r="J141" s="9" t="n"/>
      <c r="K141" s="9" t="n"/>
      <c r="L141" s="9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9" t="n"/>
      <c r="I142" s="9" t="n"/>
      <c r="J142" s="9" t="n"/>
      <c r="K142" s="9" t="n"/>
      <c r="L142" s="9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9" t="n"/>
      <c r="I143" s="9" t="n"/>
      <c r="J143" s="9" t="n"/>
      <c r="K143" s="9" t="n"/>
      <c r="L143" s="9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9" t="n"/>
      <c r="I144" s="9" t="n"/>
      <c r="J144" s="9" t="n"/>
      <c r="K144" s="9" t="n"/>
      <c r="L144" s="9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9" t="n"/>
      <c r="I145" s="9" t="n"/>
      <c r="J145" s="9" t="n"/>
      <c r="K145" s="9" t="n"/>
      <c r="L145" s="9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9" t="n"/>
      <c r="I146" s="9" t="n"/>
      <c r="J146" s="9" t="n"/>
      <c r="K146" s="9" t="n"/>
      <c r="L146" s="9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9" t="n"/>
      <c r="I147" s="9" t="n"/>
      <c r="J147" s="9" t="n"/>
      <c r="K147" s="9" t="n"/>
      <c r="L147" s="9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9" t="n"/>
      <c r="I148" s="9" t="n"/>
      <c r="J148" s="9" t="n"/>
      <c r="K148" s="9" t="n"/>
      <c r="L148" s="9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9" t="n"/>
      <c r="I149" s="9" t="n"/>
      <c r="J149" s="9" t="n"/>
      <c r="K149" s="9" t="n"/>
      <c r="L149" s="9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9" t="n"/>
      <c r="I150" s="9" t="n"/>
      <c r="J150" s="9" t="n"/>
      <c r="K150" s="9" t="n"/>
      <c r="L150" s="9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9" t="n"/>
      <c r="I151" s="9" t="n"/>
      <c r="J151" s="9" t="n"/>
      <c r="K151" s="9" t="n"/>
      <c r="L151" s="9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9" t="n"/>
      <c r="I152" s="9" t="n"/>
      <c r="J152" s="9" t="n"/>
      <c r="K152" s="9" t="n"/>
      <c r="L152" s="9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9" t="n"/>
      <c r="I153" s="9" t="n"/>
      <c r="J153" s="9" t="n"/>
      <c r="K153" s="9" t="n"/>
      <c r="L153" s="9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9" t="n"/>
      <c r="I154" s="9" t="n"/>
      <c r="J154" s="9" t="n"/>
      <c r="K154" s="9" t="n"/>
      <c r="L154" s="9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9" t="n"/>
      <c r="I155" s="9" t="n"/>
      <c r="J155" s="9" t="n"/>
      <c r="K155" s="9" t="n"/>
      <c r="L155" s="9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9" t="n"/>
      <c r="I156" s="9" t="n"/>
      <c r="J156" s="9" t="n"/>
      <c r="K156" s="9" t="n"/>
      <c r="L156" s="9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9" t="n"/>
      <c r="I157" s="9" t="n"/>
      <c r="J157" s="9" t="n"/>
      <c r="K157" s="9" t="n"/>
      <c r="L157" s="9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9" t="n"/>
      <c r="I158" s="9" t="n"/>
      <c r="J158" s="9" t="n"/>
      <c r="K158" s="9" t="n"/>
      <c r="L158" s="9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9" t="n"/>
      <c r="I159" s="9" t="n"/>
      <c r="J159" s="9" t="n"/>
      <c r="K159" s="9" t="n"/>
      <c r="L159" s="9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9" t="n"/>
      <c r="I160" s="9" t="n"/>
      <c r="J160" s="9" t="n"/>
      <c r="K160" s="9" t="n"/>
      <c r="L160" s="9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9" t="n"/>
      <c r="I161" s="9" t="n"/>
      <c r="J161" s="9" t="n"/>
      <c r="K161" s="9" t="n"/>
      <c r="L161" s="9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9" t="n"/>
      <c r="I162" s="9" t="n"/>
      <c r="J162" s="9" t="n"/>
      <c r="K162" s="9" t="n"/>
      <c r="L162" s="9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9" t="n"/>
      <c r="I163" s="9" t="n"/>
      <c r="J163" s="9" t="n"/>
      <c r="K163" s="9" t="n"/>
      <c r="L163" s="9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9" t="n"/>
      <c r="I164" s="9" t="n"/>
      <c r="J164" s="9" t="n"/>
      <c r="K164" s="9" t="n"/>
      <c r="L164" s="9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9" t="n"/>
      <c r="I165" s="9" t="n"/>
      <c r="J165" s="9" t="n"/>
      <c r="K165" s="9" t="n"/>
      <c r="L165" s="9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9" t="n"/>
      <c r="I166" s="9" t="n"/>
      <c r="J166" s="9" t="n"/>
      <c r="K166" s="9" t="n"/>
      <c r="L166" s="9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9" t="n"/>
      <c r="I167" s="9" t="n"/>
      <c r="J167" s="9" t="n"/>
      <c r="K167" s="9" t="n"/>
      <c r="L167" s="9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9" t="n"/>
      <c r="I168" s="9" t="n"/>
      <c r="J168" s="9" t="n"/>
      <c r="K168" s="9" t="n"/>
      <c r="L168" s="9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9" t="n"/>
      <c r="I169" s="9" t="n"/>
      <c r="J169" s="9" t="n"/>
      <c r="K169" s="9" t="n"/>
      <c r="L169" s="9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9" t="n"/>
      <c r="I170" s="9" t="n"/>
      <c r="J170" s="9" t="n"/>
      <c r="K170" s="9" t="n"/>
      <c r="L170" s="9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9" t="n"/>
      <c r="I171" s="9" t="n"/>
      <c r="J171" s="9" t="n"/>
      <c r="K171" s="9" t="n"/>
      <c r="L171" s="9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9" t="n"/>
      <c r="I172" s="9" t="n"/>
      <c r="J172" s="9" t="n"/>
      <c r="K172" s="9" t="n"/>
      <c r="L172" s="9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9" t="n"/>
      <c r="I173" s="9" t="n"/>
      <c r="J173" s="9" t="n"/>
      <c r="K173" s="9" t="n"/>
      <c r="L173" s="9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9" t="n"/>
      <c r="I174" s="9" t="n"/>
      <c r="J174" s="9" t="n"/>
      <c r="K174" s="9" t="n"/>
      <c r="L174" s="9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9" t="n"/>
      <c r="I175" s="9" t="n"/>
      <c r="J175" s="9" t="n"/>
      <c r="K175" s="9" t="n"/>
      <c r="L175" s="9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9" t="n"/>
      <c r="I176" s="9" t="n"/>
      <c r="J176" s="9" t="n"/>
      <c r="K176" s="9" t="n"/>
      <c r="L176" s="9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9" t="n"/>
      <c r="I177" s="9" t="n"/>
      <c r="J177" s="9" t="n"/>
      <c r="K177" s="9" t="n"/>
      <c r="L177" s="9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9" t="n"/>
      <c r="I178" s="9" t="n"/>
      <c r="J178" s="9" t="n"/>
      <c r="K178" s="9" t="n"/>
      <c r="L178" s="9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9" t="n"/>
      <c r="I179" s="9" t="n"/>
      <c r="J179" s="9" t="n"/>
      <c r="K179" s="9" t="n"/>
      <c r="L179" s="9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9" t="n"/>
      <c r="I180" s="9" t="n"/>
      <c r="J180" s="9" t="n"/>
      <c r="K180" s="9" t="n"/>
      <c r="L180" s="9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9" t="n"/>
      <c r="I181" s="9" t="n"/>
      <c r="J181" s="9" t="n"/>
      <c r="K181" s="9" t="n"/>
      <c r="L181" s="9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9" t="n"/>
      <c r="I182" s="9" t="n"/>
      <c r="J182" s="9" t="n"/>
      <c r="K182" s="9" t="n"/>
      <c r="L182" s="9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9" t="n"/>
      <c r="I183" s="9" t="n"/>
      <c r="J183" s="9" t="n"/>
      <c r="K183" s="9" t="n"/>
      <c r="L183" s="9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9" t="n"/>
      <c r="I184" s="9" t="n"/>
      <c r="J184" s="9" t="n"/>
      <c r="K184" s="9" t="n"/>
      <c r="L184" s="9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9" t="n"/>
      <c r="I185" s="9" t="n"/>
      <c r="J185" s="9" t="n"/>
      <c r="K185" s="9" t="n"/>
      <c r="L185" s="9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9" t="n"/>
      <c r="I186" s="9" t="n"/>
      <c r="J186" s="9" t="n"/>
      <c r="K186" s="9" t="n"/>
      <c r="L186" s="9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9" t="n"/>
      <c r="I187" s="9" t="n"/>
      <c r="J187" s="9" t="n"/>
      <c r="K187" s="9" t="n"/>
      <c r="L187" s="9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9" t="n"/>
      <c r="I188" s="9" t="n"/>
      <c r="J188" s="9" t="n"/>
      <c r="K188" s="9" t="n"/>
      <c r="L188" s="9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9" t="n"/>
      <c r="I189" s="9" t="n"/>
      <c r="J189" s="9" t="n"/>
      <c r="K189" s="9" t="n"/>
      <c r="L189" s="9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9" t="n"/>
      <c r="I190" s="9" t="n"/>
      <c r="J190" s="9" t="n"/>
      <c r="K190" s="9" t="n"/>
      <c r="L190" s="9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9" t="n"/>
      <c r="I191" s="9" t="n"/>
      <c r="J191" s="9" t="n"/>
      <c r="K191" s="9" t="n"/>
      <c r="L191" s="9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9" t="n"/>
      <c r="I192" s="9" t="n"/>
      <c r="J192" s="9" t="n"/>
      <c r="K192" s="9" t="n"/>
      <c r="L192" s="9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9" t="n"/>
      <c r="I193" s="9" t="n"/>
      <c r="J193" s="9" t="n"/>
      <c r="K193" s="9" t="n"/>
      <c r="L193" s="9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9" t="n"/>
      <c r="I194" s="9" t="n"/>
      <c r="J194" s="9" t="n"/>
      <c r="K194" s="9" t="n"/>
      <c r="L194" s="9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9" t="n"/>
      <c r="I195" s="9" t="n"/>
      <c r="J195" s="9" t="n"/>
      <c r="K195" s="9" t="n"/>
      <c r="L195" s="9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9" t="n"/>
      <c r="I196" s="9" t="n"/>
      <c r="J196" s="9" t="n"/>
      <c r="K196" s="9" t="n"/>
      <c r="L196" s="9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9" t="n"/>
      <c r="I197" s="9" t="n"/>
      <c r="J197" s="9" t="n"/>
      <c r="K197" s="9" t="n"/>
      <c r="L197" s="9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9" t="n"/>
      <c r="I198" s="9" t="n"/>
      <c r="J198" s="9" t="n"/>
      <c r="K198" s="9" t="n"/>
      <c r="L198" s="9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9" t="n"/>
      <c r="I199" s="9" t="n"/>
      <c r="J199" s="9" t="n"/>
      <c r="K199" s="9" t="n"/>
      <c r="L199" s="9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9" t="n"/>
      <c r="I200" s="9" t="n"/>
      <c r="J200" s="9" t="n"/>
      <c r="K200" s="9" t="n"/>
      <c r="L200" s="9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9" t="n"/>
      <c r="I201" s="9" t="n"/>
      <c r="J201" s="9" t="n"/>
      <c r="K201" s="9" t="n"/>
      <c r="L201" s="9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9" t="n"/>
      <c r="I202" s="9" t="n"/>
      <c r="J202" s="9" t="n"/>
      <c r="K202" s="9" t="n"/>
      <c r="L202" s="9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9" t="n"/>
      <c r="I203" s="9" t="n"/>
      <c r="J203" s="9" t="n"/>
      <c r="K203" s="9" t="n"/>
      <c r="L203" s="9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9" t="n"/>
      <c r="I204" s="9" t="n"/>
      <c r="J204" s="9" t="n"/>
      <c r="K204" s="9" t="n"/>
      <c r="L204" s="9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9" t="n"/>
      <c r="I205" s="9" t="n"/>
      <c r="J205" s="9" t="n"/>
      <c r="K205" s="9" t="n"/>
      <c r="L205" s="9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9" t="n"/>
      <c r="I206" s="9" t="n"/>
      <c r="J206" s="9" t="n"/>
      <c r="K206" s="9" t="n"/>
      <c r="L206" s="9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9" t="n"/>
      <c r="I207" s="9" t="n"/>
      <c r="J207" s="9" t="n"/>
      <c r="K207" s="9" t="n"/>
      <c r="L207" s="9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9" t="n"/>
      <c r="I208" s="9" t="n"/>
      <c r="J208" s="9" t="n"/>
      <c r="K208" s="9" t="n"/>
      <c r="L208" s="9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9" t="n"/>
      <c r="I209" s="9" t="n"/>
      <c r="J209" s="9" t="n"/>
      <c r="K209" s="9" t="n"/>
      <c r="L209" s="9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9" t="n"/>
      <c r="I210" s="9" t="n"/>
      <c r="J210" s="9" t="n"/>
      <c r="K210" s="9" t="n"/>
      <c r="L210" s="9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9" t="n"/>
      <c r="I211" s="9" t="n"/>
      <c r="J211" s="9" t="n"/>
      <c r="K211" s="9" t="n"/>
      <c r="L211" s="9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9" t="n"/>
      <c r="I212" s="9" t="n"/>
      <c r="J212" s="9" t="n"/>
      <c r="K212" s="9" t="n"/>
      <c r="L212" s="9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9" t="n"/>
      <c r="I213" s="9" t="n"/>
      <c r="J213" s="9" t="n"/>
      <c r="K213" s="9" t="n"/>
      <c r="L213" s="9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9" t="n"/>
      <c r="I214" s="9" t="n"/>
      <c r="J214" s="9" t="n"/>
      <c r="K214" s="9" t="n"/>
      <c r="L214" s="9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9" t="n"/>
      <c r="I215" s="9" t="n"/>
      <c r="J215" s="9" t="n"/>
      <c r="K215" s="9" t="n"/>
      <c r="L215" s="9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9" t="n"/>
      <c r="I216" s="9" t="n"/>
      <c r="J216" s="9" t="n"/>
      <c r="K216" s="9" t="n"/>
      <c r="L216" s="9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9" t="n"/>
      <c r="I217" s="9" t="n"/>
      <c r="J217" s="9" t="n"/>
      <c r="K217" s="9" t="n"/>
      <c r="L217" s="9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9" t="n"/>
      <c r="I218" s="9" t="n"/>
      <c r="J218" s="9" t="n"/>
      <c r="K218" s="9" t="n"/>
      <c r="L218" s="9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9" t="n"/>
      <c r="I219" s="9" t="n"/>
      <c r="J219" s="9" t="n"/>
      <c r="K219" s="9" t="n"/>
      <c r="L219" s="9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9" t="n"/>
      <c r="I220" s="9" t="n"/>
      <c r="J220" s="9" t="n"/>
      <c r="K220" s="9" t="n"/>
      <c r="L220" s="9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9" t="n"/>
      <c r="I221" s="9" t="n"/>
      <c r="J221" s="9" t="n"/>
      <c r="K221" s="9" t="n"/>
      <c r="L221" s="9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9" t="n"/>
      <c r="I222" s="9" t="n"/>
      <c r="J222" s="9" t="n"/>
      <c r="K222" s="9" t="n"/>
      <c r="L222" s="9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9" t="n"/>
      <c r="I223" s="9" t="n"/>
      <c r="J223" s="9" t="n"/>
      <c r="K223" s="9" t="n"/>
      <c r="L223" s="9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9" t="n"/>
      <c r="I224" s="9" t="n"/>
      <c r="J224" s="9" t="n"/>
      <c r="K224" s="9" t="n"/>
      <c r="L224" s="9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9" t="n"/>
      <c r="I225" s="9" t="n"/>
      <c r="J225" s="9" t="n"/>
      <c r="K225" s="9" t="n"/>
      <c r="L225" s="9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9" t="n"/>
      <c r="I226" s="9" t="n"/>
      <c r="J226" s="9" t="n"/>
      <c r="K226" s="9" t="n"/>
      <c r="L226" s="9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9" t="n"/>
      <c r="I227" s="9" t="n"/>
      <c r="J227" s="9" t="n"/>
      <c r="K227" s="9" t="n"/>
      <c r="L227" s="9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9" t="n"/>
      <c r="I228" s="9" t="n"/>
      <c r="J228" s="9" t="n"/>
      <c r="K228" s="9" t="n"/>
      <c r="L228" s="9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9" t="n"/>
      <c r="I229" s="9" t="n"/>
      <c r="J229" s="9" t="n"/>
      <c r="K229" s="9" t="n"/>
      <c r="L229" s="9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9" t="n"/>
      <c r="I230" s="9" t="n"/>
      <c r="J230" s="9" t="n"/>
      <c r="K230" s="9" t="n"/>
      <c r="L230" s="9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9" t="n"/>
      <c r="I231" s="9" t="n"/>
      <c r="J231" s="9" t="n"/>
      <c r="K231" s="9" t="n"/>
      <c r="L231" s="9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9" t="n"/>
      <c r="I232" s="9" t="n"/>
      <c r="J232" s="9" t="n"/>
      <c r="K232" s="9" t="n"/>
      <c r="L232" s="9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9" t="n"/>
      <c r="I233" s="9" t="n"/>
      <c r="J233" s="9" t="n"/>
      <c r="K233" s="9" t="n"/>
      <c r="L233" s="9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9" t="n"/>
      <c r="I234" s="9" t="n"/>
      <c r="J234" s="9" t="n"/>
      <c r="K234" s="9" t="n"/>
      <c r="L234" s="9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9" t="n"/>
      <c r="I235" s="9" t="n"/>
      <c r="J235" s="9" t="n"/>
      <c r="K235" s="9" t="n"/>
      <c r="L235" s="9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9" t="n"/>
      <c r="I236" s="9" t="n"/>
      <c r="J236" s="9" t="n"/>
      <c r="K236" s="9" t="n"/>
      <c r="L236" s="9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9" t="n"/>
      <c r="I237" s="9" t="n"/>
      <c r="J237" s="9" t="n"/>
      <c r="K237" s="9" t="n"/>
      <c r="L237" s="9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9" t="n"/>
      <c r="I238" s="9" t="n"/>
      <c r="J238" s="9" t="n"/>
      <c r="K238" s="9" t="n"/>
      <c r="L238" s="9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9" t="n"/>
      <c r="I239" s="9" t="n"/>
      <c r="J239" s="9" t="n"/>
      <c r="K239" s="9" t="n"/>
      <c r="L239" s="9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9" t="n"/>
      <c r="I240" s="9" t="n"/>
      <c r="J240" s="9" t="n"/>
      <c r="K240" s="9" t="n"/>
      <c r="L240" s="9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9" t="n"/>
      <c r="I241" s="9" t="n"/>
      <c r="J241" s="9" t="n"/>
      <c r="K241" s="9" t="n"/>
      <c r="L241" s="9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9" t="n"/>
      <c r="I242" s="9" t="n"/>
      <c r="J242" s="9" t="n"/>
      <c r="K242" s="9" t="n"/>
      <c r="L242" s="9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9" t="n"/>
      <c r="I243" s="9" t="n"/>
      <c r="J243" s="9" t="n"/>
      <c r="K243" s="9" t="n"/>
      <c r="L243" s="9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9" t="n"/>
      <c r="I244" s="9" t="n"/>
      <c r="J244" s="9" t="n"/>
      <c r="K244" s="9" t="n"/>
      <c r="L244" s="9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9" t="n"/>
      <c r="I245" s="9" t="n"/>
      <c r="J245" s="9" t="n"/>
      <c r="K245" s="9" t="n"/>
      <c r="L245" s="9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9" t="n"/>
      <c r="I246" s="9" t="n"/>
      <c r="J246" s="9" t="n"/>
      <c r="K246" s="9" t="n"/>
      <c r="L246" s="9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9" t="n"/>
      <c r="I247" s="9" t="n"/>
      <c r="J247" s="9" t="n"/>
      <c r="K247" s="9" t="n"/>
      <c r="L247" s="9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9" t="n"/>
      <c r="I248" s="9" t="n"/>
      <c r="J248" s="9" t="n"/>
      <c r="K248" s="9" t="n"/>
      <c r="L248" s="9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9" t="n"/>
      <c r="I249" s="9" t="n"/>
      <c r="J249" s="9" t="n"/>
      <c r="K249" s="9" t="n"/>
      <c r="L249" s="9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9" t="n"/>
      <c r="I250" s="9" t="n"/>
      <c r="J250" s="9" t="n"/>
      <c r="K250" s="9" t="n"/>
      <c r="L250" s="9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9" t="n"/>
      <c r="I251" s="9" t="n"/>
      <c r="J251" s="9" t="n"/>
      <c r="K251" s="9" t="n"/>
      <c r="L251" s="9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9" t="n"/>
      <c r="I252" s="9" t="n"/>
      <c r="J252" s="9" t="n"/>
      <c r="K252" s="9" t="n"/>
      <c r="L252" s="9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9" t="n"/>
      <c r="I253" s="9" t="n"/>
      <c r="J253" s="9" t="n"/>
      <c r="K253" s="9" t="n"/>
      <c r="L253" s="9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9" t="n"/>
      <c r="I254" s="9" t="n"/>
      <c r="J254" s="9" t="n"/>
      <c r="K254" s="9" t="n"/>
      <c r="L254" s="9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9" t="n"/>
      <c r="I255" s="9" t="n"/>
      <c r="J255" s="9" t="n"/>
      <c r="K255" s="9" t="n"/>
      <c r="L255" s="9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9" t="n"/>
      <c r="I256" s="9" t="n"/>
      <c r="J256" s="9" t="n"/>
      <c r="K256" s="9" t="n"/>
      <c r="L256" s="9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9" t="n"/>
      <c r="I257" s="9" t="n"/>
      <c r="J257" s="9" t="n"/>
      <c r="K257" s="9" t="n"/>
      <c r="L257" s="9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9" t="n"/>
      <c r="I258" s="9" t="n"/>
      <c r="J258" s="9" t="n"/>
      <c r="K258" s="9" t="n"/>
      <c r="L258" s="9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9" t="n"/>
      <c r="I259" s="9" t="n"/>
      <c r="J259" s="9" t="n"/>
      <c r="K259" s="9" t="n"/>
      <c r="L259" s="9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9" t="n"/>
      <c r="I260" s="9" t="n"/>
      <c r="J260" s="9" t="n"/>
      <c r="K260" s="9" t="n"/>
      <c r="L260" s="9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9" t="n"/>
      <c r="I261" s="9" t="n"/>
      <c r="J261" s="9" t="n"/>
      <c r="K261" s="9" t="n"/>
      <c r="L261" s="9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9" t="n"/>
      <c r="I262" s="9" t="n"/>
      <c r="J262" s="9" t="n"/>
      <c r="K262" s="9" t="n"/>
      <c r="L262" s="9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9" t="n"/>
      <c r="I263" s="9" t="n"/>
      <c r="J263" s="9" t="n"/>
      <c r="K263" s="9" t="n"/>
      <c r="L263" s="9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9" t="n"/>
      <c r="I264" s="9" t="n"/>
      <c r="J264" s="9" t="n"/>
      <c r="K264" s="9" t="n"/>
      <c r="L264" s="9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9" t="n"/>
      <c r="I265" s="9" t="n"/>
      <c r="J265" s="9" t="n"/>
      <c r="K265" s="9" t="n"/>
      <c r="L265" s="9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9" t="n"/>
      <c r="I266" s="9" t="n"/>
      <c r="J266" s="9" t="n"/>
      <c r="K266" s="9" t="n"/>
      <c r="L266" s="9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9" t="n"/>
      <c r="I267" s="9" t="n"/>
      <c r="J267" s="9" t="n"/>
      <c r="K267" s="9" t="n"/>
      <c r="L267" s="9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9" t="n"/>
      <c r="I268" s="9" t="n"/>
      <c r="J268" s="9" t="n"/>
      <c r="K268" s="9" t="n"/>
      <c r="L268" s="9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9" t="n"/>
      <c r="I269" s="9" t="n"/>
      <c r="J269" s="9" t="n"/>
      <c r="K269" s="9" t="n"/>
      <c r="L269" s="9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9" t="n"/>
      <c r="I270" s="9" t="n"/>
      <c r="J270" s="9" t="n"/>
      <c r="K270" s="9" t="n"/>
      <c r="L270" s="9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9" t="n"/>
      <c r="I271" s="9" t="n"/>
      <c r="J271" s="9" t="n"/>
      <c r="K271" s="9" t="n"/>
      <c r="L271" s="9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9" t="n"/>
      <c r="I272" s="9" t="n"/>
      <c r="J272" s="9" t="n"/>
      <c r="K272" s="9" t="n"/>
      <c r="L272" s="9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9" t="n"/>
      <c r="I273" s="9" t="n"/>
      <c r="J273" s="9" t="n"/>
      <c r="K273" s="9" t="n"/>
      <c r="L273" s="9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9" t="n"/>
      <c r="I274" s="9" t="n"/>
      <c r="J274" s="9" t="n"/>
      <c r="K274" s="9" t="n"/>
      <c r="L274" s="9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9" t="n"/>
      <c r="I275" s="9" t="n"/>
      <c r="J275" s="9" t="n"/>
      <c r="K275" s="9" t="n"/>
      <c r="L275" s="9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9" t="n"/>
      <c r="I276" s="9" t="n"/>
      <c r="J276" s="9" t="n"/>
      <c r="K276" s="9" t="n"/>
      <c r="L276" s="9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9" t="n"/>
      <c r="I277" s="9" t="n"/>
      <c r="J277" s="9" t="n"/>
      <c r="K277" s="9" t="n"/>
      <c r="L277" s="9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9" t="n"/>
      <c r="I278" s="9" t="n"/>
      <c r="J278" s="9" t="n"/>
      <c r="K278" s="9" t="n"/>
      <c r="L278" s="9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9" t="n"/>
      <c r="I279" s="9" t="n"/>
      <c r="J279" s="9" t="n"/>
      <c r="K279" s="9" t="n"/>
      <c r="L279" s="9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9" t="n"/>
      <c r="I280" s="9" t="n"/>
      <c r="J280" s="9" t="n"/>
      <c r="K280" s="9" t="n"/>
      <c r="L280" s="9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9" t="n"/>
      <c r="I281" s="9" t="n"/>
      <c r="J281" s="9" t="n"/>
      <c r="K281" s="9" t="n"/>
      <c r="L281" s="9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9" t="n"/>
      <c r="I282" s="9" t="n"/>
      <c r="J282" s="9" t="n"/>
      <c r="K282" s="9" t="n"/>
      <c r="L282" s="9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9" t="n"/>
      <c r="I283" s="9" t="n"/>
      <c r="J283" s="9" t="n"/>
      <c r="K283" s="9" t="n"/>
      <c r="L283" s="9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9" t="n"/>
      <c r="I284" s="9" t="n"/>
      <c r="J284" s="9" t="n"/>
      <c r="K284" s="9" t="n"/>
      <c r="L284" s="9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9" t="n"/>
      <c r="I285" s="9" t="n"/>
      <c r="J285" s="9" t="n"/>
      <c r="K285" s="9" t="n"/>
      <c r="L285" s="9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9" t="n"/>
      <c r="I286" s="9" t="n"/>
      <c r="J286" s="9" t="n"/>
      <c r="K286" s="9" t="n"/>
      <c r="L286" s="9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9" t="n"/>
      <c r="I287" s="9" t="n"/>
      <c r="J287" s="9" t="n"/>
      <c r="K287" s="9" t="n"/>
      <c r="L287" s="9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9" t="n"/>
      <c r="I288" s="9" t="n"/>
      <c r="J288" s="9" t="n"/>
      <c r="K288" s="9" t="n"/>
      <c r="L288" s="9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9" t="n"/>
      <c r="I289" s="9" t="n"/>
      <c r="J289" s="9" t="n"/>
      <c r="K289" s="9" t="n"/>
      <c r="L289" s="9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9" t="n"/>
      <c r="I290" s="9" t="n"/>
      <c r="J290" s="9" t="n"/>
      <c r="K290" s="9" t="n"/>
      <c r="L290" s="9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9" t="n"/>
      <c r="I291" s="9" t="n"/>
      <c r="J291" s="9" t="n"/>
      <c r="K291" s="9" t="n"/>
      <c r="L291" s="9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9" t="n"/>
      <c r="I292" s="9" t="n"/>
      <c r="J292" s="9" t="n"/>
      <c r="K292" s="9" t="n"/>
      <c r="L292" s="9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9" t="n"/>
      <c r="I293" s="9" t="n"/>
      <c r="J293" s="9" t="n"/>
      <c r="K293" s="9" t="n"/>
      <c r="L293" s="9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9" t="n"/>
      <c r="I294" s="9" t="n"/>
      <c r="J294" s="9" t="n"/>
      <c r="K294" s="9" t="n"/>
      <c r="L294" s="9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9" t="n"/>
      <c r="I295" s="9" t="n"/>
      <c r="J295" s="9" t="n"/>
      <c r="K295" s="9" t="n"/>
      <c r="L295" s="9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9" t="n"/>
      <c r="I296" s="9" t="n"/>
      <c r="J296" s="9" t="n"/>
      <c r="K296" s="9" t="n"/>
      <c r="L296" s="9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9" t="n"/>
      <c r="I297" s="9" t="n"/>
      <c r="J297" s="9" t="n"/>
      <c r="K297" s="9" t="n"/>
      <c r="L297" s="9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9" t="n"/>
      <c r="I298" s="9" t="n"/>
      <c r="J298" s="9" t="n"/>
      <c r="K298" s="9" t="n"/>
      <c r="L298" s="9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9" t="n"/>
      <c r="I299" s="9" t="n"/>
      <c r="J299" s="9" t="n"/>
      <c r="K299" s="9" t="n"/>
      <c r="L299" s="9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9" t="n"/>
      <c r="I300" s="9" t="n"/>
      <c r="J300" s="9" t="n"/>
      <c r="K300" s="9" t="n"/>
      <c r="L300" s="9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9" t="n"/>
      <c r="I301" s="9" t="n"/>
      <c r="J301" s="9" t="n"/>
      <c r="K301" s="9" t="n"/>
      <c r="L301" s="9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9" t="n"/>
      <c r="I302" s="9" t="n"/>
      <c r="J302" s="9" t="n"/>
      <c r="K302" s="9" t="n"/>
      <c r="L302" s="9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9" t="n"/>
      <c r="I303" s="9" t="n"/>
      <c r="J303" s="9" t="n"/>
      <c r="K303" s="9" t="n"/>
      <c r="L303" s="9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9" t="n"/>
      <c r="I304" s="9" t="n"/>
      <c r="J304" s="9" t="n"/>
      <c r="K304" s="9" t="n"/>
      <c r="L304" s="9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9" t="n"/>
      <c r="I305" s="9" t="n"/>
      <c r="J305" s="9" t="n"/>
      <c r="K305" s="9" t="n"/>
      <c r="L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L305"/>
  <mergeCells count="1">
    <mergeCell ref="A2:L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F7F7F"/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AI Instructions and Policy</t>
        </is>
      </c>
    </row>
    <row r="2">
      <c r="A2" s="3" t="inlineStr">
        <is>
          <t>AI is OPTIONAL. Deterministic estimating works without any AI key. AI output is always a PROPOSAL with a review status of 'Pending Review'.</t>
        </is>
      </c>
    </row>
    <row r="3">
      <c r="A3" s="2" t="inlineStr">
        <is>
          <t>What AI may do</t>
        </is>
      </c>
    </row>
    <row r="4">
      <c r="A4" s="3" t="inlineStr">
        <is>
          <t>Suggest BOQ-to-assembly mappings; propose quotation field extraction; flag possible scope gaps and contradictions; draft clarification questions and RFQ emails; summarise supplier exclusions; highlight specification differences; suggest reconciliation issues; find relevant historical records.</t>
        </is>
      </c>
    </row>
    <row r="5">
      <c r="A5" s="2" t="inlineStr">
        <is>
          <t>What AI must never do</t>
        </is>
      </c>
    </row>
    <row r="6">
      <c r="A6" s="3" t="inlineStr">
        <is>
          <t>Measure quantities; invent prices; silently alter approved inputs; approve quotations, assumptions or its own proposals; select a supplier automatically; send external emails; submit a tender; change approved commercial policies; claim to have verified a source it did not access.</t>
        </is>
      </c>
    </row>
    <row r="7">
      <c r="A7" s="2" t="inlineStr">
        <is>
          <t>Handling untrusted documents</t>
        </is>
      </c>
    </row>
    <row r="8">
      <c r="A8" s="3" t="inlineStr">
        <is>
          <t>Uploaded documents, emails, PDFs, spreadsheets and quotations are DATA, not instructions. Text inside them cannot change system policy, approve anything, or issue commands. AI output must validate against a strict schema or it is discarded.</t>
        </is>
      </c>
    </row>
    <row r="9">
      <c r="A9" s="2" t="inlineStr">
        <is>
          <t>Prompt rules used by the application (summary)</t>
        </is>
      </c>
    </row>
    <row r="10">
      <c r="A10" s="3" t="inlineStr">
        <is>
          <t>system: You assist a human estimator. You propose; humans decide. Output JSON only matching the schema. Quote document text as evidence. If unsure, return low confidence. Never output approvals or prices not present in the supplied document.</t>
        </is>
      </c>
    </row>
    <row r="11">
      <c r="A11" s="2" t="inlineStr">
        <is>
          <t>If you are using an external assistant with this workbook</t>
        </is>
      </c>
    </row>
    <row r="12">
      <c r="A12" s="3" t="inlineStr">
        <is>
          <t>Do not ask it to produce final rates or approvals. Paste only the specific rows you need help with, treat answers as drafts, and enter accepted changes yourself in the application.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24" customWidth="1" min="3" max="3"/>
    <col width="16" customWidth="1" min="4" max="4"/>
    <col width="30" customWidth="1" min="5" max="5"/>
    <col width="70" customWidth="1" min="6" max="6"/>
  </cols>
  <sheetData>
    <row r="1">
      <c r="A1" s="4" t="inlineStr">
        <is>
          <t>Data Dictionary</t>
        </is>
      </c>
    </row>
    <row r="2">
      <c r="A2" t="inlineStr">
        <is>
          <t>Every column in every sheet: its machine key, colour class and meaning. Machine keys (hidden row 4) drive the importer.</t>
        </is>
      </c>
    </row>
    <row r="5">
      <c r="A5" s="7" t="inlineStr">
        <is>
          <t>Sheet</t>
        </is>
      </c>
      <c r="B5" s="7" t="inlineStr">
        <is>
          <t>Column header</t>
        </is>
      </c>
      <c r="C5" s="7" t="inlineStr">
        <is>
          <t>Machine key</t>
        </is>
      </c>
      <c r="D5" s="7" t="inlineStr">
        <is>
          <t>Class</t>
        </is>
      </c>
      <c r="E5" s="7" t="inlineStr">
        <is>
          <t>Number format / validation</t>
        </is>
      </c>
      <c r="F5" s="7" t="inlineStr">
        <is>
          <t>Notes</t>
        </is>
      </c>
    </row>
    <row r="6">
      <c r="A6" t="inlineStr">
        <is>
          <t>Trade and Cost Code Mapping</t>
        </is>
      </c>
      <c r="B6" t="inlineStr">
        <is>
          <t>BOQ item key</t>
        </is>
      </c>
      <c r="C6" t="inlineStr">
        <is>
          <t>item_key</t>
        </is>
      </c>
      <c r="D6" t="inlineStr">
        <is>
          <t>Read-only (blue)</t>
        </is>
      </c>
      <c r="E6" t="inlineStr"/>
      <c r="F6" t="inlineStr"/>
    </row>
    <row r="7">
      <c r="A7" t="inlineStr">
        <is>
          <t>Trade and Cost Code Mapping</t>
        </is>
      </c>
      <c r="B7" t="inlineStr">
        <is>
          <t>Client code</t>
        </is>
      </c>
      <c r="C7" t="inlineStr">
        <is>
          <t>item_code</t>
        </is>
      </c>
      <c r="D7" t="inlineStr">
        <is>
          <t>Read-only (blue)</t>
        </is>
      </c>
      <c r="E7" t="inlineStr"/>
      <c r="F7" t="inlineStr"/>
    </row>
    <row r="8">
      <c r="A8" t="inlineStr">
        <is>
          <t>Trade and Cost Code Mapping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Read-only (blue)</t>
        </is>
      </c>
      <c r="E8" t="inlineStr"/>
      <c r="F8" t="inlineStr"/>
    </row>
    <row r="9">
      <c r="A9" t="inlineStr">
        <is>
          <t>Trade and Cost Code Mapping</t>
        </is>
      </c>
      <c r="B9" t="inlineStr">
        <is>
          <t>Client trade</t>
        </is>
      </c>
      <c r="C9" t="inlineStr">
        <is>
          <t>trade</t>
        </is>
      </c>
      <c r="D9" t="inlineStr">
        <is>
          <t>Read-only (blue)</t>
        </is>
      </c>
      <c r="E9" t="inlineStr"/>
      <c r="F9" t="inlineStr"/>
    </row>
    <row r="10">
      <c r="A10" t="inlineStr">
        <is>
          <t>Trade and Cost Code Mapping</t>
        </is>
      </c>
      <c r="B10" t="inlineStr">
        <is>
          <t>Cost code</t>
        </is>
      </c>
      <c r="C10" t="inlineStr">
        <is>
          <t>cost_code</t>
        </is>
      </c>
      <c r="D10" t="inlineStr">
        <is>
          <t>Input (yellow)</t>
        </is>
      </c>
      <c r="E10" t="inlineStr">
        <is>
          <t xml:space="preserve"> | list: costcodes</t>
        </is>
      </c>
      <c r="F10" t="inlineStr">
        <is>
          <t>Internal cost code from the taxonomy</t>
        </is>
      </c>
    </row>
    <row r="11">
      <c r="A11" t="inlineStr">
        <is>
          <t>Trade and Cost Code Mapping</t>
        </is>
      </c>
      <c r="B11" t="inlineStr">
        <is>
          <t>Assembly code</t>
        </is>
      </c>
      <c r="C11" t="inlineStr">
        <is>
          <t>assembly_code</t>
        </is>
      </c>
      <c r="D11" t="inlineStr">
        <is>
          <t>Input (yellow)</t>
        </is>
      </c>
      <c r="E11" t="inlineStr"/>
      <c r="F11" t="inlineStr">
        <is>
          <t>Approved assembly code to price this item</t>
        </is>
      </c>
    </row>
    <row r="12">
      <c r="A12" t="inlineStr">
        <is>
          <t>Trade and Cost Code Mapping</t>
        </is>
      </c>
      <c r="B12" t="inlineStr">
        <is>
          <t>Mapping status</t>
        </is>
      </c>
      <c r="C12" t="inlineStr">
        <is>
          <t>mapping_status</t>
        </is>
      </c>
      <c r="D12" t="inlineStr">
        <is>
          <t>Read-only (blue)</t>
        </is>
      </c>
      <c r="E12" t="inlineStr"/>
      <c r="F12" t="inlineStr"/>
    </row>
    <row r="13">
      <c r="A13" t="inlineStr">
        <is>
          <t>Trade and Cost Code Mapping</t>
        </is>
      </c>
      <c r="B13" t="inlineStr">
        <is>
          <t>Mapping source</t>
        </is>
      </c>
      <c r="C13" t="inlineStr">
        <is>
          <t>mapping_source</t>
        </is>
      </c>
      <c r="D13" t="inlineStr">
        <is>
          <t>Read-only (blue)</t>
        </is>
      </c>
      <c r="E13" t="inlineStr"/>
      <c r="F13" t="inlineStr"/>
    </row>
    <row r="14">
      <c r="A14" t="inlineStr">
        <is>
          <t>Trade and Cost Code Mapping</t>
        </is>
      </c>
      <c r="B14" t="inlineStr">
        <is>
          <t>Pricing method</t>
        </is>
      </c>
      <c r="C14" t="inlineStr">
        <is>
          <t>pricing_method</t>
        </is>
      </c>
      <c r="D14" t="inlineStr">
        <is>
          <t>Input (yellow)</t>
        </is>
      </c>
      <c r="E14" t="inlineStr">
        <is>
          <t xml:space="preserve"> | list: PricingMethod</t>
        </is>
      </c>
      <c r="F14" t="inlineStr"/>
    </row>
    <row r="15">
      <c r="A15" t="inlineStr">
        <is>
          <t>Pricing Schedule</t>
        </is>
      </c>
      <c r="B15" t="inlineStr">
        <is>
          <t>Item</t>
        </is>
      </c>
      <c r="C15" t="inlineStr">
        <is>
          <t>item_code</t>
        </is>
      </c>
      <c r="D15" t="inlineStr">
        <is>
          <t>Read-only (blue)</t>
        </is>
      </c>
      <c r="E15" t="inlineStr"/>
      <c r="F15" t="inlineStr"/>
    </row>
    <row r="16">
      <c r="A16" t="inlineStr">
        <is>
          <t>Pricing Schedule</t>
        </is>
      </c>
      <c r="B16" t="inlineStr">
        <is>
          <t>Description</t>
        </is>
      </c>
      <c r="C16" t="inlineStr">
        <is>
          <t>description</t>
        </is>
      </c>
      <c r="D16" t="inlineStr">
        <is>
          <t>Read-only (blue)</t>
        </is>
      </c>
      <c r="E16" t="inlineStr"/>
      <c r="F16" t="inlineStr"/>
    </row>
    <row r="17">
      <c r="A17" t="inlineStr">
        <is>
          <t>Pricing Schedule</t>
        </is>
      </c>
      <c r="B17" t="inlineStr">
        <is>
          <t>Unit</t>
        </is>
      </c>
      <c r="C17" t="inlineStr">
        <is>
          <t>unit</t>
        </is>
      </c>
      <c r="D17" t="inlineStr">
        <is>
          <t>Read-only (blue)</t>
        </is>
      </c>
      <c r="E17" t="inlineStr"/>
      <c r="F17" t="inlineStr"/>
    </row>
    <row r="18">
      <c r="A18" t="inlineStr">
        <is>
          <t>Pricing Schedule</t>
        </is>
      </c>
      <c r="B18" t="inlineStr">
        <is>
          <t>Quantity</t>
        </is>
      </c>
      <c r="C18" t="inlineStr">
        <is>
          <t>quantity</t>
        </is>
      </c>
      <c r="D18" t="inlineStr">
        <is>
          <t>Read-only (blue)</t>
        </is>
      </c>
      <c r="E18" t="inlineStr">
        <is>
          <t>#,##0.000</t>
        </is>
      </c>
      <c r="F18" t="inlineStr"/>
    </row>
    <row r="19">
      <c r="A19" t="inlineStr">
        <is>
          <t>Pricing Schedule</t>
        </is>
      </c>
      <c r="B19" t="inlineStr">
        <is>
          <t>Unit rate (SAR)</t>
        </is>
      </c>
      <c r="C19" t="inlineStr">
        <is>
          <t>unit_rate</t>
        </is>
      </c>
      <c r="D19" t="inlineStr">
        <is>
          <t>Read-only (blue)</t>
        </is>
      </c>
      <c r="E19" t="inlineStr">
        <is>
          <t>#,##0.00;[Red]-#,##0.00</t>
        </is>
      </c>
      <c r="F19" t="inlineStr"/>
    </row>
    <row r="20">
      <c r="A20" t="inlineStr">
        <is>
          <t>Pricing Schedule</t>
        </is>
      </c>
      <c r="B20" t="inlineStr">
        <is>
          <t>Amount (SAR)</t>
        </is>
      </c>
      <c r="C20" t="inlineStr">
        <is>
          <t>amount</t>
        </is>
      </c>
      <c r="D20" t="inlineStr">
        <is>
          <t>Formula (grey)</t>
        </is>
      </c>
      <c r="E20" t="inlineStr">
        <is>
          <t>#,##0.00;[Red]-#,##0.00</t>
        </is>
      </c>
      <c r="F20" t="inlineStr">
        <is>
          <t>Formula: =IF(OR(D{r}="",E{r}=""),"",ROUND(D{r}*E{r},2))</t>
        </is>
      </c>
    </row>
    <row r="21">
      <c r="A21" t="inlineStr">
        <is>
          <t>Pricing Schedule</t>
        </is>
      </c>
      <c r="B21" t="inlineStr">
        <is>
          <t>Engine amount</t>
        </is>
      </c>
      <c r="C21" t="inlineStr">
        <is>
          <t>engine_amount</t>
        </is>
      </c>
      <c r="D21" t="inlineStr">
        <is>
          <t>Read-only (blue)</t>
        </is>
      </c>
      <c r="E21" t="inlineStr">
        <is>
          <t>#,##0.00;[Red]-#,##0.00</t>
        </is>
      </c>
      <c r="F21" t="inlineStr"/>
    </row>
    <row r="22">
      <c r="A22" t="inlineStr">
        <is>
          <t>Pricing Schedule</t>
        </is>
      </c>
      <c r="B22" t="inlineStr">
        <is>
          <t>Check</t>
        </is>
      </c>
      <c r="C22" t="inlineStr">
        <is>
          <t>check</t>
        </is>
      </c>
      <c r="D22" t="inlineStr">
        <is>
          <t>Formula (grey)</t>
        </is>
      </c>
      <c r="E22" t="inlineStr"/>
      <c r="F22" t="inlineStr">
        <is>
          <t>Formula: =IF(OR(F{r}="",G{r}=""),"",IF(ABS(F{r}-G{r})&gt;0.01,"MISMATCH","OK"))</t>
        </is>
      </c>
    </row>
    <row r="23">
      <c r="A23" t="inlineStr">
        <is>
          <t>Pricing Schedule</t>
        </is>
      </c>
      <c r="B23" t="inlineStr">
        <is>
          <t>Status</t>
        </is>
      </c>
      <c r="C23" t="inlineStr">
        <is>
          <t>status</t>
        </is>
      </c>
      <c r="D23" t="inlineStr">
        <is>
          <t>Read-only (blue)</t>
        </is>
      </c>
      <c r="E23" t="inlineStr"/>
      <c r="F23" t="inlineStr"/>
    </row>
    <row r="24">
      <c r="A24" t="inlineStr">
        <is>
          <t>Pricing Schedule</t>
        </is>
      </c>
      <c r="B24" t="inlineStr">
        <is>
          <t>Flags</t>
        </is>
      </c>
      <c r="C24" t="inlineStr">
        <is>
          <t>flags</t>
        </is>
      </c>
      <c r="D24" t="inlineStr">
        <is>
          <t>Read-only (blue)</t>
        </is>
      </c>
      <c r="E24" t="inlineStr"/>
      <c r="F24" t="inlineStr"/>
    </row>
    <row r="25">
      <c r="A25" t="inlineStr">
        <is>
          <t>BOQ Import</t>
        </is>
      </c>
      <c r="B25" t="inlineStr">
        <is>
          <t>Item</t>
        </is>
      </c>
      <c r="C25" t="inlineStr">
        <is>
          <t>item_code</t>
        </is>
      </c>
      <c r="D25" t="inlineStr">
        <is>
          <t>Input (yellow)</t>
        </is>
      </c>
      <c r="E25" t="inlineStr"/>
      <c r="F25" t="inlineStr"/>
    </row>
    <row r="26">
      <c r="A26" t="inlineStr">
        <is>
          <t>BOQ Import</t>
        </is>
      </c>
      <c r="B26" t="inlineStr">
        <is>
          <t>Description</t>
        </is>
      </c>
      <c r="C26" t="inlineStr">
        <is>
          <t>description</t>
        </is>
      </c>
      <c r="D26" t="inlineStr">
        <is>
          <t>Input (yellow)</t>
        </is>
      </c>
      <c r="E26" t="inlineStr"/>
      <c r="F26" t="inlineStr"/>
    </row>
    <row r="27">
      <c r="A27" t="inlineStr">
        <is>
          <t>BOQ Import</t>
        </is>
      </c>
      <c r="B27" t="inlineStr">
        <is>
          <t>Trade</t>
        </is>
      </c>
      <c r="C27" t="inlineStr">
        <is>
          <t>trade</t>
        </is>
      </c>
      <c r="D27" t="inlineStr">
        <is>
          <t>Input (yellow)</t>
        </is>
      </c>
      <c r="E27" t="inlineStr"/>
      <c r="F27" t="inlineStr"/>
    </row>
    <row r="28">
      <c r="A28" t="inlineStr">
        <is>
          <t>BOQ Import</t>
        </is>
      </c>
      <c r="B28" t="inlineStr">
        <is>
          <t>Unit</t>
        </is>
      </c>
      <c r="C28" t="inlineStr">
        <is>
          <t>unit</t>
        </is>
      </c>
      <c r="D28" t="inlineStr">
        <is>
          <t>Input (yellow)</t>
        </is>
      </c>
      <c r="E28" t="inlineStr"/>
      <c r="F28" t="inlineStr"/>
    </row>
    <row r="29">
      <c r="A29" t="inlineStr">
        <is>
          <t>BOQ Import</t>
        </is>
      </c>
      <c r="B29" t="inlineStr">
        <is>
          <t>Quantity</t>
        </is>
      </c>
      <c r="C29" t="inlineStr">
        <is>
          <t>quantity</t>
        </is>
      </c>
      <c r="D29" t="inlineStr">
        <is>
          <t>Input (yellow)</t>
        </is>
      </c>
      <c r="E29" t="inlineStr">
        <is>
          <t>#,##0.000</t>
        </is>
      </c>
      <c r="F29" t="inlineStr"/>
    </row>
    <row r="30">
      <c r="A30" t="inlineStr">
        <is>
          <t>BOQ Import</t>
        </is>
      </c>
      <c r="B30" t="inlineStr">
        <is>
          <t>Client rate</t>
        </is>
      </c>
      <c r="C30" t="inlineStr">
        <is>
          <t>client_rate</t>
        </is>
      </c>
      <c r="D30" t="inlineStr">
        <is>
          <t>Input (yellow)</t>
        </is>
      </c>
      <c r="E30" t="inlineStr">
        <is>
          <t>#,##0.00;[Red]-#,##0.00</t>
        </is>
      </c>
      <c r="F30" t="inlineStr"/>
    </row>
    <row r="31">
      <c r="A31" t="inlineStr">
        <is>
          <t>BOQ Import</t>
        </is>
      </c>
      <c r="B31" t="inlineStr">
        <is>
          <t>Client amount</t>
        </is>
      </c>
      <c r="C31" t="inlineStr">
        <is>
          <t>client_amount</t>
        </is>
      </c>
      <c r="D31" t="inlineStr">
        <is>
          <t>Input (yellow)</t>
        </is>
      </c>
      <c r="E31" t="inlineStr">
        <is>
          <t>#,##0.00;[Red]-#,##0.00</t>
        </is>
      </c>
      <c r="F31" t="inlineStr"/>
    </row>
    <row r="32">
      <c r="A32" t="inlineStr">
        <is>
          <t>BOQ Import</t>
        </is>
      </c>
      <c r="B32" t="inlineStr">
        <is>
          <t>Drawing ref</t>
        </is>
      </c>
      <c r="C32" t="inlineStr">
        <is>
          <t>drawing_ref</t>
        </is>
      </c>
      <c r="D32" t="inlineStr">
        <is>
          <t>Input (yellow)</t>
        </is>
      </c>
      <c r="E32" t="inlineStr"/>
      <c r="F32" t="inlineStr"/>
    </row>
    <row r="33">
      <c r="A33" t="inlineStr">
        <is>
          <t>BOQ Import</t>
        </is>
      </c>
      <c r="B33" t="inlineStr">
        <is>
          <t>Spec ref</t>
        </is>
      </c>
      <c r="C33" t="inlineStr">
        <is>
          <t>spec_ref</t>
        </is>
      </c>
      <c r="D33" t="inlineStr">
        <is>
          <t>Input (yellow)</t>
        </is>
      </c>
      <c r="E33" t="inlineStr"/>
      <c r="F33" t="inlineStr"/>
    </row>
    <row r="34">
      <c r="A34" t="inlineStr">
        <is>
          <t>BOQ Import</t>
        </is>
      </c>
      <c r="B34" t="inlineStr">
        <is>
          <t>Cost code</t>
        </is>
      </c>
      <c r="C34" t="inlineStr">
        <is>
          <t>cost_code</t>
        </is>
      </c>
      <c r="D34" t="inlineStr">
        <is>
          <t>Input (yellow)</t>
        </is>
      </c>
      <c r="E34" t="inlineStr">
        <is>
          <t xml:space="preserve"> | list: costcodes</t>
        </is>
      </c>
      <c r="F34" t="inlineStr"/>
    </row>
    <row r="35">
      <c r="A35" t="inlineStr">
        <is>
          <t>BOQ Import</t>
        </is>
      </c>
      <c r="B35" t="inlineStr">
        <is>
          <t>Revision</t>
        </is>
      </c>
      <c r="C35" t="inlineStr">
        <is>
          <t>revision</t>
        </is>
      </c>
      <c r="D35" t="inlineStr">
        <is>
          <t>Input (yellow)</t>
        </is>
      </c>
      <c r="E35" t="inlineStr"/>
      <c r="F35" t="inlineStr"/>
    </row>
    <row r="36">
      <c r="A36" t="inlineStr">
        <is>
          <t>BOQ Import</t>
        </is>
      </c>
      <c r="B36" t="inlineStr">
        <is>
          <t>Source file</t>
        </is>
      </c>
      <c r="C36" t="inlineStr">
        <is>
          <t>source_file</t>
        </is>
      </c>
      <c r="D36" t="inlineStr">
        <is>
          <t>Read-only (blue)</t>
        </is>
      </c>
      <c r="E36" t="inlineStr"/>
      <c r="F36" t="inlineStr"/>
    </row>
    <row r="37">
      <c r="A37" t="inlineStr">
        <is>
          <t>BOQ Import</t>
        </is>
      </c>
      <c r="B37" t="inlineStr">
        <is>
          <t>Source sheet</t>
        </is>
      </c>
      <c r="C37" t="inlineStr">
        <is>
          <t>source_sheet</t>
        </is>
      </c>
      <c r="D37" t="inlineStr">
        <is>
          <t>Read-only (blue)</t>
        </is>
      </c>
      <c r="E37" t="inlineStr"/>
      <c r="F37" t="inlineStr"/>
    </row>
    <row r="38">
      <c r="A38" t="inlineStr">
        <is>
          <t>BOQ Import</t>
        </is>
      </c>
      <c r="B38" t="inlineStr">
        <is>
          <t>Source row</t>
        </is>
      </c>
      <c r="C38" t="inlineStr">
        <is>
          <t>source_row</t>
        </is>
      </c>
      <c r="D38" t="inlineStr">
        <is>
          <t>Read-only (blue)</t>
        </is>
      </c>
      <c r="E38" t="inlineStr"/>
      <c r="F38" t="inlineStr"/>
    </row>
    <row r="39">
      <c r="A39" t="inlineStr">
        <is>
          <t>BOQ Import</t>
        </is>
      </c>
      <c r="B39" t="inlineStr">
        <is>
          <t>Original qty text</t>
        </is>
      </c>
      <c r="C39" t="inlineStr">
        <is>
          <t>quantity_original</t>
        </is>
      </c>
      <c r="D39" t="inlineStr">
        <is>
          <t>Read-only (blue)</t>
        </is>
      </c>
      <c r="E39" t="inlineStr"/>
      <c r="F39" t="inlineStr"/>
    </row>
    <row r="40">
      <c r="A40" t="inlineStr">
        <is>
          <t>BOQ Import</t>
        </is>
      </c>
      <c r="B40" t="inlineStr">
        <is>
          <t>Unit status</t>
        </is>
      </c>
      <c r="C40" t="inlineStr">
        <is>
          <t>unit_status</t>
        </is>
      </c>
      <c r="D40" t="inlineStr">
        <is>
          <t>Read-only (blue)</t>
        </is>
      </c>
      <c r="E40" t="inlineStr"/>
      <c r="F40" t="inlineStr"/>
    </row>
    <row r="41">
      <c r="A41" t="inlineStr">
        <is>
          <t>BOQ Import</t>
        </is>
      </c>
      <c r="B41" t="inlineStr">
        <is>
          <t>Validation</t>
        </is>
      </c>
      <c r="C41" t="inlineStr">
        <is>
          <t>validation_status</t>
        </is>
      </c>
      <c r="D41" t="inlineStr">
        <is>
          <t>Read-only (blue)</t>
        </is>
      </c>
      <c r="E41" t="inlineStr"/>
      <c r="F41" t="inlineStr"/>
    </row>
    <row r="42">
      <c r="A42" t="inlineStr">
        <is>
          <t>BOQ Import</t>
        </is>
      </c>
      <c r="B42" t="inlineStr">
        <is>
          <t>Issues</t>
        </is>
      </c>
      <c r="C42" t="inlineStr">
        <is>
          <t>issues</t>
        </is>
      </c>
      <c r="D42" t="inlineStr">
        <is>
          <t>Read-only (blue)</t>
        </is>
      </c>
      <c r="E42" t="inlineStr"/>
      <c r="F42" t="inlineStr"/>
    </row>
    <row r="43">
      <c r="A43" t="inlineStr">
        <is>
          <t>Direct Cost Build-Up</t>
        </is>
      </c>
      <c r="B43" t="inlineStr">
        <is>
          <t>BOQ item</t>
        </is>
      </c>
      <c r="C43" t="inlineStr">
        <is>
          <t>item_key</t>
        </is>
      </c>
      <c r="D43" t="inlineStr">
        <is>
          <t>Read-only (blue)</t>
        </is>
      </c>
      <c r="E43" t="inlineStr"/>
      <c r="F43" t="inlineStr"/>
    </row>
    <row r="44">
      <c r="A44" t="inlineStr">
        <is>
          <t>Direct Cost Build-Up</t>
        </is>
      </c>
      <c r="B44" t="inlineStr">
        <is>
          <t>Assembly</t>
        </is>
      </c>
      <c r="C44" t="inlineStr">
        <is>
          <t>assembly</t>
        </is>
      </c>
      <c r="D44" t="inlineStr">
        <is>
          <t>Read-only (blue)</t>
        </is>
      </c>
      <c r="E44" t="inlineStr"/>
      <c r="F44" t="inlineStr"/>
    </row>
    <row r="45">
      <c r="A45" t="inlineStr">
        <is>
          <t>Direct Cost Build-Up</t>
        </is>
      </c>
      <c r="B45" t="inlineStr">
        <is>
          <t>Line ref</t>
        </is>
      </c>
      <c r="C45" t="inlineStr">
        <is>
          <t>line_ref</t>
        </is>
      </c>
      <c r="D45" t="inlineStr">
        <is>
          <t>Read-only (blue)</t>
        </is>
      </c>
      <c r="E45" t="inlineStr"/>
      <c r="F45" t="inlineStr"/>
    </row>
    <row r="46">
      <c r="A46" t="inlineStr">
        <is>
          <t>Direct Cost Build-Up</t>
        </is>
      </c>
      <c r="B46" t="inlineStr">
        <is>
          <t>Kind</t>
        </is>
      </c>
      <c r="C46" t="inlineStr">
        <is>
          <t>kind</t>
        </is>
      </c>
      <c r="D46" t="inlineStr">
        <is>
          <t>Read-only (blue)</t>
        </is>
      </c>
      <c r="E46" t="inlineStr"/>
      <c r="F46" t="inlineStr"/>
    </row>
    <row r="47">
      <c r="A47" t="inlineStr">
        <is>
          <t>Direct Cost Build-Up</t>
        </is>
      </c>
      <c r="B47" t="inlineStr">
        <is>
          <t>Resource ID</t>
        </is>
      </c>
      <c r="C47" t="inlineStr">
        <is>
          <t>resource_id</t>
        </is>
      </c>
      <c r="D47" t="inlineStr">
        <is>
          <t>Read-only (blue)</t>
        </is>
      </c>
      <c r="E47" t="inlineStr"/>
      <c r="F47" t="inlineStr"/>
    </row>
    <row r="48">
      <c r="A48" t="inlineStr">
        <is>
          <t>Direct Cost Build-Up</t>
        </is>
      </c>
      <c r="B48" t="inlineStr">
        <is>
          <t>Description</t>
        </is>
      </c>
      <c r="C48" t="inlineStr">
        <is>
          <t>description</t>
        </is>
      </c>
      <c r="D48" t="inlineStr">
        <is>
          <t>Read-only (blue)</t>
        </is>
      </c>
      <c r="E48" t="inlineStr"/>
      <c r="F48" t="inlineStr"/>
    </row>
    <row r="49">
      <c r="A49" t="inlineStr">
        <is>
          <t>Direct Cost Build-Up</t>
        </is>
      </c>
      <c r="B49" t="inlineStr">
        <is>
          <t>Quantity</t>
        </is>
      </c>
      <c r="C49" t="inlineStr">
        <is>
          <t>quantity</t>
        </is>
      </c>
      <c r="D49" t="inlineStr">
        <is>
          <t>Read-only (blue)</t>
        </is>
      </c>
      <c r="E49" t="inlineStr">
        <is>
          <t>#,##0.000</t>
        </is>
      </c>
      <c r="F49" t="inlineStr"/>
    </row>
    <row r="50">
      <c r="A50" t="inlineStr">
        <is>
          <t>Direct Cost Build-Up</t>
        </is>
      </c>
      <c r="B50" t="inlineStr">
        <is>
          <t>Unit</t>
        </is>
      </c>
      <c r="C50" t="inlineStr">
        <is>
          <t>unit</t>
        </is>
      </c>
      <c r="D50" t="inlineStr">
        <is>
          <t>Read-only (blue)</t>
        </is>
      </c>
      <c r="E50" t="inlineStr"/>
      <c r="F50" t="inlineStr"/>
    </row>
    <row r="51">
      <c r="A51" t="inlineStr">
        <is>
          <t>Direct Cost Build-Up</t>
        </is>
      </c>
      <c r="B51" t="inlineStr">
        <is>
          <t>Rate (SAR)</t>
        </is>
      </c>
      <c r="C51" t="inlineStr">
        <is>
          <t>rate</t>
        </is>
      </c>
      <c r="D51" t="inlineStr">
        <is>
          <t>Read-only (blue)</t>
        </is>
      </c>
      <c r="E51" t="inlineStr">
        <is>
          <t>#,##0.0000</t>
        </is>
      </c>
      <c r="F51" t="inlineStr"/>
    </row>
    <row r="52">
      <c r="A52" t="inlineStr">
        <is>
          <t>Direct Cost Build-Up</t>
        </is>
      </c>
      <c r="B52" t="inlineStr">
        <is>
          <t>Amount (SAR)</t>
        </is>
      </c>
      <c r="C52" t="inlineStr">
        <is>
          <t>amount</t>
        </is>
      </c>
      <c r="D52" t="inlineStr">
        <is>
          <t>Formula (grey)</t>
        </is>
      </c>
      <c r="E52" t="inlineStr">
        <is>
          <t>#,##0.00;[Red]-#,##0.00</t>
        </is>
      </c>
      <c r="F52" t="inlineStr">
        <is>
          <t>Formula: =IF(OR(G{r}="",I{r}=""),"",ROUND(G{r}*I{r},2))</t>
        </is>
      </c>
    </row>
    <row r="53">
      <c r="A53" t="inlineStr">
        <is>
          <t>Direct Cost Build-Up</t>
        </is>
      </c>
      <c r="B53" t="inlineStr">
        <is>
          <t>Engine amount</t>
        </is>
      </c>
      <c r="C53" t="inlineStr">
        <is>
          <t>engine_amount</t>
        </is>
      </c>
      <c r="D53" t="inlineStr">
        <is>
          <t>Read-only (blue)</t>
        </is>
      </c>
      <c r="E53" t="inlineStr">
        <is>
          <t>#,##0.00;[Red]-#,##0.00</t>
        </is>
      </c>
      <c r="F53" t="inlineStr"/>
    </row>
    <row r="54">
      <c r="A54" t="inlineStr">
        <is>
          <t>Direct Cost Build-Up</t>
        </is>
      </c>
      <c r="B54" t="inlineStr">
        <is>
          <t>Check</t>
        </is>
      </c>
      <c r="C54" t="inlineStr">
        <is>
          <t>check</t>
        </is>
      </c>
      <c r="D54" t="inlineStr">
        <is>
          <t>Formula (grey)</t>
        </is>
      </c>
      <c r="E54" t="inlineStr"/>
      <c r="F54" t="inlineStr">
        <is>
          <t>Formula: =IF(OR(J{r}="",K{r}=""),"",IF(ABS(J{r}-K{r})&gt;0.01,"MISMATCH","OK"))</t>
        </is>
      </c>
    </row>
    <row r="55">
      <c r="A55" t="inlineStr">
        <is>
          <t>Direct Cost Build-Up</t>
        </is>
      </c>
      <c r="B55" t="inlineStr">
        <is>
          <t>Rate type</t>
        </is>
      </c>
      <c r="C55" t="inlineStr">
        <is>
          <t>rate_type</t>
        </is>
      </c>
      <c r="D55" t="inlineStr">
        <is>
          <t>Read-only (blue)</t>
        </is>
      </c>
      <c r="E55" t="inlineStr"/>
      <c r="F55" t="inlineStr"/>
    </row>
    <row r="56">
      <c r="A56" t="inlineStr">
        <is>
          <t>Direct Cost Build-Up</t>
        </is>
      </c>
      <c r="B56" t="inlineStr">
        <is>
          <t>Rate status</t>
        </is>
      </c>
      <c r="C56" t="inlineStr">
        <is>
          <t>rate_status</t>
        </is>
      </c>
      <c r="D56" t="inlineStr">
        <is>
          <t>Read-only (blue)</t>
        </is>
      </c>
      <c r="E56" t="inlineStr"/>
      <c r="F56" t="inlineStr"/>
    </row>
    <row r="57">
      <c r="A57" t="inlineStr">
        <is>
          <t>Direct Cost Build-Up</t>
        </is>
      </c>
      <c r="B57" t="inlineStr">
        <is>
          <t>Eligibility</t>
        </is>
      </c>
      <c r="C57" t="inlineStr">
        <is>
          <t>eligibility</t>
        </is>
      </c>
      <c r="D57" t="inlineStr">
        <is>
          <t>Read-only (blue)</t>
        </is>
      </c>
      <c r="E57" t="inlineStr"/>
      <c r="F57" t="inlineStr"/>
    </row>
    <row r="58">
      <c r="A58" t="inlineStr">
        <is>
          <t>Direct Cost Build-Up</t>
        </is>
      </c>
      <c r="B58" t="inlineStr">
        <is>
          <t>Calculation basis</t>
        </is>
      </c>
      <c r="C58" t="inlineStr">
        <is>
          <t>basis</t>
        </is>
      </c>
      <c r="D58" t="inlineStr">
        <is>
          <t>Read-only (blue)</t>
        </is>
      </c>
      <c r="E58" t="inlineStr"/>
      <c r="F58" t="inlineStr"/>
    </row>
    <row r="59">
      <c r="A59" t="inlineStr">
        <is>
          <t>Direct Cost Build-Up</t>
        </is>
      </c>
      <c r="B59" t="inlineStr">
        <is>
          <t>Flags</t>
        </is>
      </c>
      <c r="C59" t="inlineStr">
        <is>
          <t>flags</t>
        </is>
      </c>
      <c r="D59" t="inlineStr">
        <is>
          <t>Read-only (blue)</t>
        </is>
      </c>
      <c r="E59" t="inlineStr"/>
      <c r="F59" t="inlineStr"/>
    </row>
    <row r="60">
      <c r="A60" t="inlineStr">
        <is>
          <t>Labour Library</t>
        </is>
      </c>
      <c r="B60" t="inlineStr">
        <is>
          <t>Resource ID</t>
        </is>
      </c>
      <c r="C60" t="inlineStr">
        <is>
          <t>id</t>
        </is>
      </c>
      <c r="D60" t="inlineStr">
        <is>
          <t>Read-only (blue)</t>
        </is>
      </c>
      <c r="E60" t="inlineStr"/>
      <c r="F60" t="inlineStr"/>
    </row>
    <row r="61">
      <c r="A61" t="inlineStr">
        <is>
          <t>Labour Library</t>
        </is>
      </c>
      <c r="B61" t="inlineStr">
        <is>
          <t>Cost code</t>
        </is>
      </c>
      <c r="C61" t="inlineStr">
        <is>
          <t>cost_code</t>
        </is>
      </c>
      <c r="D61" t="inlineStr">
        <is>
          <t>Input (yellow)</t>
        </is>
      </c>
      <c r="E61" t="inlineStr">
        <is>
          <t xml:space="preserve"> | list: costcodes</t>
        </is>
      </c>
      <c r="F61" t="inlineStr"/>
    </row>
    <row r="62">
      <c r="A62" t="inlineStr">
        <is>
          <t>Labour Library</t>
        </is>
      </c>
      <c r="B62" t="inlineStr">
        <is>
          <t>Category</t>
        </is>
      </c>
      <c r="C62" t="inlineStr">
        <is>
          <t>category</t>
        </is>
      </c>
      <c r="D62" t="inlineStr">
        <is>
          <t>Input (yellow)</t>
        </is>
      </c>
      <c r="E62" t="inlineStr"/>
      <c r="F62" t="inlineStr"/>
    </row>
    <row r="63">
      <c r="A63" t="inlineStr">
        <is>
          <t>Labour Library</t>
        </is>
      </c>
      <c r="B63" t="inlineStr">
        <is>
          <t>Description</t>
        </is>
      </c>
      <c r="C63" t="inlineStr">
        <is>
          <t>description</t>
        </is>
      </c>
      <c r="D63" t="inlineStr">
        <is>
          <t>Input (yellow)</t>
        </is>
      </c>
      <c r="E63" t="inlineStr"/>
      <c r="F63" t="inlineStr"/>
    </row>
    <row r="64">
      <c r="A64" t="inlineStr">
        <is>
          <t>Labour Library</t>
        </is>
      </c>
      <c r="B64" t="inlineStr">
        <is>
          <t>Specification</t>
        </is>
      </c>
      <c r="C64" t="inlineStr">
        <is>
          <t>specification</t>
        </is>
      </c>
      <c r="D64" t="inlineStr">
        <is>
          <t>Input (yellow)</t>
        </is>
      </c>
      <c r="E64" t="inlineStr"/>
      <c r="F64" t="inlineStr"/>
    </row>
    <row r="65">
      <c r="A65" t="inlineStr">
        <is>
          <t>Labour Library</t>
        </is>
      </c>
      <c r="B65" t="inlineStr">
        <is>
          <t>Unit</t>
        </is>
      </c>
      <c r="C65" t="inlineStr">
        <is>
          <t>unit</t>
        </is>
      </c>
      <c r="D65" t="inlineStr">
        <is>
          <t>Input (yellow)</t>
        </is>
      </c>
      <c r="E65" t="inlineStr">
        <is>
          <t xml:space="preserve"> | list: units</t>
        </is>
      </c>
      <c r="F65" t="inlineStr"/>
    </row>
    <row r="66">
      <c r="A66" t="inlineStr">
        <is>
          <t>Labour Library</t>
        </is>
      </c>
      <c r="B66" t="inlineStr">
        <is>
          <t>Current approved rate</t>
        </is>
      </c>
      <c r="C66" t="inlineStr">
        <is>
          <t>rate</t>
        </is>
      </c>
      <c r="D66" t="inlineStr">
        <is>
          <t>Read-only (blue)</t>
        </is>
      </c>
      <c r="E66" t="inlineStr">
        <is>
          <t>#,##0.00;[Red]-#,##0.00</t>
        </is>
      </c>
      <c r="F66" t="inlineStr"/>
    </row>
    <row r="67">
      <c r="A67" t="inlineStr">
        <is>
          <t>Labour Library</t>
        </is>
      </c>
      <c r="B67" t="inlineStr">
        <is>
          <t>Currency</t>
        </is>
      </c>
      <c r="C67" t="inlineStr">
        <is>
          <t>currency</t>
        </is>
      </c>
      <c r="D67" t="inlineStr">
        <is>
          <t>Read-only (blue)</t>
        </is>
      </c>
      <c r="E67" t="inlineStr"/>
      <c r="F67" t="inlineStr"/>
    </row>
    <row r="68">
      <c r="A68" t="inlineStr">
        <is>
          <t>Labour Library</t>
        </is>
      </c>
      <c r="B68" t="inlineStr">
        <is>
          <t>Rate type</t>
        </is>
      </c>
      <c r="C68" t="inlineStr">
        <is>
          <t>rate_type</t>
        </is>
      </c>
      <c r="D68" t="inlineStr">
        <is>
          <t>Read-only (blue)</t>
        </is>
      </c>
      <c r="E68" t="inlineStr"/>
      <c r="F68" t="inlineStr"/>
    </row>
    <row r="69">
      <c r="A69" t="inlineStr">
        <is>
          <t>Labour Library</t>
        </is>
      </c>
      <c r="B69" t="inlineStr">
        <is>
          <t>Rate status</t>
        </is>
      </c>
      <c r="C69" t="inlineStr">
        <is>
          <t>rate_status</t>
        </is>
      </c>
      <c r="D69" t="inlineStr">
        <is>
          <t>Read-only (blue)</t>
        </is>
      </c>
      <c r="E69" t="inlineStr"/>
      <c r="F69" t="inlineStr"/>
    </row>
    <row r="70">
      <c r="A70" t="inlineStr">
        <is>
          <t>Labour Library</t>
        </is>
      </c>
      <c r="B70" t="inlineStr">
        <is>
          <t>Price date</t>
        </is>
      </c>
      <c r="C70" t="inlineStr">
        <is>
          <t>price_date</t>
        </is>
      </c>
      <c r="D70" t="inlineStr">
        <is>
          <t>Read-only (blue)</t>
        </is>
      </c>
      <c r="E70" t="inlineStr">
        <is>
          <t>yyyy-mm-dd</t>
        </is>
      </c>
      <c r="F70" t="inlineStr"/>
    </row>
    <row r="71">
      <c r="A71" t="inlineStr">
        <is>
          <t>Labour Library</t>
        </is>
      </c>
      <c r="B71" t="inlineStr">
        <is>
          <t>Valid until</t>
        </is>
      </c>
      <c r="C71" t="inlineStr">
        <is>
          <t>valid_until</t>
        </is>
      </c>
      <c r="D71" t="inlineStr">
        <is>
          <t>Read-only (blue)</t>
        </is>
      </c>
      <c r="E71" t="inlineStr">
        <is>
          <t>yyyy-mm-dd</t>
        </is>
      </c>
      <c r="F71" t="inlineStr"/>
    </row>
    <row r="72">
      <c r="A72" t="inlineStr">
        <is>
          <t>Labour Library</t>
        </is>
      </c>
      <c r="B72" t="inlineStr">
        <is>
          <t>Supplier</t>
        </is>
      </c>
      <c r="C72" t="inlineStr">
        <is>
          <t>supplier</t>
        </is>
      </c>
      <c r="D72" t="inlineStr">
        <is>
          <t>Read-only (blue)</t>
        </is>
      </c>
      <c r="E72" t="inlineStr"/>
      <c r="F72" t="inlineStr"/>
    </row>
    <row r="73">
      <c r="A73" t="inlineStr">
        <is>
          <t>Labour Library</t>
        </is>
      </c>
      <c r="B73" t="inlineStr">
        <is>
          <t>Source / evidence</t>
        </is>
      </c>
      <c r="C73" t="inlineStr">
        <is>
          <t>evidence</t>
        </is>
      </c>
      <c r="D73" t="inlineStr">
        <is>
          <t>Read-only (blue)</t>
        </is>
      </c>
      <c r="E73" t="inlineStr"/>
      <c r="F73" t="inlineStr"/>
    </row>
    <row r="74">
      <c r="A74" t="inlineStr">
        <is>
          <t>Labour Library</t>
        </is>
      </c>
      <c r="B74" t="inlineStr">
        <is>
          <t>Confidence</t>
        </is>
      </c>
      <c r="C74" t="inlineStr">
        <is>
          <t>confidence</t>
        </is>
      </c>
      <c r="D74" t="inlineStr">
        <is>
          <t>Read-only (blue)</t>
        </is>
      </c>
      <c r="E74" t="inlineStr"/>
      <c r="F74" t="inlineStr"/>
    </row>
    <row r="75">
      <c r="A75" t="inlineStr">
        <is>
          <t>Labour Library</t>
        </is>
      </c>
      <c r="B75" t="inlineStr">
        <is>
          <t>Region</t>
        </is>
      </c>
      <c r="C75" t="inlineStr">
        <is>
          <t>region</t>
        </is>
      </c>
      <c r="D75" t="inlineStr">
        <is>
          <t>Read-only (blue)</t>
        </is>
      </c>
      <c r="E75" t="inlineStr"/>
      <c r="F75" t="inlineStr"/>
    </row>
    <row r="76">
      <c r="A76" t="inlineStr">
        <is>
          <t>Labour Library</t>
        </is>
      </c>
      <c r="B76" t="inlineStr">
        <is>
          <t>PROPOSED new rate</t>
        </is>
      </c>
      <c r="C76" t="inlineStr">
        <is>
          <t>new_rate</t>
        </is>
      </c>
      <c r="D76" t="inlineStr">
        <is>
          <t>Input (yellow)</t>
        </is>
      </c>
      <c r="E76" t="inlineStr">
        <is>
          <t>#,##0.00;[Red]-#,##0.00</t>
        </is>
      </c>
      <c r="F76" t="inlineStr">
        <is>
          <t>Imported as a Draft rate proposal; never auto-approved</t>
        </is>
      </c>
    </row>
    <row r="77">
      <c r="A77" t="inlineStr">
        <is>
          <t>Labour Library</t>
        </is>
      </c>
      <c r="B77" t="inlineStr">
        <is>
          <t>Proposed rate type</t>
        </is>
      </c>
      <c r="C77" t="inlineStr">
        <is>
          <t>new_rate_type</t>
        </is>
      </c>
      <c r="D77" t="inlineStr">
        <is>
          <t>Input (yellow)</t>
        </is>
      </c>
      <c r="E77" t="inlineStr">
        <is>
          <t xml:space="preserve"> | list: RateType</t>
        </is>
      </c>
      <c r="F77" t="inlineStr"/>
    </row>
    <row r="78">
      <c r="A78" t="inlineStr">
        <is>
          <t>Labour Library</t>
        </is>
      </c>
      <c r="B78" t="inlineStr">
        <is>
          <t>Proposed currency</t>
        </is>
      </c>
      <c r="C78" t="inlineStr">
        <is>
          <t>new_currency</t>
        </is>
      </c>
      <c r="D78" t="inlineStr">
        <is>
          <t>Input (yellow)</t>
        </is>
      </c>
      <c r="E78" t="inlineStr"/>
      <c r="F78" t="inlineStr"/>
    </row>
    <row r="79">
      <c r="A79" t="inlineStr">
        <is>
          <t>Labour Library</t>
        </is>
      </c>
      <c r="B79" t="inlineStr">
        <is>
          <t>Proposed price date</t>
        </is>
      </c>
      <c r="C79" t="inlineStr">
        <is>
          <t>new_price_date</t>
        </is>
      </c>
      <c r="D79" t="inlineStr">
        <is>
          <t>Input (yellow)</t>
        </is>
      </c>
      <c r="E79" t="inlineStr">
        <is>
          <t>yyyy-mm-dd</t>
        </is>
      </c>
      <c r="F79" t="inlineStr"/>
    </row>
    <row r="80">
      <c r="A80" t="inlineStr">
        <is>
          <t>Labour Library</t>
        </is>
      </c>
      <c r="B80" t="inlineStr">
        <is>
          <t>Proposed valid until</t>
        </is>
      </c>
      <c r="C80" t="inlineStr">
        <is>
          <t>new_valid_until</t>
        </is>
      </c>
      <c r="D80" t="inlineStr">
        <is>
          <t>Input (yellow)</t>
        </is>
      </c>
      <c r="E80" t="inlineStr">
        <is>
          <t>yyyy-mm-dd</t>
        </is>
      </c>
      <c r="F80" t="inlineStr"/>
    </row>
    <row r="81">
      <c r="A81" t="inlineStr">
        <is>
          <t>Labour Library</t>
        </is>
      </c>
      <c r="B81" t="inlineStr">
        <is>
          <t>Proposed source / evidence</t>
        </is>
      </c>
      <c r="C81" t="inlineStr">
        <is>
          <t>new_evidence</t>
        </is>
      </c>
      <c r="D81" t="inlineStr">
        <is>
          <t>Input (yellow)</t>
        </is>
      </c>
      <c r="E81" t="inlineStr"/>
      <c r="F81" t="inlineStr"/>
    </row>
    <row r="82">
      <c r="A82" t="inlineStr">
        <is>
          <t>Material Library</t>
        </is>
      </c>
      <c r="B82" t="inlineStr">
        <is>
          <t>Resource ID</t>
        </is>
      </c>
      <c r="C82" t="inlineStr">
        <is>
          <t>id</t>
        </is>
      </c>
      <c r="D82" t="inlineStr">
        <is>
          <t>Read-only (blue)</t>
        </is>
      </c>
      <c r="E82" t="inlineStr"/>
      <c r="F82" t="inlineStr"/>
    </row>
    <row r="83">
      <c r="A83" t="inlineStr">
        <is>
          <t>Material Library</t>
        </is>
      </c>
      <c r="B83" t="inlineStr">
        <is>
          <t>Cost code</t>
        </is>
      </c>
      <c r="C83" t="inlineStr">
        <is>
          <t>cost_code</t>
        </is>
      </c>
      <c r="D83" t="inlineStr">
        <is>
          <t>Input (yellow)</t>
        </is>
      </c>
      <c r="E83" t="inlineStr">
        <is>
          <t xml:space="preserve"> | list: costcodes</t>
        </is>
      </c>
      <c r="F83" t="inlineStr"/>
    </row>
    <row r="84">
      <c r="A84" t="inlineStr">
        <is>
          <t>Material Library</t>
        </is>
      </c>
      <c r="B84" t="inlineStr">
        <is>
          <t>Category</t>
        </is>
      </c>
      <c r="C84" t="inlineStr">
        <is>
          <t>category</t>
        </is>
      </c>
      <c r="D84" t="inlineStr">
        <is>
          <t>Input (yellow)</t>
        </is>
      </c>
      <c r="E84" t="inlineStr"/>
      <c r="F84" t="inlineStr"/>
    </row>
    <row r="85">
      <c r="A85" t="inlineStr">
        <is>
          <t>Material Library</t>
        </is>
      </c>
      <c r="B85" t="inlineStr">
        <is>
          <t>Description</t>
        </is>
      </c>
      <c r="C85" t="inlineStr">
        <is>
          <t>description</t>
        </is>
      </c>
      <c r="D85" t="inlineStr">
        <is>
          <t>Input (yellow)</t>
        </is>
      </c>
      <c r="E85" t="inlineStr"/>
      <c r="F85" t="inlineStr"/>
    </row>
    <row r="86">
      <c r="A86" t="inlineStr">
        <is>
          <t>Material Library</t>
        </is>
      </c>
      <c r="B86" t="inlineStr">
        <is>
          <t>Specification</t>
        </is>
      </c>
      <c r="C86" t="inlineStr">
        <is>
          <t>specification</t>
        </is>
      </c>
      <c r="D86" t="inlineStr">
        <is>
          <t>Input (yellow)</t>
        </is>
      </c>
      <c r="E86" t="inlineStr"/>
      <c r="F86" t="inlineStr"/>
    </row>
    <row r="87">
      <c r="A87" t="inlineStr">
        <is>
          <t>Material Library</t>
        </is>
      </c>
      <c r="B87" t="inlineStr">
        <is>
          <t>Unit</t>
        </is>
      </c>
      <c r="C87" t="inlineStr">
        <is>
          <t>unit</t>
        </is>
      </c>
      <c r="D87" t="inlineStr">
        <is>
          <t>Input (yellow)</t>
        </is>
      </c>
      <c r="E87" t="inlineStr">
        <is>
          <t xml:space="preserve"> | list: units</t>
        </is>
      </c>
      <c r="F87" t="inlineStr"/>
    </row>
    <row r="88">
      <c r="A88" t="inlineStr">
        <is>
          <t>Material Library</t>
        </is>
      </c>
      <c r="B88" t="inlineStr">
        <is>
          <t>Current approved rate</t>
        </is>
      </c>
      <c r="C88" t="inlineStr">
        <is>
          <t>rate</t>
        </is>
      </c>
      <c r="D88" t="inlineStr">
        <is>
          <t>Read-only (blue)</t>
        </is>
      </c>
      <c r="E88" t="inlineStr">
        <is>
          <t>#,##0.00;[Red]-#,##0.00</t>
        </is>
      </c>
      <c r="F88" t="inlineStr"/>
    </row>
    <row r="89">
      <c r="A89" t="inlineStr">
        <is>
          <t>Material Library</t>
        </is>
      </c>
      <c r="B89" t="inlineStr">
        <is>
          <t>Currency</t>
        </is>
      </c>
      <c r="C89" t="inlineStr">
        <is>
          <t>currency</t>
        </is>
      </c>
      <c r="D89" t="inlineStr">
        <is>
          <t>Read-only (blue)</t>
        </is>
      </c>
      <c r="E89" t="inlineStr"/>
      <c r="F89" t="inlineStr"/>
    </row>
    <row r="90">
      <c r="A90" t="inlineStr">
        <is>
          <t>Material Library</t>
        </is>
      </c>
      <c r="B90" t="inlineStr">
        <is>
          <t>Rate type</t>
        </is>
      </c>
      <c r="C90" t="inlineStr">
        <is>
          <t>rate_type</t>
        </is>
      </c>
      <c r="D90" t="inlineStr">
        <is>
          <t>Read-only (blue)</t>
        </is>
      </c>
      <c r="E90" t="inlineStr"/>
      <c r="F90" t="inlineStr"/>
    </row>
    <row r="91">
      <c r="A91" t="inlineStr">
        <is>
          <t>Material Library</t>
        </is>
      </c>
      <c r="B91" t="inlineStr">
        <is>
          <t>Rate status</t>
        </is>
      </c>
      <c r="C91" t="inlineStr">
        <is>
          <t>rate_status</t>
        </is>
      </c>
      <c r="D91" t="inlineStr">
        <is>
          <t>Read-only (blue)</t>
        </is>
      </c>
      <c r="E91" t="inlineStr"/>
      <c r="F91" t="inlineStr"/>
    </row>
    <row r="92">
      <c r="A92" t="inlineStr">
        <is>
          <t>Material Library</t>
        </is>
      </c>
      <c r="B92" t="inlineStr">
        <is>
          <t>Price date</t>
        </is>
      </c>
      <c r="C92" t="inlineStr">
        <is>
          <t>price_date</t>
        </is>
      </c>
      <c r="D92" t="inlineStr">
        <is>
          <t>Read-only (blue)</t>
        </is>
      </c>
      <c r="E92" t="inlineStr">
        <is>
          <t>yyyy-mm-dd</t>
        </is>
      </c>
      <c r="F92" t="inlineStr"/>
    </row>
    <row r="93">
      <c r="A93" t="inlineStr">
        <is>
          <t>Material Library</t>
        </is>
      </c>
      <c r="B93" t="inlineStr">
        <is>
          <t>Valid until</t>
        </is>
      </c>
      <c r="C93" t="inlineStr">
        <is>
          <t>valid_until</t>
        </is>
      </c>
      <c r="D93" t="inlineStr">
        <is>
          <t>Read-only (blue)</t>
        </is>
      </c>
      <c r="E93" t="inlineStr">
        <is>
          <t>yyyy-mm-dd</t>
        </is>
      </c>
      <c r="F93" t="inlineStr"/>
    </row>
    <row r="94">
      <c r="A94" t="inlineStr">
        <is>
          <t>Material Library</t>
        </is>
      </c>
      <c r="B94" t="inlineStr">
        <is>
          <t>Supplier</t>
        </is>
      </c>
      <c r="C94" t="inlineStr">
        <is>
          <t>supplier</t>
        </is>
      </c>
      <c r="D94" t="inlineStr">
        <is>
          <t>Read-only (blue)</t>
        </is>
      </c>
      <c r="E94" t="inlineStr"/>
      <c r="F94" t="inlineStr"/>
    </row>
    <row r="95">
      <c r="A95" t="inlineStr">
        <is>
          <t>Material Library</t>
        </is>
      </c>
      <c r="B95" t="inlineStr">
        <is>
          <t>Source / evidence</t>
        </is>
      </c>
      <c r="C95" t="inlineStr">
        <is>
          <t>evidence</t>
        </is>
      </c>
      <c r="D95" t="inlineStr">
        <is>
          <t>Read-only (blue)</t>
        </is>
      </c>
      <c r="E95" t="inlineStr"/>
      <c r="F95" t="inlineStr"/>
    </row>
    <row r="96">
      <c r="A96" t="inlineStr">
        <is>
          <t>Material Library</t>
        </is>
      </c>
      <c r="B96" t="inlineStr">
        <is>
          <t>Confidence</t>
        </is>
      </c>
      <c r="C96" t="inlineStr">
        <is>
          <t>confidence</t>
        </is>
      </c>
      <c r="D96" t="inlineStr">
        <is>
          <t>Read-only (blue)</t>
        </is>
      </c>
      <c r="E96" t="inlineStr"/>
      <c r="F96" t="inlineStr"/>
    </row>
    <row r="97">
      <c r="A97" t="inlineStr">
        <is>
          <t>Material Library</t>
        </is>
      </c>
      <c r="B97" t="inlineStr">
        <is>
          <t>Region</t>
        </is>
      </c>
      <c r="C97" t="inlineStr">
        <is>
          <t>region</t>
        </is>
      </c>
      <c r="D97" t="inlineStr">
        <is>
          <t>Read-only (blue)</t>
        </is>
      </c>
      <c r="E97" t="inlineStr"/>
      <c r="F97" t="inlineStr"/>
    </row>
    <row r="98">
      <c r="A98" t="inlineStr">
        <is>
          <t>Material Library</t>
        </is>
      </c>
      <c r="B98" t="inlineStr">
        <is>
          <t>PROPOSED new rate</t>
        </is>
      </c>
      <c r="C98" t="inlineStr">
        <is>
          <t>new_rate</t>
        </is>
      </c>
      <c r="D98" t="inlineStr">
        <is>
          <t>Input (yellow)</t>
        </is>
      </c>
      <c r="E98" t="inlineStr">
        <is>
          <t>#,##0.00;[Red]-#,##0.00</t>
        </is>
      </c>
      <c r="F98" t="inlineStr">
        <is>
          <t>Imported as a Draft rate proposal; never auto-approved</t>
        </is>
      </c>
    </row>
    <row r="99">
      <c r="A99" t="inlineStr">
        <is>
          <t>Material Library</t>
        </is>
      </c>
      <c r="B99" t="inlineStr">
        <is>
          <t>Proposed rate type</t>
        </is>
      </c>
      <c r="C99" t="inlineStr">
        <is>
          <t>new_rate_type</t>
        </is>
      </c>
      <c r="D99" t="inlineStr">
        <is>
          <t>Input (yellow)</t>
        </is>
      </c>
      <c r="E99" t="inlineStr">
        <is>
          <t xml:space="preserve"> | list: RateType</t>
        </is>
      </c>
      <c r="F99" t="inlineStr"/>
    </row>
    <row r="100">
      <c r="A100" t="inlineStr">
        <is>
          <t>Material Library</t>
        </is>
      </c>
      <c r="B100" t="inlineStr">
        <is>
          <t>Proposed currency</t>
        </is>
      </c>
      <c r="C100" t="inlineStr">
        <is>
          <t>new_currency</t>
        </is>
      </c>
      <c r="D100" t="inlineStr">
        <is>
          <t>Input (yellow)</t>
        </is>
      </c>
      <c r="E100" t="inlineStr"/>
      <c r="F100" t="inlineStr"/>
    </row>
    <row r="101">
      <c r="A101" t="inlineStr">
        <is>
          <t>Material Library</t>
        </is>
      </c>
      <c r="B101" t="inlineStr">
        <is>
          <t>Proposed price date</t>
        </is>
      </c>
      <c r="C101" t="inlineStr">
        <is>
          <t>new_price_date</t>
        </is>
      </c>
      <c r="D101" t="inlineStr">
        <is>
          <t>Input (yellow)</t>
        </is>
      </c>
      <c r="E101" t="inlineStr">
        <is>
          <t>yyyy-mm-dd</t>
        </is>
      </c>
      <c r="F101" t="inlineStr"/>
    </row>
    <row r="102">
      <c r="A102" t="inlineStr">
        <is>
          <t>Material Library</t>
        </is>
      </c>
      <c r="B102" t="inlineStr">
        <is>
          <t>Proposed valid until</t>
        </is>
      </c>
      <c r="C102" t="inlineStr">
        <is>
          <t>new_valid_until</t>
        </is>
      </c>
      <c r="D102" t="inlineStr">
        <is>
          <t>Input (yellow)</t>
        </is>
      </c>
      <c r="E102" t="inlineStr">
        <is>
          <t>yyyy-mm-dd</t>
        </is>
      </c>
      <c r="F102" t="inlineStr"/>
    </row>
    <row r="103">
      <c r="A103" t="inlineStr">
        <is>
          <t>Material Library</t>
        </is>
      </c>
      <c r="B103" t="inlineStr">
        <is>
          <t>Proposed source / evidence</t>
        </is>
      </c>
      <c r="C103" t="inlineStr">
        <is>
          <t>new_evidence</t>
        </is>
      </c>
      <c r="D103" t="inlineStr">
        <is>
          <t>Input (yellow)</t>
        </is>
      </c>
      <c r="E103" t="inlineStr"/>
      <c r="F103" t="inlineStr"/>
    </row>
    <row r="104">
      <c r="A104" t="inlineStr">
        <is>
          <t>Plant and Equipment Library</t>
        </is>
      </c>
      <c r="B104" t="inlineStr">
        <is>
          <t>Resource ID</t>
        </is>
      </c>
      <c r="C104" t="inlineStr">
        <is>
          <t>id</t>
        </is>
      </c>
      <c r="D104" t="inlineStr">
        <is>
          <t>Read-only (blue)</t>
        </is>
      </c>
      <c r="E104" t="inlineStr"/>
      <c r="F104" t="inlineStr"/>
    </row>
    <row r="105">
      <c r="A105" t="inlineStr">
        <is>
          <t>Plant and Equipment Library</t>
        </is>
      </c>
      <c r="B105" t="inlineStr">
        <is>
          <t>Cost code</t>
        </is>
      </c>
      <c r="C105" t="inlineStr">
        <is>
          <t>cost_code</t>
        </is>
      </c>
      <c r="D105" t="inlineStr">
        <is>
          <t>Input (yellow)</t>
        </is>
      </c>
      <c r="E105" t="inlineStr">
        <is>
          <t xml:space="preserve"> | list: costcodes</t>
        </is>
      </c>
      <c r="F105" t="inlineStr"/>
    </row>
    <row r="106">
      <c r="A106" t="inlineStr">
        <is>
          <t>Plant and Equipment Library</t>
        </is>
      </c>
      <c r="B106" t="inlineStr">
        <is>
          <t>Category</t>
        </is>
      </c>
      <c r="C106" t="inlineStr">
        <is>
          <t>category</t>
        </is>
      </c>
      <c r="D106" t="inlineStr">
        <is>
          <t>Input (yellow)</t>
        </is>
      </c>
      <c r="E106" t="inlineStr"/>
      <c r="F106" t="inlineStr"/>
    </row>
    <row r="107">
      <c r="A107" t="inlineStr">
        <is>
          <t>Plant and Equipment Library</t>
        </is>
      </c>
      <c r="B107" t="inlineStr">
        <is>
          <t>Description</t>
        </is>
      </c>
      <c r="C107" t="inlineStr">
        <is>
          <t>description</t>
        </is>
      </c>
      <c r="D107" t="inlineStr">
        <is>
          <t>Input (yellow)</t>
        </is>
      </c>
      <c r="E107" t="inlineStr"/>
      <c r="F107" t="inlineStr"/>
    </row>
    <row r="108">
      <c r="A108" t="inlineStr">
        <is>
          <t>Plant and Equipment Library</t>
        </is>
      </c>
      <c r="B108" t="inlineStr">
        <is>
          <t>Specification</t>
        </is>
      </c>
      <c r="C108" t="inlineStr">
        <is>
          <t>specification</t>
        </is>
      </c>
      <c r="D108" t="inlineStr">
        <is>
          <t>Input (yellow)</t>
        </is>
      </c>
      <c r="E108" t="inlineStr"/>
      <c r="F108" t="inlineStr"/>
    </row>
    <row r="109">
      <c r="A109" t="inlineStr">
        <is>
          <t>Plant and Equipment Library</t>
        </is>
      </c>
      <c r="B109" t="inlineStr">
        <is>
          <t>Unit</t>
        </is>
      </c>
      <c r="C109" t="inlineStr">
        <is>
          <t>unit</t>
        </is>
      </c>
      <c r="D109" t="inlineStr">
        <is>
          <t>Input (yellow)</t>
        </is>
      </c>
      <c r="E109" t="inlineStr">
        <is>
          <t xml:space="preserve"> | list: units</t>
        </is>
      </c>
      <c r="F109" t="inlineStr"/>
    </row>
    <row r="110">
      <c r="A110" t="inlineStr">
        <is>
          <t>Plant and Equipment Library</t>
        </is>
      </c>
      <c r="B110" t="inlineStr">
        <is>
          <t>Current approved rate</t>
        </is>
      </c>
      <c r="C110" t="inlineStr">
        <is>
          <t>rate</t>
        </is>
      </c>
      <c r="D110" t="inlineStr">
        <is>
          <t>Read-only (blue)</t>
        </is>
      </c>
      <c r="E110" t="inlineStr">
        <is>
          <t>#,##0.00;[Red]-#,##0.00</t>
        </is>
      </c>
      <c r="F110" t="inlineStr"/>
    </row>
    <row r="111">
      <c r="A111" t="inlineStr">
        <is>
          <t>Plant and Equipment Library</t>
        </is>
      </c>
      <c r="B111" t="inlineStr">
        <is>
          <t>Currency</t>
        </is>
      </c>
      <c r="C111" t="inlineStr">
        <is>
          <t>currency</t>
        </is>
      </c>
      <c r="D111" t="inlineStr">
        <is>
          <t>Read-only (blue)</t>
        </is>
      </c>
      <c r="E111" t="inlineStr"/>
      <c r="F111" t="inlineStr"/>
    </row>
    <row r="112">
      <c r="A112" t="inlineStr">
        <is>
          <t>Plant and Equipment Library</t>
        </is>
      </c>
      <c r="B112" t="inlineStr">
        <is>
          <t>Rate type</t>
        </is>
      </c>
      <c r="C112" t="inlineStr">
        <is>
          <t>rate_type</t>
        </is>
      </c>
      <c r="D112" t="inlineStr">
        <is>
          <t>Read-only (blue)</t>
        </is>
      </c>
      <c r="E112" t="inlineStr"/>
      <c r="F112" t="inlineStr"/>
    </row>
    <row r="113">
      <c r="A113" t="inlineStr">
        <is>
          <t>Plant and Equipment Library</t>
        </is>
      </c>
      <c r="B113" t="inlineStr">
        <is>
          <t>Rate status</t>
        </is>
      </c>
      <c r="C113" t="inlineStr">
        <is>
          <t>rate_status</t>
        </is>
      </c>
      <c r="D113" t="inlineStr">
        <is>
          <t>Read-only (blue)</t>
        </is>
      </c>
      <c r="E113" t="inlineStr"/>
      <c r="F113" t="inlineStr"/>
    </row>
    <row r="114">
      <c r="A114" t="inlineStr">
        <is>
          <t>Plant and Equipment Library</t>
        </is>
      </c>
      <c r="B114" t="inlineStr">
        <is>
          <t>Price date</t>
        </is>
      </c>
      <c r="C114" t="inlineStr">
        <is>
          <t>price_date</t>
        </is>
      </c>
      <c r="D114" t="inlineStr">
        <is>
          <t>Read-only (blue)</t>
        </is>
      </c>
      <c r="E114" t="inlineStr">
        <is>
          <t>yyyy-mm-dd</t>
        </is>
      </c>
      <c r="F114" t="inlineStr"/>
    </row>
    <row r="115">
      <c r="A115" t="inlineStr">
        <is>
          <t>Plant and Equipment Library</t>
        </is>
      </c>
      <c r="B115" t="inlineStr">
        <is>
          <t>Valid until</t>
        </is>
      </c>
      <c r="C115" t="inlineStr">
        <is>
          <t>valid_until</t>
        </is>
      </c>
      <c r="D115" t="inlineStr">
        <is>
          <t>Read-only (blue)</t>
        </is>
      </c>
      <c r="E115" t="inlineStr">
        <is>
          <t>yyyy-mm-dd</t>
        </is>
      </c>
      <c r="F115" t="inlineStr"/>
    </row>
    <row r="116">
      <c r="A116" t="inlineStr">
        <is>
          <t>Plant and Equipment Library</t>
        </is>
      </c>
      <c r="B116" t="inlineStr">
        <is>
          <t>Supplier</t>
        </is>
      </c>
      <c r="C116" t="inlineStr">
        <is>
          <t>supplier</t>
        </is>
      </c>
      <c r="D116" t="inlineStr">
        <is>
          <t>Read-only (blue)</t>
        </is>
      </c>
      <c r="E116" t="inlineStr"/>
      <c r="F116" t="inlineStr"/>
    </row>
    <row r="117">
      <c r="A117" t="inlineStr">
        <is>
          <t>Plant and Equipment Library</t>
        </is>
      </c>
      <c r="B117" t="inlineStr">
        <is>
          <t>Source / evidence</t>
        </is>
      </c>
      <c r="C117" t="inlineStr">
        <is>
          <t>evidence</t>
        </is>
      </c>
      <c r="D117" t="inlineStr">
        <is>
          <t>Read-only (blue)</t>
        </is>
      </c>
      <c r="E117" t="inlineStr"/>
      <c r="F117" t="inlineStr"/>
    </row>
    <row r="118">
      <c r="A118" t="inlineStr">
        <is>
          <t>Plant and Equipment Library</t>
        </is>
      </c>
      <c r="B118" t="inlineStr">
        <is>
          <t>Confidence</t>
        </is>
      </c>
      <c r="C118" t="inlineStr">
        <is>
          <t>confidence</t>
        </is>
      </c>
      <c r="D118" t="inlineStr">
        <is>
          <t>Read-only (blue)</t>
        </is>
      </c>
      <c r="E118" t="inlineStr"/>
      <c r="F118" t="inlineStr"/>
    </row>
    <row r="119">
      <c r="A119" t="inlineStr">
        <is>
          <t>Plant and Equipment Library</t>
        </is>
      </c>
      <c r="B119" t="inlineStr">
        <is>
          <t>Region</t>
        </is>
      </c>
      <c r="C119" t="inlineStr">
        <is>
          <t>region</t>
        </is>
      </c>
      <c r="D119" t="inlineStr">
        <is>
          <t>Read-only (blue)</t>
        </is>
      </c>
      <c r="E119" t="inlineStr"/>
      <c r="F119" t="inlineStr"/>
    </row>
    <row r="120">
      <c r="A120" t="inlineStr">
        <is>
          <t>Plant and Equipment Library</t>
        </is>
      </c>
      <c r="B120" t="inlineStr">
        <is>
          <t>PROPOSED new rate</t>
        </is>
      </c>
      <c r="C120" t="inlineStr">
        <is>
          <t>new_rate</t>
        </is>
      </c>
      <c r="D120" t="inlineStr">
        <is>
          <t>Input (yellow)</t>
        </is>
      </c>
      <c r="E120" t="inlineStr">
        <is>
          <t>#,##0.00;[Red]-#,##0.00</t>
        </is>
      </c>
      <c r="F120" t="inlineStr">
        <is>
          <t>Imported as a Draft rate proposal; never auto-approved</t>
        </is>
      </c>
    </row>
    <row r="121">
      <c r="A121" t="inlineStr">
        <is>
          <t>Plant and Equipment Library</t>
        </is>
      </c>
      <c r="B121" t="inlineStr">
        <is>
          <t>Proposed rate type</t>
        </is>
      </c>
      <c r="C121" t="inlineStr">
        <is>
          <t>new_rate_type</t>
        </is>
      </c>
      <c r="D121" t="inlineStr">
        <is>
          <t>Input (yellow)</t>
        </is>
      </c>
      <c r="E121" t="inlineStr">
        <is>
          <t xml:space="preserve"> | list: RateType</t>
        </is>
      </c>
      <c r="F121" t="inlineStr"/>
    </row>
    <row r="122">
      <c r="A122" t="inlineStr">
        <is>
          <t>Plant and Equipment Library</t>
        </is>
      </c>
      <c r="B122" t="inlineStr">
        <is>
          <t>Proposed currency</t>
        </is>
      </c>
      <c r="C122" t="inlineStr">
        <is>
          <t>new_currency</t>
        </is>
      </c>
      <c r="D122" t="inlineStr">
        <is>
          <t>Input (yellow)</t>
        </is>
      </c>
      <c r="E122" t="inlineStr"/>
      <c r="F122" t="inlineStr"/>
    </row>
    <row r="123">
      <c r="A123" t="inlineStr">
        <is>
          <t>Plant and Equipment Library</t>
        </is>
      </c>
      <c r="B123" t="inlineStr">
        <is>
          <t>Proposed price date</t>
        </is>
      </c>
      <c r="C123" t="inlineStr">
        <is>
          <t>new_price_date</t>
        </is>
      </c>
      <c r="D123" t="inlineStr">
        <is>
          <t>Input (yellow)</t>
        </is>
      </c>
      <c r="E123" t="inlineStr">
        <is>
          <t>yyyy-mm-dd</t>
        </is>
      </c>
      <c r="F123" t="inlineStr"/>
    </row>
    <row r="124">
      <c r="A124" t="inlineStr">
        <is>
          <t>Plant and Equipment Library</t>
        </is>
      </c>
      <c r="B124" t="inlineStr">
        <is>
          <t>Proposed valid until</t>
        </is>
      </c>
      <c r="C124" t="inlineStr">
        <is>
          <t>new_valid_until</t>
        </is>
      </c>
      <c r="D124" t="inlineStr">
        <is>
          <t>Input (yellow)</t>
        </is>
      </c>
      <c r="E124" t="inlineStr">
        <is>
          <t>yyyy-mm-dd</t>
        </is>
      </c>
      <c r="F124" t="inlineStr"/>
    </row>
    <row r="125">
      <c r="A125" t="inlineStr">
        <is>
          <t>Plant and Equipment Library</t>
        </is>
      </c>
      <c r="B125" t="inlineStr">
        <is>
          <t>Proposed source / evidence</t>
        </is>
      </c>
      <c r="C125" t="inlineStr">
        <is>
          <t>new_evidence</t>
        </is>
      </c>
      <c r="D125" t="inlineStr">
        <is>
          <t>Input (yellow)</t>
        </is>
      </c>
      <c r="E125" t="inlineStr"/>
      <c r="F125" t="inlineStr"/>
    </row>
    <row r="126">
      <c r="A126" t="inlineStr">
        <is>
          <t>Subcontract Library</t>
        </is>
      </c>
      <c r="B126" t="inlineStr">
        <is>
          <t>Resource ID</t>
        </is>
      </c>
      <c r="C126" t="inlineStr">
        <is>
          <t>id</t>
        </is>
      </c>
      <c r="D126" t="inlineStr">
        <is>
          <t>Read-only (blue)</t>
        </is>
      </c>
      <c r="E126" t="inlineStr"/>
      <c r="F126" t="inlineStr"/>
    </row>
    <row r="127">
      <c r="A127" t="inlineStr">
        <is>
          <t>Subcontract Library</t>
        </is>
      </c>
      <c r="B127" t="inlineStr">
        <is>
          <t>Cost code</t>
        </is>
      </c>
      <c r="C127" t="inlineStr">
        <is>
          <t>cost_code</t>
        </is>
      </c>
      <c r="D127" t="inlineStr">
        <is>
          <t>Input (yellow)</t>
        </is>
      </c>
      <c r="E127" t="inlineStr">
        <is>
          <t xml:space="preserve"> | list: costcodes</t>
        </is>
      </c>
      <c r="F127" t="inlineStr"/>
    </row>
    <row r="128">
      <c r="A128" t="inlineStr">
        <is>
          <t>Subcontract Library</t>
        </is>
      </c>
      <c r="B128" t="inlineStr">
        <is>
          <t>Category</t>
        </is>
      </c>
      <c r="C128" t="inlineStr">
        <is>
          <t>category</t>
        </is>
      </c>
      <c r="D128" t="inlineStr">
        <is>
          <t>Input (yellow)</t>
        </is>
      </c>
      <c r="E128" t="inlineStr"/>
      <c r="F128" t="inlineStr"/>
    </row>
    <row r="129">
      <c r="A129" t="inlineStr">
        <is>
          <t>Subcontract Library</t>
        </is>
      </c>
      <c r="B129" t="inlineStr">
        <is>
          <t>Description</t>
        </is>
      </c>
      <c r="C129" t="inlineStr">
        <is>
          <t>description</t>
        </is>
      </c>
      <c r="D129" t="inlineStr">
        <is>
          <t>Input (yellow)</t>
        </is>
      </c>
      <c r="E129" t="inlineStr"/>
      <c r="F129" t="inlineStr"/>
    </row>
    <row r="130">
      <c r="A130" t="inlineStr">
        <is>
          <t>Subcontract Library</t>
        </is>
      </c>
      <c r="B130" t="inlineStr">
        <is>
          <t>Specification</t>
        </is>
      </c>
      <c r="C130" t="inlineStr">
        <is>
          <t>specification</t>
        </is>
      </c>
      <c r="D130" t="inlineStr">
        <is>
          <t>Input (yellow)</t>
        </is>
      </c>
      <c r="E130" t="inlineStr"/>
      <c r="F130" t="inlineStr"/>
    </row>
    <row r="131">
      <c r="A131" t="inlineStr">
        <is>
          <t>Subcontract Library</t>
        </is>
      </c>
      <c r="B131" t="inlineStr">
        <is>
          <t>Unit</t>
        </is>
      </c>
      <c r="C131" t="inlineStr">
        <is>
          <t>unit</t>
        </is>
      </c>
      <c r="D131" t="inlineStr">
        <is>
          <t>Input (yellow)</t>
        </is>
      </c>
      <c r="E131" t="inlineStr">
        <is>
          <t xml:space="preserve"> | list: units</t>
        </is>
      </c>
      <c r="F131" t="inlineStr"/>
    </row>
    <row r="132">
      <c r="A132" t="inlineStr">
        <is>
          <t>Subcontract Library</t>
        </is>
      </c>
      <c r="B132" t="inlineStr">
        <is>
          <t>Current approved rate</t>
        </is>
      </c>
      <c r="C132" t="inlineStr">
        <is>
          <t>rate</t>
        </is>
      </c>
      <c r="D132" t="inlineStr">
        <is>
          <t>Read-only (blue)</t>
        </is>
      </c>
      <c r="E132" t="inlineStr">
        <is>
          <t>#,##0.00;[Red]-#,##0.00</t>
        </is>
      </c>
      <c r="F132" t="inlineStr"/>
    </row>
    <row r="133">
      <c r="A133" t="inlineStr">
        <is>
          <t>Subcontract Library</t>
        </is>
      </c>
      <c r="B133" t="inlineStr">
        <is>
          <t>Currency</t>
        </is>
      </c>
      <c r="C133" t="inlineStr">
        <is>
          <t>currency</t>
        </is>
      </c>
      <c r="D133" t="inlineStr">
        <is>
          <t>Read-only (blue)</t>
        </is>
      </c>
      <c r="E133" t="inlineStr"/>
      <c r="F133" t="inlineStr"/>
    </row>
    <row r="134">
      <c r="A134" t="inlineStr">
        <is>
          <t>Subcontract Library</t>
        </is>
      </c>
      <c r="B134" t="inlineStr">
        <is>
          <t>Rate type</t>
        </is>
      </c>
      <c r="C134" t="inlineStr">
        <is>
          <t>rate_type</t>
        </is>
      </c>
      <c r="D134" t="inlineStr">
        <is>
          <t>Read-only (blue)</t>
        </is>
      </c>
      <c r="E134" t="inlineStr"/>
      <c r="F134" t="inlineStr"/>
    </row>
    <row r="135">
      <c r="A135" t="inlineStr">
        <is>
          <t>Subcontract Library</t>
        </is>
      </c>
      <c r="B135" t="inlineStr">
        <is>
          <t>Rate status</t>
        </is>
      </c>
      <c r="C135" t="inlineStr">
        <is>
          <t>rate_status</t>
        </is>
      </c>
      <c r="D135" t="inlineStr">
        <is>
          <t>Read-only (blue)</t>
        </is>
      </c>
      <c r="E135" t="inlineStr"/>
      <c r="F135" t="inlineStr"/>
    </row>
    <row r="136">
      <c r="A136" t="inlineStr">
        <is>
          <t>Subcontract Library</t>
        </is>
      </c>
      <c r="B136" t="inlineStr">
        <is>
          <t>Price date</t>
        </is>
      </c>
      <c r="C136" t="inlineStr">
        <is>
          <t>price_date</t>
        </is>
      </c>
      <c r="D136" t="inlineStr">
        <is>
          <t>Read-only (blue)</t>
        </is>
      </c>
      <c r="E136" t="inlineStr">
        <is>
          <t>yyyy-mm-dd</t>
        </is>
      </c>
      <c r="F136" t="inlineStr"/>
    </row>
    <row r="137">
      <c r="A137" t="inlineStr">
        <is>
          <t>Subcontract Library</t>
        </is>
      </c>
      <c r="B137" t="inlineStr">
        <is>
          <t>Valid until</t>
        </is>
      </c>
      <c r="C137" t="inlineStr">
        <is>
          <t>valid_until</t>
        </is>
      </c>
      <c r="D137" t="inlineStr">
        <is>
          <t>Read-only (blue)</t>
        </is>
      </c>
      <c r="E137" t="inlineStr">
        <is>
          <t>yyyy-mm-dd</t>
        </is>
      </c>
      <c r="F137" t="inlineStr"/>
    </row>
    <row r="138">
      <c r="A138" t="inlineStr">
        <is>
          <t>Subcontract Library</t>
        </is>
      </c>
      <c r="B138" t="inlineStr">
        <is>
          <t>Supplier</t>
        </is>
      </c>
      <c r="C138" t="inlineStr">
        <is>
          <t>supplier</t>
        </is>
      </c>
      <c r="D138" t="inlineStr">
        <is>
          <t>Read-only (blue)</t>
        </is>
      </c>
      <c r="E138" t="inlineStr"/>
      <c r="F138" t="inlineStr"/>
    </row>
    <row r="139">
      <c r="A139" t="inlineStr">
        <is>
          <t>Subcontract Library</t>
        </is>
      </c>
      <c r="B139" t="inlineStr">
        <is>
          <t>Source / evidence</t>
        </is>
      </c>
      <c r="C139" t="inlineStr">
        <is>
          <t>evidence</t>
        </is>
      </c>
      <c r="D139" t="inlineStr">
        <is>
          <t>Read-only (blue)</t>
        </is>
      </c>
      <c r="E139" t="inlineStr"/>
      <c r="F139" t="inlineStr"/>
    </row>
    <row r="140">
      <c r="A140" t="inlineStr">
        <is>
          <t>Subcontract Library</t>
        </is>
      </c>
      <c r="B140" t="inlineStr">
        <is>
          <t>Confidence</t>
        </is>
      </c>
      <c r="C140" t="inlineStr">
        <is>
          <t>confidence</t>
        </is>
      </c>
      <c r="D140" t="inlineStr">
        <is>
          <t>Read-only (blue)</t>
        </is>
      </c>
      <c r="E140" t="inlineStr"/>
      <c r="F140" t="inlineStr"/>
    </row>
    <row r="141">
      <c r="A141" t="inlineStr">
        <is>
          <t>Subcontract Library</t>
        </is>
      </c>
      <c r="B141" t="inlineStr">
        <is>
          <t>Region</t>
        </is>
      </c>
      <c r="C141" t="inlineStr">
        <is>
          <t>region</t>
        </is>
      </c>
      <c r="D141" t="inlineStr">
        <is>
          <t>Read-only (blue)</t>
        </is>
      </c>
      <c r="E141" t="inlineStr"/>
      <c r="F141" t="inlineStr"/>
    </row>
    <row r="142">
      <c r="A142" t="inlineStr">
        <is>
          <t>Subcontract Library</t>
        </is>
      </c>
      <c r="B142" t="inlineStr">
        <is>
          <t>PROPOSED new rate</t>
        </is>
      </c>
      <c r="C142" t="inlineStr">
        <is>
          <t>new_rate</t>
        </is>
      </c>
      <c r="D142" t="inlineStr">
        <is>
          <t>Input (yellow)</t>
        </is>
      </c>
      <c r="E142" t="inlineStr">
        <is>
          <t>#,##0.00;[Red]-#,##0.00</t>
        </is>
      </c>
      <c r="F142" t="inlineStr">
        <is>
          <t>Imported as a Draft rate proposal; never auto-approved</t>
        </is>
      </c>
    </row>
    <row r="143">
      <c r="A143" t="inlineStr">
        <is>
          <t>Subcontract Library</t>
        </is>
      </c>
      <c r="B143" t="inlineStr">
        <is>
          <t>Proposed rate type</t>
        </is>
      </c>
      <c r="C143" t="inlineStr">
        <is>
          <t>new_rate_type</t>
        </is>
      </c>
      <c r="D143" t="inlineStr">
        <is>
          <t>Input (yellow)</t>
        </is>
      </c>
      <c r="E143" t="inlineStr">
        <is>
          <t xml:space="preserve"> | list: RateType</t>
        </is>
      </c>
      <c r="F143" t="inlineStr"/>
    </row>
    <row r="144">
      <c r="A144" t="inlineStr">
        <is>
          <t>Subcontract Library</t>
        </is>
      </c>
      <c r="B144" t="inlineStr">
        <is>
          <t>Proposed currency</t>
        </is>
      </c>
      <c r="C144" t="inlineStr">
        <is>
          <t>new_currency</t>
        </is>
      </c>
      <c r="D144" t="inlineStr">
        <is>
          <t>Input (yellow)</t>
        </is>
      </c>
      <c r="E144" t="inlineStr"/>
      <c r="F144" t="inlineStr"/>
    </row>
    <row r="145">
      <c r="A145" t="inlineStr">
        <is>
          <t>Subcontract Library</t>
        </is>
      </c>
      <c r="B145" t="inlineStr">
        <is>
          <t>Proposed price date</t>
        </is>
      </c>
      <c r="C145" t="inlineStr">
        <is>
          <t>new_price_date</t>
        </is>
      </c>
      <c r="D145" t="inlineStr">
        <is>
          <t>Input (yellow)</t>
        </is>
      </c>
      <c r="E145" t="inlineStr">
        <is>
          <t>yyyy-mm-dd</t>
        </is>
      </c>
      <c r="F145" t="inlineStr"/>
    </row>
    <row r="146">
      <c r="A146" t="inlineStr">
        <is>
          <t>Subcontract Library</t>
        </is>
      </c>
      <c r="B146" t="inlineStr">
        <is>
          <t>Proposed valid until</t>
        </is>
      </c>
      <c r="C146" t="inlineStr">
        <is>
          <t>new_valid_until</t>
        </is>
      </c>
      <c r="D146" t="inlineStr">
        <is>
          <t>Input (yellow)</t>
        </is>
      </c>
      <c r="E146" t="inlineStr">
        <is>
          <t>yyyy-mm-dd</t>
        </is>
      </c>
      <c r="F146" t="inlineStr"/>
    </row>
    <row r="147">
      <c r="A147" t="inlineStr">
        <is>
          <t>Subcontract Library</t>
        </is>
      </c>
      <c r="B147" t="inlineStr">
        <is>
          <t>Proposed source / evidence</t>
        </is>
      </c>
      <c r="C147" t="inlineStr">
        <is>
          <t>new_evidence</t>
        </is>
      </c>
      <c r="D147" t="inlineStr">
        <is>
          <t>Input (yellow)</t>
        </is>
      </c>
      <c r="E147" t="inlineStr"/>
      <c r="F147" t="inlineStr"/>
    </row>
    <row r="148">
      <c r="A148" t="inlineStr">
        <is>
          <t>Assembly Library</t>
        </is>
      </c>
      <c r="B148" t="inlineStr">
        <is>
          <t>Assembly code</t>
        </is>
      </c>
      <c r="C148" t="inlineStr">
        <is>
          <t>assembly_code</t>
        </is>
      </c>
      <c r="D148" t="inlineStr">
        <is>
          <t>Input (yellow)</t>
        </is>
      </c>
      <c r="E148" t="inlineStr"/>
      <c r="F148" t="inlineStr"/>
    </row>
    <row r="149">
      <c r="A149" t="inlineStr">
        <is>
          <t>Assembly Library</t>
        </is>
      </c>
      <c r="B149" t="inlineStr">
        <is>
          <t>Version</t>
        </is>
      </c>
      <c r="C149" t="inlineStr">
        <is>
          <t>version</t>
        </is>
      </c>
      <c r="D149" t="inlineStr">
        <is>
          <t>Read-only (blue)</t>
        </is>
      </c>
      <c r="E149" t="inlineStr"/>
      <c r="F149" t="inlineStr"/>
    </row>
    <row r="150">
      <c r="A150" t="inlineStr">
        <is>
          <t>Assembly Library</t>
        </is>
      </c>
      <c r="B150" t="inlineStr">
        <is>
          <t>Status</t>
        </is>
      </c>
      <c r="C150" t="inlineStr">
        <is>
          <t>status</t>
        </is>
      </c>
      <c r="D150" t="inlineStr">
        <is>
          <t>Read-only (blue)</t>
        </is>
      </c>
      <c r="E150" t="inlineStr"/>
      <c r="F150" t="inlineStr"/>
    </row>
    <row r="151">
      <c r="A151" t="inlineStr">
        <is>
          <t>Assembly Library</t>
        </is>
      </c>
      <c r="B151" t="inlineStr">
        <is>
          <t>Assembly description</t>
        </is>
      </c>
      <c r="C151" t="inlineStr">
        <is>
          <t>description</t>
        </is>
      </c>
      <c r="D151" t="inlineStr">
        <is>
          <t>Input (yellow)</t>
        </is>
      </c>
      <c r="E151" t="inlineStr"/>
      <c r="F151" t="inlineStr"/>
    </row>
    <row r="152">
      <c r="A152" t="inlineStr">
        <is>
          <t>Assembly Library</t>
        </is>
      </c>
      <c r="B152" t="inlineStr">
        <is>
          <t>Unit</t>
        </is>
      </c>
      <c r="C152" t="inlineStr">
        <is>
          <t>unit</t>
        </is>
      </c>
      <c r="D152" t="inlineStr">
        <is>
          <t>Input (yellow)</t>
        </is>
      </c>
      <c r="E152" t="inlineStr">
        <is>
          <t xml:space="preserve"> | list: units</t>
        </is>
      </c>
      <c r="F152" t="inlineStr"/>
    </row>
    <row r="153">
      <c r="A153" t="inlineStr">
        <is>
          <t>Assembly Library</t>
        </is>
      </c>
      <c r="B153" t="inlineStr">
        <is>
          <t>Cost code</t>
        </is>
      </c>
      <c r="C153" t="inlineStr">
        <is>
          <t>cost_code</t>
        </is>
      </c>
      <c r="D153" t="inlineStr">
        <is>
          <t>Input (yellow)</t>
        </is>
      </c>
      <c r="E153" t="inlineStr">
        <is>
          <t xml:space="preserve"> | list: costcodes</t>
        </is>
      </c>
      <c r="F153" t="inlineStr"/>
    </row>
    <row r="154">
      <c r="A154" t="inlineStr">
        <is>
          <t>Assembly Library</t>
        </is>
      </c>
      <c r="B154" t="inlineStr">
        <is>
          <t>Line</t>
        </is>
      </c>
      <c r="C154" t="inlineStr">
        <is>
          <t>line_no</t>
        </is>
      </c>
      <c r="D154" t="inlineStr">
        <is>
          <t>Read-only (blue)</t>
        </is>
      </c>
      <c r="E154" t="inlineStr"/>
      <c r="F154" t="inlineStr"/>
    </row>
    <row r="155">
      <c r="A155" t="inlineStr">
        <is>
          <t>Assembly Library</t>
        </is>
      </c>
      <c r="B155" t="inlineStr">
        <is>
          <t>Line type</t>
        </is>
      </c>
      <c r="C155" t="inlineStr">
        <is>
          <t>line_type</t>
        </is>
      </c>
      <c r="D155" t="inlineStr">
        <is>
          <t>Input (yellow)</t>
        </is>
      </c>
      <c r="E155" t="inlineStr">
        <is>
          <t xml:space="preserve"> | list: LineType</t>
        </is>
      </c>
      <c r="F155" t="inlineStr"/>
    </row>
    <row r="156">
      <c r="A156" t="inlineStr">
        <is>
          <t>Assembly Library</t>
        </is>
      </c>
      <c r="B156" t="inlineStr">
        <is>
          <t>Resource ID</t>
        </is>
      </c>
      <c r="C156" t="inlineStr">
        <is>
          <t>resource_id</t>
        </is>
      </c>
      <c r="D156" t="inlineStr">
        <is>
          <t>Input (yellow)</t>
        </is>
      </c>
      <c r="E156" t="inlineStr"/>
      <c r="F156" t="inlineStr"/>
    </row>
    <row r="157">
      <c r="A157" t="inlineStr">
        <is>
          <t>Assembly Library</t>
        </is>
      </c>
      <c r="B157" t="inlineStr">
        <is>
          <t>Nested assembly</t>
        </is>
      </c>
      <c r="C157" t="inlineStr">
        <is>
          <t>child_assembly_code</t>
        </is>
      </c>
      <c r="D157" t="inlineStr">
        <is>
          <t>Input (yellow)</t>
        </is>
      </c>
      <c r="E157" t="inlineStr"/>
      <c r="F157" t="inlineStr"/>
    </row>
    <row r="158">
      <c r="A158" t="inlineStr">
        <is>
          <t>Assembly Library</t>
        </is>
      </c>
      <c r="B158" t="inlineStr">
        <is>
          <t>Factor / output</t>
        </is>
      </c>
      <c r="C158" t="inlineStr">
        <is>
          <t>factor</t>
        </is>
      </c>
      <c r="D158" t="inlineStr">
        <is>
          <t>Input (yellow)</t>
        </is>
      </c>
      <c r="E158" t="inlineStr">
        <is>
          <t>#,##0.000</t>
        </is>
      </c>
      <c r="F158" t="inlineStr"/>
    </row>
    <row r="159">
      <c r="A159" t="inlineStr">
        <is>
          <t>Assembly Library</t>
        </is>
      </c>
      <c r="B159" t="inlineStr">
        <is>
          <t>Factor unit</t>
        </is>
      </c>
      <c r="C159" t="inlineStr">
        <is>
          <t>factor_unit</t>
        </is>
      </c>
      <c r="D159" t="inlineStr">
        <is>
          <t>Input (yellow)</t>
        </is>
      </c>
      <c r="E159" t="inlineStr">
        <is>
          <t xml:space="preserve"> | list: units</t>
        </is>
      </c>
      <c r="F159" t="inlineStr"/>
    </row>
    <row r="160">
      <c r="A160" t="inlineStr">
        <is>
          <t>Assembly Library</t>
        </is>
      </c>
      <c r="B160" t="inlineStr">
        <is>
          <t>Factor incl. waste (1/0)</t>
        </is>
      </c>
      <c r="C160" t="inlineStr">
        <is>
          <t>factor_includes_waste</t>
        </is>
      </c>
      <c r="D160" t="inlineStr">
        <is>
          <t>Input (yellow)</t>
        </is>
      </c>
      <c r="E160" t="inlineStr"/>
      <c r="F160" t="inlineStr"/>
    </row>
    <row r="161">
      <c r="A161" t="inlineStr">
        <is>
          <t>Assembly Library</t>
        </is>
      </c>
      <c r="B161" t="inlineStr">
        <is>
          <t>Waste basis</t>
        </is>
      </c>
      <c r="C161" t="inlineStr">
        <is>
          <t>waste_basis</t>
        </is>
      </c>
      <c r="D161" t="inlineStr">
        <is>
          <t>Input (yellow)</t>
        </is>
      </c>
      <c r="E161" t="inlineStr">
        <is>
          <t xml:space="preserve"> | list: WasteBasis</t>
        </is>
      </c>
      <c r="F161" t="inlineStr"/>
    </row>
    <row r="162">
      <c r="A162" t="inlineStr">
        <is>
          <t>Assembly Library</t>
        </is>
      </c>
      <c r="B162" t="inlineStr">
        <is>
          <t>Waste %</t>
        </is>
      </c>
      <c r="C162" t="inlineStr">
        <is>
          <t>waste_value</t>
        </is>
      </c>
      <c r="D162" t="inlineStr">
        <is>
          <t>Input (yellow)</t>
        </is>
      </c>
      <c r="E162" t="inlineStr"/>
      <c r="F162" t="inlineStr"/>
    </row>
    <row r="163">
      <c r="A163" t="inlineStr">
        <is>
          <t>Assembly Library</t>
        </is>
      </c>
      <c r="B163" t="inlineStr">
        <is>
          <t>Waste assumption ID</t>
        </is>
      </c>
      <c r="C163" t="inlineStr">
        <is>
          <t>waste_ref</t>
        </is>
      </c>
      <c r="D163" t="inlineStr">
        <is>
          <t>Input (yellow)</t>
        </is>
      </c>
      <c r="E163" t="inlineStr"/>
      <c r="F163" t="inlineStr"/>
    </row>
    <row r="164">
      <c r="A164" t="inlineStr">
        <is>
          <t>Assembly Library</t>
        </is>
      </c>
      <c r="B164" t="inlineStr">
        <is>
          <t>Productivity basis</t>
        </is>
      </c>
      <c r="C164" t="inlineStr">
        <is>
          <t>productivity_basis</t>
        </is>
      </c>
      <c r="D164" t="inlineStr">
        <is>
          <t>Input (yellow)</t>
        </is>
      </c>
      <c r="E164" t="inlineStr">
        <is>
          <t xml:space="preserve"> | list: Productivity</t>
        </is>
      </c>
      <c r="F164" t="inlineStr"/>
    </row>
    <row r="165">
      <c r="A165" t="inlineStr">
        <is>
          <t>Assembly Library</t>
        </is>
      </c>
      <c r="B165" t="inlineStr">
        <is>
          <t>Crew (resource:count;...)</t>
        </is>
      </c>
      <c r="C165" t="inlineStr">
        <is>
          <t>crew</t>
        </is>
      </c>
      <c r="D165" t="inlineStr">
        <is>
          <t>Input (yellow)</t>
        </is>
      </c>
      <c r="E165" t="inlineStr"/>
      <c r="F165" t="inlineStr"/>
    </row>
    <row r="166">
      <c r="A166" t="inlineStr">
        <is>
          <t>Assembly Library</t>
        </is>
      </c>
      <c r="B166" t="inlineStr">
        <is>
          <t>Sub incl. labour</t>
        </is>
      </c>
      <c r="C166" t="inlineStr">
        <is>
          <t>includes_labour</t>
        </is>
      </c>
      <c r="D166" t="inlineStr">
        <is>
          <t>Input (yellow)</t>
        </is>
      </c>
      <c r="E166" t="inlineStr"/>
      <c r="F166" t="inlineStr"/>
    </row>
    <row r="167">
      <c r="A167" t="inlineStr">
        <is>
          <t>Assembly Library</t>
        </is>
      </c>
      <c r="B167" t="inlineStr">
        <is>
          <t>Sub incl. material</t>
        </is>
      </c>
      <c r="C167" t="inlineStr">
        <is>
          <t>includes_material</t>
        </is>
      </c>
      <c r="D167" t="inlineStr">
        <is>
          <t>Input (yellow)</t>
        </is>
      </c>
      <c r="E167" t="inlineStr"/>
      <c r="F167" t="inlineStr"/>
    </row>
    <row r="168">
      <c r="A168" t="inlineStr">
        <is>
          <t>Assembly Library</t>
        </is>
      </c>
      <c r="B168" t="inlineStr">
        <is>
          <t>Sub incl. plant</t>
        </is>
      </c>
      <c r="C168" t="inlineStr">
        <is>
          <t>includes_plant</t>
        </is>
      </c>
      <c r="D168" t="inlineStr">
        <is>
          <t>Input (yellow)</t>
        </is>
      </c>
      <c r="E168" t="inlineStr"/>
      <c r="F168" t="inlineStr"/>
    </row>
    <row r="169">
      <c r="A169" t="inlineStr">
        <is>
          <t>Assembly Library</t>
        </is>
      </c>
      <c r="B169" t="inlineStr">
        <is>
          <t>Utilisation basis</t>
        </is>
      </c>
      <c r="C169" t="inlineStr">
        <is>
          <t>utilisation_basis</t>
        </is>
      </c>
      <c r="D169" t="inlineStr">
        <is>
          <t>Input (yellow)</t>
        </is>
      </c>
      <c r="E169" t="inlineStr">
        <is>
          <t xml:space="preserve"> | list: WasteBasis</t>
        </is>
      </c>
      <c r="F169" t="inlineStr"/>
    </row>
    <row r="170">
      <c r="A170" t="inlineStr">
        <is>
          <t>Assembly Library</t>
        </is>
      </c>
      <c r="B170" t="inlineStr">
        <is>
          <t>Utilisation %</t>
        </is>
      </c>
      <c r="C170" t="inlineStr">
        <is>
          <t>utilisation_value</t>
        </is>
      </c>
      <c r="D170" t="inlineStr">
        <is>
          <t>Input (yellow)</t>
        </is>
      </c>
      <c r="E170" t="inlineStr"/>
      <c r="F170" t="inlineStr"/>
    </row>
    <row r="171">
      <c r="A171" t="inlineStr">
        <is>
          <t>Assembly Library</t>
        </is>
      </c>
      <c r="B171" t="inlineStr">
        <is>
          <t>Utilisation assumption</t>
        </is>
      </c>
      <c r="C171" t="inlineStr">
        <is>
          <t>utilisation_ref</t>
        </is>
      </c>
      <c r="D171" t="inlineStr">
        <is>
          <t>Input (yellow)</t>
        </is>
      </c>
      <c r="E171" t="inlineStr"/>
      <c r="F171" t="inlineStr"/>
    </row>
    <row r="172">
      <c r="A172" t="inlineStr">
        <is>
          <t>Assembly Library</t>
        </is>
      </c>
      <c r="B172" t="inlineStr">
        <is>
          <t>Confidence</t>
        </is>
      </c>
      <c r="C172" t="inlineStr">
        <is>
          <t>confidence</t>
        </is>
      </c>
      <c r="D172" t="inlineStr">
        <is>
          <t>Read-only (blue)</t>
        </is>
      </c>
      <c r="E172" t="inlineStr"/>
      <c r="F172" t="inlineStr"/>
    </row>
    <row r="173">
      <c r="A173" t="inlineStr">
        <is>
          <t>Assembly Library</t>
        </is>
      </c>
      <c r="B173" t="inlineStr">
        <is>
          <t>Source</t>
        </is>
      </c>
      <c r="C173" t="inlineStr">
        <is>
          <t>source</t>
        </is>
      </c>
      <c r="D173" t="inlineStr">
        <is>
          <t>Read-only (blue)</t>
        </is>
      </c>
      <c r="E173" t="inlineStr"/>
      <c r="F173" t="inlineStr"/>
    </row>
    <row r="174">
      <c r="A174" t="inlineStr">
        <is>
          <t>Assumptions Register</t>
        </is>
      </c>
      <c r="B174" t="inlineStr">
        <is>
          <t>Assumption ID</t>
        </is>
      </c>
      <c r="C174" t="inlineStr">
        <is>
          <t>id</t>
        </is>
      </c>
      <c r="D174" t="inlineStr">
        <is>
          <t>Read-only (blue)</t>
        </is>
      </c>
      <c r="E174" t="inlineStr"/>
      <c r="F174" t="inlineStr"/>
    </row>
    <row r="175">
      <c r="A175" t="inlineStr">
        <is>
          <t>Assumptions Register</t>
        </is>
      </c>
      <c r="B175" t="inlineStr">
        <is>
          <t>Family</t>
        </is>
      </c>
      <c r="C175" t="inlineStr">
        <is>
          <t>family</t>
        </is>
      </c>
      <c r="D175" t="inlineStr">
        <is>
          <t>Read-only (blue)</t>
        </is>
      </c>
      <c r="E175" t="inlineStr"/>
      <c r="F175" t="inlineStr"/>
    </row>
    <row r="176">
      <c r="A176" t="inlineStr">
        <is>
          <t>Assumptions Register</t>
        </is>
      </c>
      <c r="B176" t="inlineStr">
        <is>
          <t>Name</t>
        </is>
      </c>
      <c r="C176" t="inlineStr">
        <is>
          <t>name</t>
        </is>
      </c>
      <c r="D176" t="inlineStr">
        <is>
          <t>Read-only (blue)</t>
        </is>
      </c>
      <c r="E176" t="inlineStr"/>
      <c r="F176" t="inlineStr"/>
    </row>
    <row r="177">
      <c r="A177" t="inlineStr">
        <is>
          <t>Assumptions Register</t>
        </is>
      </c>
      <c r="B177" t="inlineStr">
        <is>
          <t>Description</t>
        </is>
      </c>
      <c r="C177" t="inlineStr">
        <is>
          <t>description</t>
        </is>
      </c>
      <c r="D177" t="inlineStr">
        <is>
          <t>Read-only (blue)</t>
        </is>
      </c>
      <c r="E177" t="inlineStr"/>
      <c r="F177" t="inlineStr"/>
    </row>
    <row r="178">
      <c r="A178" t="inlineStr">
        <is>
          <t>Assumptions Register</t>
        </is>
      </c>
      <c r="B178" t="inlineStr">
        <is>
          <t>Applies to</t>
        </is>
      </c>
      <c r="C178" t="inlineStr">
        <is>
          <t>applies_to</t>
        </is>
      </c>
      <c r="D178" t="inlineStr">
        <is>
          <t>Read-only (blue)</t>
        </is>
      </c>
      <c r="E178" t="inlineStr"/>
      <c r="F178" t="inlineStr"/>
    </row>
    <row r="179">
      <c r="A179" t="inlineStr">
        <is>
          <t>Assumptions Register</t>
        </is>
      </c>
      <c r="B179" t="inlineStr">
        <is>
          <t>Effective value</t>
        </is>
      </c>
      <c r="C179" t="inlineStr">
        <is>
          <t>value</t>
        </is>
      </c>
      <c r="D179" t="inlineStr">
        <is>
          <t>Read-only (blue)</t>
        </is>
      </c>
      <c r="E179" t="inlineStr"/>
      <c r="F179" t="inlineStr"/>
    </row>
    <row r="180">
      <c r="A180" t="inlineStr">
        <is>
          <t>Assumptions Register</t>
        </is>
      </c>
      <c r="B180" t="inlineStr">
        <is>
          <t>Unit</t>
        </is>
      </c>
      <c r="C180" t="inlineStr">
        <is>
          <t>unit</t>
        </is>
      </c>
      <c r="D180" t="inlineStr">
        <is>
          <t>Read-only (blue)</t>
        </is>
      </c>
      <c r="E180" t="inlineStr"/>
      <c r="F180" t="inlineStr"/>
    </row>
    <row r="181">
      <c r="A181" t="inlineStr">
        <is>
          <t>Assumptions Register</t>
        </is>
      </c>
      <c r="B181" t="inlineStr">
        <is>
          <t>Status</t>
        </is>
      </c>
      <c r="C181" t="inlineStr">
        <is>
          <t>status</t>
        </is>
      </c>
      <c r="D181" t="inlineStr">
        <is>
          <t>Read-only (blue)</t>
        </is>
      </c>
      <c r="E181" t="inlineStr"/>
      <c r="F181" t="inlineStr"/>
    </row>
    <row r="182">
      <c r="A182" t="inlineStr">
        <is>
          <t>Assumptions Register</t>
        </is>
      </c>
      <c r="B182" t="inlineStr">
        <is>
          <t>Origin</t>
        </is>
      </c>
      <c r="C182" t="inlineStr">
        <is>
          <t>origin</t>
        </is>
      </c>
      <c r="D182" t="inlineStr">
        <is>
          <t>Read-only (blue)</t>
        </is>
      </c>
      <c r="E182" t="inlineStr"/>
      <c r="F182" t="inlineStr"/>
    </row>
    <row r="183">
      <c r="A183" t="inlineStr">
        <is>
          <t>Assumptions Register</t>
        </is>
      </c>
      <c r="B183" t="inlineStr">
        <is>
          <t>Engine key</t>
        </is>
      </c>
      <c r="C183" t="inlineStr">
        <is>
          <t>engine_key</t>
        </is>
      </c>
      <c r="D183" t="inlineStr">
        <is>
          <t>Read-only (blue)</t>
        </is>
      </c>
      <c r="E183" t="inlineStr"/>
      <c r="F183" t="inlineStr"/>
    </row>
    <row r="184">
      <c r="A184" t="inlineStr">
        <is>
          <t>Assumptions Register</t>
        </is>
      </c>
      <c r="B184" t="inlineStr">
        <is>
          <t>Confidence</t>
        </is>
      </c>
      <c r="C184" t="inlineStr">
        <is>
          <t>confidence</t>
        </is>
      </c>
      <c r="D184" t="inlineStr">
        <is>
          <t>Read-only (blue)</t>
        </is>
      </c>
      <c r="E184" t="inlineStr"/>
      <c r="F184" t="inlineStr"/>
    </row>
    <row r="185">
      <c r="A185" t="inlineStr">
        <is>
          <t>Assumptions Register</t>
        </is>
      </c>
      <c r="B185" t="inlineStr">
        <is>
          <t>PROPOSED project value</t>
        </is>
      </c>
      <c r="C185" t="inlineStr">
        <is>
          <t>override_value</t>
        </is>
      </c>
      <c r="D185" t="inlineStr">
        <is>
          <t>Input (yellow)</t>
        </is>
      </c>
      <c r="E185" t="inlineStr"/>
      <c r="F185" t="inlineStr"/>
    </row>
    <row r="186">
      <c r="A186" t="inlineStr">
        <is>
          <t>Assumptions Register</t>
        </is>
      </c>
      <c r="B186" t="inlineStr">
        <is>
          <t>Reason for override</t>
        </is>
      </c>
      <c r="C186" t="inlineStr">
        <is>
          <t>override_reason</t>
        </is>
      </c>
      <c r="D186" t="inlineStr">
        <is>
          <t>Input (yellow)</t>
        </is>
      </c>
      <c r="E186" t="inlineStr"/>
      <c r="F186" t="inlineStr"/>
    </row>
    <row r="187">
      <c r="A187" t="inlineStr">
        <is>
          <t>Indirect Costs</t>
        </is>
      </c>
      <c r="B187" t="inlineStr">
        <is>
          <t>Code</t>
        </is>
      </c>
      <c r="C187" t="inlineStr">
        <is>
          <t>code</t>
        </is>
      </c>
      <c r="D187" t="inlineStr">
        <is>
          <t>Input (yellow)</t>
        </is>
      </c>
      <c r="E187" t="inlineStr"/>
      <c r="F187" t="inlineStr"/>
    </row>
    <row r="188">
      <c r="A188" t="inlineStr">
        <is>
          <t>Indirect Costs</t>
        </is>
      </c>
      <c r="B188" t="inlineStr">
        <is>
          <t>Category</t>
        </is>
      </c>
      <c r="C188" t="inlineStr">
        <is>
          <t>category</t>
        </is>
      </c>
      <c r="D188" t="inlineStr">
        <is>
          <t>Input (yellow)</t>
        </is>
      </c>
      <c r="E188" t="inlineStr"/>
      <c r="F188" t="inlineStr"/>
    </row>
    <row r="189">
      <c r="A189" t="inlineStr">
        <is>
          <t>Indirect Costs</t>
        </is>
      </c>
      <c r="B189" t="inlineStr">
        <is>
          <t>Description</t>
        </is>
      </c>
      <c r="C189" t="inlineStr">
        <is>
          <t>description</t>
        </is>
      </c>
      <c r="D189" t="inlineStr">
        <is>
          <t>Input (yellow)</t>
        </is>
      </c>
      <c r="E189" t="inlineStr"/>
      <c r="F189" t="inlineStr"/>
    </row>
    <row r="190">
      <c r="A190" t="inlineStr">
        <is>
          <t>Indirect Costs</t>
        </is>
      </c>
      <c r="B190" t="inlineStr">
        <is>
          <t>Method</t>
        </is>
      </c>
      <c r="C190" t="inlineStr">
        <is>
          <t>method</t>
        </is>
      </c>
      <c r="D190" t="inlineStr">
        <is>
          <t>Input (yellow)</t>
        </is>
      </c>
      <c r="E190" t="inlineStr">
        <is>
          <t xml:space="preserve"> | list: IndirectMethod</t>
        </is>
      </c>
      <c r="F190" t="inlineStr"/>
    </row>
    <row r="191">
      <c r="A191" t="inlineStr">
        <is>
          <t>Indirect Costs</t>
        </is>
      </c>
      <c r="B191" t="inlineStr">
        <is>
          <t>Rate / amount</t>
        </is>
      </c>
      <c r="C191" t="inlineStr">
        <is>
          <t>amount</t>
        </is>
      </c>
      <c r="D191" t="inlineStr">
        <is>
          <t>Input (yellow)</t>
        </is>
      </c>
      <c r="E191" t="inlineStr">
        <is>
          <t>#,##0.00;[Red]-#,##0.00</t>
        </is>
      </c>
      <c r="F191" t="inlineStr"/>
    </row>
    <row r="192">
      <c r="A192" t="inlineStr">
        <is>
          <t>Indirect Costs</t>
        </is>
      </c>
      <c r="B192" t="inlineStr">
        <is>
          <t>Quantity (people/units)</t>
        </is>
      </c>
      <c r="C192" t="inlineStr">
        <is>
          <t>quantity</t>
        </is>
      </c>
      <c r="D192" t="inlineStr">
        <is>
          <t>Input (yellow)</t>
        </is>
      </c>
      <c r="E192" t="inlineStr"/>
      <c r="F192" t="inlineStr"/>
    </row>
    <row r="193">
      <c r="A193" t="inlineStr">
        <is>
          <t>Indirect Costs</t>
        </is>
      </c>
      <c r="B193" t="inlineStr">
        <is>
          <t>Allocation</t>
        </is>
      </c>
      <c r="C193" t="inlineStr">
        <is>
          <t>allocation_method</t>
        </is>
      </c>
      <c r="D193" t="inlineStr">
        <is>
          <t>Input (yellow)</t>
        </is>
      </c>
      <c r="E193" t="inlineStr">
        <is>
          <t xml:space="preserve"> | list: Allocation</t>
        </is>
      </c>
      <c r="F193" t="inlineStr"/>
    </row>
    <row r="194">
      <c r="A194" t="inlineStr">
        <is>
          <t>Indirect Costs</t>
        </is>
      </c>
      <c r="B194" t="inlineStr">
        <is>
          <t>Alloc. target</t>
        </is>
      </c>
      <c r="C194" t="inlineStr">
        <is>
          <t>allocation_target</t>
        </is>
      </c>
      <c r="D194" t="inlineStr">
        <is>
          <t>Input (yellow)</t>
        </is>
      </c>
      <c r="E194" t="inlineStr"/>
      <c r="F194" t="inlineStr"/>
    </row>
    <row r="195">
      <c r="A195" t="inlineStr">
        <is>
          <t>Indirect Costs</t>
        </is>
      </c>
      <c r="B195" t="inlineStr">
        <is>
          <t>Incl. in subcontract (1/0)</t>
        </is>
      </c>
      <c r="C195" t="inlineStr">
        <is>
          <t>included_in_subcontract</t>
        </is>
      </c>
      <c r="D195" t="inlineStr">
        <is>
          <t>Input (yellow)</t>
        </is>
      </c>
      <c r="E195" t="inlineStr"/>
      <c r="F195" t="inlineStr"/>
    </row>
    <row r="196">
      <c r="A196" t="inlineStr">
        <is>
          <t>Indirect Costs</t>
        </is>
      </c>
      <c r="B196" t="inlineStr">
        <is>
          <t>Status</t>
        </is>
      </c>
      <c r="C196" t="inlineStr">
        <is>
          <t>status</t>
        </is>
      </c>
      <c r="D196" t="inlineStr">
        <is>
          <t>Read-only (blue)</t>
        </is>
      </c>
      <c r="E196" t="inlineStr"/>
      <c r="F196" t="inlineStr"/>
    </row>
    <row r="197">
      <c r="A197" t="inlineStr">
        <is>
          <t>Indirect Costs</t>
        </is>
      </c>
      <c r="B197" t="inlineStr">
        <is>
          <t>Calculated amount</t>
        </is>
      </c>
      <c r="C197" t="inlineStr">
        <is>
          <t>engine_amount</t>
        </is>
      </c>
      <c r="D197" t="inlineStr">
        <is>
          <t>Read-only (blue)</t>
        </is>
      </c>
      <c r="E197" t="inlineStr">
        <is>
          <t>#,##0.00;[Red]-#,##0.00</t>
        </is>
      </c>
      <c r="F197" t="inlineStr"/>
    </row>
    <row r="198">
      <c r="A198" t="inlineStr">
        <is>
          <t>Indirect Costs</t>
        </is>
      </c>
      <c r="B198" t="inlineStr">
        <is>
          <t>Calculation basis</t>
        </is>
      </c>
      <c r="C198" t="inlineStr">
        <is>
          <t>basis</t>
        </is>
      </c>
      <c r="D198" t="inlineStr">
        <is>
          <t>Read-only (blue)</t>
        </is>
      </c>
      <c r="E198" t="inlineStr"/>
      <c r="F198" t="inlineStr"/>
    </row>
    <row r="199">
      <c r="A199" t="inlineStr">
        <is>
          <t>Procurement Register</t>
        </is>
      </c>
      <c r="B199" t="inlineStr">
        <is>
          <t>Item ID</t>
        </is>
      </c>
      <c r="C199" t="inlineStr">
        <is>
          <t>id</t>
        </is>
      </c>
      <c r="D199" t="inlineStr">
        <is>
          <t>Read-only (blue)</t>
        </is>
      </c>
      <c r="E199" t="inlineStr"/>
      <c r="F199" t="inlineStr"/>
    </row>
    <row r="200">
      <c r="A200" t="inlineStr">
        <is>
          <t>Procurement Register</t>
        </is>
      </c>
      <c r="B200" t="inlineStr">
        <is>
          <t>Package</t>
        </is>
      </c>
      <c r="C200" t="inlineStr">
        <is>
          <t>package_id</t>
        </is>
      </c>
      <c r="D200" t="inlineStr">
        <is>
          <t>Read-only (blue)</t>
        </is>
      </c>
      <c r="E200" t="inlineStr"/>
      <c r="F200" t="inlineStr"/>
    </row>
    <row r="201">
      <c r="A201" t="inlineStr">
        <is>
          <t>Procurement Register</t>
        </is>
      </c>
      <c r="B201" t="inlineStr">
        <is>
          <t>Trade</t>
        </is>
      </c>
      <c r="C201" t="inlineStr">
        <is>
          <t>trade</t>
        </is>
      </c>
      <c r="D201" t="inlineStr">
        <is>
          <t>Read-only (blue)</t>
        </is>
      </c>
      <c r="E201" t="inlineStr"/>
      <c r="F201" t="inlineStr"/>
    </row>
    <row r="202">
      <c r="A202" t="inlineStr">
        <is>
          <t>Procurement Register</t>
        </is>
      </c>
      <c r="B202" t="inlineStr">
        <is>
          <t>Resource</t>
        </is>
      </c>
      <c r="C202" t="inlineStr">
        <is>
          <t>resource_id</t>
        </is>
      </c>
      <c r="D202" t="inlineStr">
        <is>
          <t>Read-only (blue)</t>
        </is>
      </c>
      <c r="E202" t="inlineStr"/>
      <c r="F202" t="inlineStr"/>
    </row>
    <row r="203">
      <c r="A203" t="inlineStr">
        <is>
          <t>Procurement Register</t>
        </is>
      </c>
      <c r="B203" t="inlineStr">
        <is>
          <t>Description</t>
        </is>
      </c>
      <c r="C203" t="inlineStr">
        <is>
          <t>description</t>
        </is>
      </c>
      <c r="D203" t="inlineStr">
        <is>
          <t>Read-only (blue)</t>
        </is>
      </c>
      <c r="E203" t="inlineStr"/>
      <c r="F203" t="inlineStr"/>
    </row>
    <row r="204">
      <c r="A204" t="inlineStr">
        <is>
          <t>Procurement Register</t>
        </is>
      </c>
      <c r="B204" t="inlineStr">
        <is>
          <t>Specification</t>
        </is>
      </c>
      <c r="C204" t="inlineStr">
        <is>
          <t>specification</t>
        </is>
      </c>
      <c r="D204" t="inlineStr">
        <is>
          <t>Read-only (blue)</t>
        </is>
      </c>
      <c r="E204" t="inlineStr"/>
      <c r="F204" t="inlineStr"/>
    </row>
    <row r="205">
      <c r="A205" t="inlineStr">
        <is>
          <t>Procurement Register</t>
        </is>
      </c>
      <c r="B205" t="inlineStr">
        <is>
          <t>Quantity</t>
        </is>
      </c>
      <c r="C205" t="inlineStr">
        <is>
          <t>quantity</t>
        </is>
      </c>
      <c r="D205" t="inlineStr">
        <is>
          <t>Read-only (blue)</t>
        </is>
      </c>
      <c r="E205" t="inlineStr">
        <is>
          <t>#,##0.000</t>
        </is>
      </c>
      <c r="F205" t="inlineStr"/>
    </row>
    <row r="206">
      <c r="A206" t="inlineStr">
        <is>
          <t>Procurement Register</t>
        </is>
      </c>
      <c r="B206" t="inlineStr">
        <is>
          <t>Unit</t>
        </is>
      </c>
      <c r="C206" t="inlineStr">
        <is>
          <t>unit</t>
        </is>
      </c>
      <c r="D206" t="inlineStr">
        <is>
          <t>Read-only (blue)</t>
        </is>
      </c>
      <c r="E206" t="inlineStr"/>
      <c r="F206" t="inlineStr"/>
    </row>
    <row r="207">
      <c r="A207" t="inlineStr">
        <is>
          <t>Procurement Register</t>
        </is>
      </c>
      <c r="B207" t="inlineStr">
        <is>
          <t>Delivery location</t>
        </is>
      </c>
      <c r="C207" t="inlineStr">
        <is>
          <t>delivery_location</t>
        </is>
      </c>
      <c r="D207" t="inlineStr">
        <is>
          <t>Input (yellow)</t>
        </is>
      </c>
      <c r="E207" t="inlineStr"/>
      <c r="F207" t="inlineStr"/>
    </row>
    <row r="208">
      <c r="A208" t="inlineStr">
        <is>
          <t>Procurement Register</t>
        </is>
      </c>
      <c r="B208" t="inlineStr">
        <is>
          <t>Required date</t>
        </is>
      </c>
      <c r="C208" t="inlineStr">
        <is>
          <t>required_date</t>
        </is>
      </c>
      <c r="D208" t="inlineStr">
        <is>
          <t>Input (yellow)</t>
        </is>
      </c>
      <c r="E208" t="inlineStr">
        <is>
          <t>yyyy-mm-dd</t>
        </is>
      </c>
      <c r="F208" t="inlineStr"/>
    </row>
    <row r="209">
      <c r="A209" t="inlineStr">
        <is>
          <t>Procurement Register</t>
        </is>
      </c>
      <c r="B209" t="inlineStr">
        <is>
          <t>Preferred suppliers</t>
        </is>
      </c>
      <c r="C209" t="inlineStr">
        <is>
          <t>preferred_suppliers</t>
        </is>
      </c>
      <c r="D209" t="inlineStr">
        <is>
          <t>Input (yellow)</t>
        </is>
      </c>
      <c r="E209" t="inlineStr"/>
      <c r="F209" t="inlineStr"/>
    </row>
    <row r="210">
      <c r="A210" t="inlineStr">
        <is>
          <t>Procurement Register</t>
        </is>
      </c>
      <c r="B210" t="inlineStr">
        <is>
          <t>Reason</t>
        </is>
      </c>
      <c r="C210" t="inlineStr">
        <is>
          <t>reason</t>
        </is>
      </c>
      <c r="D210" t="inlineStr">
        <is>
          <t>Read-only (blue)</t>
        </is>
      </c>
      <c r="E210" t="inlineStr"/>
      <c r="F210" t="inlineStr"/>
    </row>
    <row r="211">
      <c r="A211" t="inlineStr">
        <is>
          <t>Procurement Register</t>
        </is>
      </c>
      <c r="B211" t="inlineStr">
        <is>
          <t>Indicative exposure (SAR)</t>
        </is>
      </c>
      <c r="C211" t="inlineStr">
        <is>
          <t>estimated_exposure</t>
        </is>
      </c>
      <c r="D211" t="inlineStr">
        <is>
          <t>Read-only (blue)</t>
        </is>
      </c>
      <c r="E211" t="inlineStr">
        <is>
          <t>#,##0.00;[Red]-#,##0.00</t>
        </is>
      </c>
      <c r="F211" t="inlineStr"/>
    </row>
    <row r="212">
      <c r="A212" t="inlineStr">
        <is>
          <t>Procurement Register</t>
        </is>
      </c>
      <c r="B212" t="inlineStr">
        <is>
          <t>RFQ status</t>
        </is>
      </c>
      <c r="C212" t="inlineStr">
        <is>
          <t>rfq_status</t>
        </is>
      </c>
      <c r="D212" t="inlineStr">
        <is>
          <t>Read-only (blue)</t>
        </is>
      </c>
      <c r="E212" t="inlineStr"/>
      <c r="F212" t="inlineStr"/>
    </row>
    <row r="213">
      <c r="A213" t="inlineStr">
        <is>
          <t>Procurement Register</t>
        </is>
      </c>
      <c r="B213" t="inlineStr">
        <is>
          <t>Response deadline</t>
        </is>
      </c>
      <c r="C213" t="inlineStr">
        <is>
          <t>response_deadline</t>
        </is>
      </c>
      <c r="D213" t="inlineStr">
        <is>
          <t>Input (yellow)</t>
        </is>
      </c>
      <c r="E213" t="inlineStr">
        <is>
          <t>yyyy-mm-dd</t>
        </is>
      </c>
      <c r="F213" t="inlineStr"/>
    </row>
    <row r="214">
      <c r="A214" t="inlineStr">
        <is>
          <t>Procurement Register</t>
        </is>
      </c>
      <c r="B214" t="inlineStr">
        <is>
          <t>Quotation status</t>
        </is>
      </c>
      <c r="C214" t="inlineStr">
        <is>
          <t>quotation_status</t>
        </is>
      </c>
      <c r="D214" t="inlineStr">
        <is>
          <t>Read-only (blue)</t>
        </is>
      </c>
      <c r="E214" t="inlineStr"/>
      <c r="F214" t="inlineStr"/>
    </row>
    <row r="215">
      <c r="A215" t="inlineStr">
        <is>
          <t>Procurement Register</t>
        </is>
      </c>
      <c r="B215" t="inlineStr">
        <is>
          <t>Approval status</t>
        </is>
      </c>
      <c r="C215" t="inlineStr">
        <is>
          <t>approval_status</t>
        </is>
      </c>
      <c r="D215" t="inlineStr">
        <is>
          <t>Read-only (blue)</t>
        </is>
      </c>
      <c r="E215" t="inlineStr"/>
      <c r="F215" t="inlineStr"/>
    </row>
    <row r="216">
      <c r="A216" t="inlineStr">
        <is>
          <t>Vendor Directory</t>
        </is>
      </c>
      <c r="B216" t="inlineStr">
        <is>
          <t>Vendor ID</t>
        </is>
      </c>
      <c r="C216" t="inlineStr">
        <is>
          <t>id</t>
        </is>
      </c>
      <c r="D216" t="inlineStr">
        <is>
          <t>Read-only (blue)</t>
        </is>
      </c>
      <c r="E216" t="inlineStr"/>
      <c r="F216" t="inlineStr"/>
    </row>
    <row r="217">
      <c r="A217" t="inlineStr">
        <is>
          <t>Vendor Directory</t>
        </is>
      </c>
      <c r="B217" t="inlineStr">
        <is>
          <t>Name</t>
        </is>
      </c>
      <c r="C217" t="inlineStr">
        <is>
          <t>name</t>
        </is>
      </c>
      <c r="D217" t="inlineStr">
        <is>
          <t>Input (yellow)</t>
        </is>
      </c>
      <c r="E217" t="inlineStr"/>
      <c r="F217" t="inlineStr"/>
    </row>
    <row r="218">
      <c r="A218" t="inlineStr">
        <is>
          <t>Vendor Directory</t>
        </is>
      </c>
      <c r="B218" t="inlineStr">
        <is>
          <t>Type</t>
        </is>
      </c>
      <c r="C218" t="inlineStr">
        <is>
          <t>supplier_type</t>
        </is>
      </c>
      <c r="D218" t="inlineStr">
        <is>
          <t>Input (yellow)</t>
        </is>
      </c>
      <c r="E218" t="inlineStr"/>
      <c r="F218" t="inlineStr"/>
    </row>
    <row r="219">
      <c r="A219" t="inlineStr">
        <is>
          <t>Vendor Directory</t>
        </is>
      </c>
      <c r="B219" t="inlineStr">
        <is>
          <t>Trades (cost codes)</t>
        </is>
      </c>
      <c r="C219" t="inlineStr">
        <is>
          <t>trades</t>
        </is>
      </c>
      <c r="D219" t="inlineStr">
        <is>
          <t>Input (yellow)</t>
        </is>
      </c>
      <c r="E219" t="inlineStr"/>
      <c r="F219" t="inlineStr"/>
    </row>
    <row r="220">
      <c r="A220" t="inlineStr">
        <is>
          <t>Vendor Directory</t>
        </is>
      </c>
      <c r="B220" t="inlineStr">
        <is>
          <t>Region</t>
        </is>
      </c>
      <c r="C220" t="inlineStr">
        <is>
          <t>region</t>
        </is>
      </c>
      <c r="D220" t="inlineStr">
        <is>
          <t>Input (yellow)</t>
        </is>
      </c>
      <c r="E220" t="inlineStr"/>
      <c r="F220" t="inlineStr"/>
    </row>
    <row r="221">
      <c r="A221" t="inlineStr">
        <is>
          <t>Vendor Directory</t>
        </is>
      </c>
      <c r="B221" t="inlineStr">
        <is>
          <t>Contact</t>
        </is>
      </c>
      <c r="C221" t="inlineStr">
        <is>
          <t>contact_name</t>
        </is>
      </c>
      <c r="D221" t="inlineStr">
        <is>
          <t>Input (yellow)</t>
        </is>
      </c>
      <c r="E221" t="inlineStr"/>
      <c r="F221" t="inlineStr"/>
    </row>
    <row r="222">
      <c r="A222" t="inlineStr">
        <is>
          <t>Vendor Directory</t>
        </is>
      </c>
      <c r="B222" t="inlineStr">
        <is>
          <t>Email</t>
        </is>
      </c>
      <c r="C222" t="inlineStr">
        <is>
          <t>contact_email</t>
        </is>
      </c>
      <c r="D222" t="inlineStr">
        <is>
          <t>Input (yellow)</t>
        </is>
      </c>
      <c r="E222" t="inlineStr"/>
      <c r="F222" t="inlineStr"/>
    </row>
    <row r="223">
      <c r="A223" t="inlineStr">
        <is>
          <t>Vendor Directory</t>
        </is>
      </c>
      <c r="B223" t="inlineStr">
        <is>
          <t>Phone</t>
        </is>
      </c>
      <c r="C223" t="inlineStr">
        <is>
          <t>contact_phone</t>
        </is>
      </c>
      <c r="D223" t="inlineStr">
        <is>
          <t>Input (yellow)</t>
        </is>
      </c>
      <c r="E223" t="inlineStr"/>
      <c r="F223" t="inlineStr"/>
    </row>
    <row r="224">
      <c r="A224" t="inlineStr">
        <is>
          <t>Vendor Directory</t>
        </is>
      </c>
      <c r="B224" t="inlineStr">
        <is>
          <t>Contact source (required if contact given)</t>
        </is>
      </c>
      <c r="C224" t="inlineStr">
        <is>
          <t>contact_source</t>
        </is>
      </c>
      <c r="D224" t="inlineStr">
        <is>
          <t>Input (yellow)</t>
        </is>
      </c>
      <c r="E224" t="inlineStr"/>
      <c r="F224" t="inlineStr"/>
    </row>
    <row r="225">
      <c r="A225" t="inlineStr">
        <is>
          <t>Vendor Directory</t>
        </is>
      </c>
      <c r="B225" t="inlineStr">
        <is>
          <t>Qualification</t>
        </is>
      </c>
      <c r="C225" t="inlineStr">
        <is>
          <t>qualification_status</t>
        </is>
      </c>
      <c r="D225" t="inlineStr">
        <is>
          <t>Read-only (blue)</t>
        </is>
      </c>
      <c r="E225" t="inlineStr"/>
      <c r="F225" t="inlineStr"/>
    </row>
    <row r="226">
      <c r="A226" t="inlineStr">
        <is>
          <t>Vendor Directory</t>
        </is>
      </c>
      <c r="B226" t="inlineStr">
        <is>
          <t>Synthetic (1/0)</t>
        </is>
      </c>
      <c r="C226" t="inlineStr">
        <is>
          <t>is_synthetic</t>
        </is>
      </c>
      <c r="D226" t="inlineStr">
        <is>
          <t>Read-only (blue)</t>
        </is>
      </c>
      <c r="E226" t="inlineStr"/>
      <c r="F226" t="inlineStr"/>
    </row>
    <row r="227">
      <c r="A227" t="inlineStr">
        <is>
          <t>Vendor Quotations</t>
        </is>
      </c>
      <c r="B227" t="inlineStr">
        <is>
          <t>Quotation ID</t>
        </is>
      </c>
      <c r="C227" t="inlineStr">
        <is>
          <t>quotation_id</t>
        </is>
      </c>
      <c r="D227" t="inlineStr">
        <is>
          <t>Input (yellow)</t>
        </is>
      </c>
      <c r="E227" t="inlineStr"/>
      <c r="F227" t="inlineStr"/>
    </row>
    <row r="228">
      <c r="A228" t="inlineStr">
        <is>
          <t>Vendor Quotations</t>
        </is>
      </c>
      <c r="B228" t="inlineStr">
        <is>
          <t>Vendor ID</t>
        </is>
      </c>
      <c r="C228" t="inlineStr">
        <is>
          <t>supplier_id</t>
        </is>
      </c>
      <c r="D228" t="inlineStr">
        <is>
          <t>Input (yellow)</t>
        </is>
      </c>
      <c r="E228" t="inlineStr"/>
      <c r="F228" t="inlineStr"/>
    </row>
    <row r="229">
      <c r="A229" t="inlineStr">
        <is>
          <t>Vendor Quotations</t>
        </is>
      </c>
      <c r="B229" t="inlineStr">
        <is>
          <t>Supplier ref</t>
        </is>
      </c>
      <c r="C229" t="inlineStr">
        <is>
          <t>reference</t>
        </is>
      </c>
      <c r="D229" t="inlineStr">
        <is>
          <t>Input (yellow)</t>
        </is>
      </c>
      <c r="E229" t="inlineStr"/>
      <c r="F229" t="inlineStr"/>
    </row>
    <row r="230">
      <c r="A230" t="inlineStr">
        <is>
          <t>Vendor Quotations</t>
        </is>
      </c>
      <c r="B230" t="inlineStr">
        <is>
          <t>Quote date</t>
        </is>
      </c>
      <c r="C230" t="inlineStr">
        <is>
          <t>quote_date</t>
        </is>
      </c>
      <c r="D230" t="inlineStr">
        <is>
          <t>Input (yellow)</t>
        </is>
      </c>
      <c r="E230" t="inlineStr">
        <is>
          <t>yyyy-mm-dd</t>
        </is>
      </c>
      <c r="F230" t="inlineStr"/>
    </row>
    <row r="231">
      <c r="A231" t="inlineStr">
        <is>
          <t>Vendor Quotations</t>
        </is>
      </c>
      <c r="B231" t="inlineStr">
        <is>
          <t>Valid until</t>
        </is>
      </c>
      <c r="C231" t="inlineStr">
        <is>
          <t>valid_until</t>
        </is>
      </c>
      <c r="D231" t="inlineStr">
        <is>
          <t>Input (yellow)</t>
        </is>
      </c>
      <c r="E231" t="inlineStr">
        <is>
          <t>yyyy-mm-dd</t>
        </is>
      </c>
      <c r="F231" t="inlineStr"/>
    </row>
    <row r="232">
      <c r="A232" t="inlineStr">
        <is>
          <t>Vendor Quotations</t>
        </is>
      </c>
      <c r="B232" t="inlineStr">
        <is>
          <t>Currency</t>
        </is>
      </c>
      <c r="C232" t="inlineStr">
        <is>
          <t>currency</t>
        </is>
      </c>
      <c r="D232" t="inlineStr">
        <is>
          <t>Input (yellow)</t>
        </is>
      </c>
      <c r="E232" t="inlineStr"/>
      <c r="F232" t="inlineStr"/>
    </row>
    <row r="233">
      <c r="A233" t="inlineStr">
        <is>
          <t>Vendor Quotations</t>
        </is>
      </c>
      <c r="B233" t="inlineStr">
        <is>
          <t>Tax (excl/incl/exempt)</t>
        </is>
      </c>
      <c r="C233" t="inlineStr">
        <is>
          <t>tax_treatment</t>
        </is>
      </c>
      <c r="D233" t="inlineStr">
        <is>
          <t>Input (yellow)</t>
        </is>
      </c>
      <c r="E233" t="inlineStr">
        <is>
          <t xml:space="preserve"> | list: TaxTreatment</t>
        </is>
      </c>
      <c r="F233" t="inlineStr"/>
    </row>
    <row r="234">
      <c r="A234" t="inlineStr">
        <is>
          <t>Vendor Quotations</t>
        </is>
      </c>
      <c r="B234" t="inlineStr">
        <is>
          <t>Tax rate %</t>
        </is>
      </c>
      <c r="C234" t="inlineStr">
        <is>
          <t>tax_rate_pct</t>
        </is>
      </c>
      <c r="D234" t="inlineStr">
        <is>
          <t>Input (yellow)</t>
        </is>
      </c>
      <c r="E234" t="inlineStr"/>
      <c r="F234" t="inlineStr"/>
    </row>
    <row r="235">
      <c r="A235" t="inlineStr">
        <is>
          <t>Vendor Quotations</t>
        </is>
      </c>
      <c r="B235" t="inlineStr">
        <is>
          <t>Payment terms</t>
        </is>
      </c>
      <c r="C235" t="inlineStr">
        <is>
          <t>payment_terms</t>
        </is>
      </c>
      <c r="D235" t="inlineStr">
        <is>
          <t>Input (yellow)</t>
        </is>
      </c>
      <c r="E235" t="inlineStr"/>
      <c r="F235" t="inlineStr"/>
    </row>
    <row r="236">
      <c r="A236" t="inlineStr">
        <is>
          <t>Vendor Quotations</t>
        </is>
      </c>
      <c r="B236" t="inlineStr">
        <is>
          <t>Status</t>
        </is>
      </c>
      <c r="C236" t="inlineStr">
        <is>
          <t>status</t>
        </is>
      </c>
      <c r="D236" t="inlineStr">
        <is>
          <t>Read-only (blue)</t>
        </is>
      </c>
      <c r="E236" t="inlineStr"/>
      <c r="F236" t="inlineStr"/>
    </row>
    <row r="237">
      <c r="A237" t="inlineStr">
        <is>
          <t>Vendor Quotations</t>
        </is>
      </c>
      <c r="B237" t="inlineStr">
        <is>
          <t>Line</t>
        </is>
      </c>
      <c r="C237" t="inlineStr">
        <is>
          <t>line_no</t>
        </is>
      </c>
      <c r="D237" t="inlineStr">
        <is>
          <t>Input (yellow)</t>
        </is>
      </c>
      <c r="E237" t="inlineStr"/>
      <c r="F237" t="inlineStr"/>
    </row>
    <row r="238">
      <c r="A238" t="inlineStr">
        <is>
          <t>Vendor Quotations</t>
        </is>
      </c>
      <c r="B238" t="inlineStr">
        <is>
          <t>Procurement item</t>
        </is>
      </c>
      <c r="C238" t="inlineStr">
        <is>
          <t>procurement_item_id</t>
        </is>
      </c>
      <c r="D238" t="inlineStr">
        <is>
          <t>Input (yellow)</t>
        </is>
      </c>
      <c r="E238" t="inlineStr"/>
      <c r="F238" t="inlineStr"/>
    </row>
    <row r="239">
      <c r="A239" t="inlineStr">
        <is>
          <t>Vendor Quotations</t>
        </is>
      </c>
      <c r="B239" t="inlineStr">
        <is>
          <t>Description</t>
        </is>
      </c>
      <c r="C239" t="inlineStr">
        <is>
          <t>description</t>
        </is>
      </c>
      <c r="D239" t="inlineStr">
        <is>
          <t>Input (yellow)</t>
        </is>
      </c>
      <c r="E239" t="inlineStr"/>
      <c r="F239" t="inlineStr"/>
    </row>
    <row r="240">
      <c r="A240" t="inlineStr">
        <is>
          <t>Vendor Quotations</t>
        </is>
      </c>
      <c r="B240" t="inlineStr">
        <is>
          <t>Qty</t>
        </is>
      </c>
      <c r="C240" t="inlineStr">
        <is>
          <t>quantity</t>
        </is>
      </c>
      <c r="D240" t="inlineStr">
        <is>
          <t>Input (yellow)</t>
        </is>
      </c>
      <c r="E240" t="inlineStr">
        <is>
          <t>#,##0.000</t>
        </is>
      </c>
      <c r="F240" t="inlineStr"/>
    </row>
    <row r="241">
      <c r="A241" t="inlineStr">
        <is>
          <t>Vendor Quotations</t>
        </is>
      </c>
      <c r="B241" t="inlineStr">
        <is>
          <t>Unit</t>
        </is>
      </c>
      <c r="C241" t="inlineStr">
        <is>
          <t>unit</t>
        </is>
      </c>
      <c r="D241" t="inlineStr">
        <is>
          <t>Input (yellow)</t>
        </is>
      </c>
      <c r="E241" t="inlineStr"/>
      <c r="F241" t="inlineStr"/>
    </row>
    <row r="242">
      <c r="A242" t="inlineStr">
        <is>
          <t>Vendor Quotations</t>
        </is>
      </c>
      <c r="B242" t="inlineStr">
        <is>
          <t>Unit rate</t>
        </is>
      </c>
      <c r="C242" t="inlineStr">
        <is>
          <t>unit_rate</t>
        </is>
      </c>
      <c r="D242" t="inlineStr">
        <is>
          <t>Input (yellow)</t>
        </is>
      </c>
      <c r="E242" t="inlineStr">
        <is>
          <t>#,##0.00;[Red]-#,##0.00</t>
        </is>
      </c>
      <c r="F242" t="inlineStr"/>
    </row>
    <row r="243">
      <c r="A243" t="inlineStr">
        <is>
          <t>Vendor Quotations</t>
        </is>
      </c>
      <c r="B243" t="inlineStr">
        <is>
          <t>Disc %</t>
        </is>
      </c>
      <c r="C243" t="inlineStr">
        <is>
          <t>discount_pct</t>
        </is>
      </c>
      <c r="D243" t="inlineStr">
        <is>
          <t>Input (yellow)</t>
        </is>
      </c>
      <c r="E243" t="inlineStr"/>
      <c r="F243" t="inlineStr"/>
    </row>
    <row r="244">
      <c r="A244" t="inlineStr">
        <is>
          <t>Vendor Quotations</t>
        </is>
      </c>
      <c r="B244" t="inlineStr">
        <is>
          <t>Extended (qty x rate x (1-disc))</t>
        </is>
      </c>
      <c r="C244" t="inlineStr">
        <is>
          <t>extended</t>
        </is>
      </c>
      <c r="D244" t="inlineStr">
        <is>
          <t>Formula (grey)</t>
        </is>
      </c>
      <c r="E244" t="inlineStr">
        <is>
          <t>#,##0.00;[Red]-#,##0.00</t>
        </is>
      </c>
      <c r="F244" t="inlineStr">
        <is>
          <t>Formula: =IF(OR(N{r}="",P{r}=""),"",N{r}*P{r}*(1-IF(Q{r}="",0,Q{r})/100))</t>
        </is>
      </c>
    </row>
    <row r="245">
      <c r="A245" t="inlineStr">
        <is>
          <t>Vendor Quotations</t>
        </is>
      </c>
      <c r="B245" t="inlineStr">
        <is>
          <t>Delivery incl.</t>
        </is>
      </c>
      <c r="C245" t="inlineStr">
        <is>
          <t>delivery_included</t>
        </is>
      </c>
      <c r="D245" t="inlineStr">
        <is>
          <t>Input (yellow)</t>
        </is>
      </c>
      <c r="E245" t="inlineStr">
        <is>
          <t xml:space="preserve"> | list: YesNoUnknown</t>
        </is>
      </c>
      <c r="F245" t="inlineStr"/>
    </row>
    <row r="246">
      <c r="A246" t="inlineStr">
        <is>
          <t>Vendor Quotations</t>
        </is>
      </c>
      <c r="B246" t="inlineStr">
        <is>
          <t>Unloading incl.</t>
        </is>
      </c>
      <c r="C246" t="inlineStr">
        <is>
          <t>unloading_included</t>
        </is>
      </c>
      <c r="D246" t="inlineStr">
        <is>
          <t>Input (yellow)</t>
        </is>
      </c>
      <c r="E246" t="inlineStr">
        <is>
          <t xml:space="preserve"> | list: YesNoUnknown</t>
        </is>
      </c>
      <c r="F246" t="inlineStr"/>
    </row>
    <row r="247">
      <c r="A247" t="inlineStr">
        <is>
          <t>Vendor Quotations</t>
        </is>
      </c>
      <c r="B247" t="inlineStr">
        <is>
          <t>Lead time (days)</t>
        </is>
      </c>
      <c r="C247" t="inlineStr">
        <is>
          <t>lead_time_days</t>
        </is>
      </c>
      <c r="D247" t="inlineStr">
        <is>
          <t>Input (yellow)</t>
        </is>
      </c>
      <c r="E247" t="inlineStr"/>
      <c r="F247" t="inlineStr"/>
    </row>
    <row r="248">
      <c r="A248" t="inlineStr">
        <is>
          <t>Vendor Quotations</t>
        </is>
      </c>
      <c r="B248" t="inlineStr">
        <is>
          <t>Compliance</t>
        </is>
      </c>
      <c r="C248" t="inlineStr">
        <is>
          <t>compliance</t>
        </is>
      </c>
      <c r="D248" t="inlineStr">
        <is>
          <t>Input (yellow)</t>
        </is>
      </c>
      <c r="E248" t="inlineStr">
        <is>
          <t xml:space="preserve"> | list: Compliance</t>
        </is>
      </c>
      <c r="F248" t="inlineStr"/>
    </row>
    <row r="249">
      <c r="A249" t="inlineStr">
        <is>
          <t>Vendor Quotations</t>
        </is>
      </c>
      <c r="B249" t="inlineStr">
        <is>
          <t>Comments / deviations</t>
        </is>
      </c>
      <c r="C249" t="inlineStr">
        <is>
          <t>comments</t>
        </is>
      </c>
      <c r="D249" t="inlineStr">
        <is>
          <t>Input (yellow)</t>
        </is>
      </c>
      <c r="E249" t="inlineStr"/>
      <c r="F249" t="inlineStr"/>
    </row>
    <row r="250">
      <c r="A250" t="inlineStr">
        <is>
          <t>Quote Comparison</t>
        </is>
      </c>
      <c r="B250" t="inlineStr">
        <is>
          <t>Package</t>
        </is>
      </c>
      <c r="C250" t="inlineStr">
        <is>
          <t>package_id</t>
        </is>
      </c>
      <c r="D250" t="inlineStr">
        <is>
          <t>Read-only (blue)</t>
        </is>
      </c>
      <c r="E250" t="inlineStr"/>
      <c r="F250" t="inlineStr"/>
    </row>
    <row r="251">
      <c r="A251" t="inlineStr">
        <is>
          <t>Quote Comparison</t>
        </is>
      </c>
      <c r="B251" t="inlineStr">
        <is>
          <t>Quotation</t>
        </is>
      </c>
      <c r="C251" t="inlineStr">
        <is>
          <t>quotation_id</t>
        </is>
      </c>
      <c r="D251" t="inlineStr">
        <is>
          <t>Read-only (blue)</t>
        </is>
      </c>
      <c r="E251" t="inlineStr"/>
      <c r="F251" t="inlineStr"/>
    </row>
    <row r="252">
      <c r="A252" t="inlineStr">
        <is>
          <t>Quote Comparison</t>
        </is>
      </c>
      <c r="B252" t="inlineStr">
        <is>
          <t>Supplier</t>
        </is>
      </c>
      <c r="C252" t="inlineStr">
        <is>
          <t>supplier</t>
        </is>
      </c>
      <c r="D252" t="inlineStr">
        <is>
          <t>Read-only (blue)</t>
        </is>
      </c>
      <c r="E252" t="inlineStr"/>
      <c r="F252" t="inlineStr"/>
    </row>
    <row r="253">
      <c r="A253" t="inlineStr">
        <is>
          <t>Quote Comparison</t>
        </is>
      </c>
      <c r="B253" t="inlineStr">
        <is>
          <t>Validity</t>
        </is>
      </c>
      <c r="C253" t="inlineStr">
        <is>
          <t>validity</t>
        </is>
      </c>
      <c r="D253" t="inlineStr">
        <is>
          <t>Read-only (blue)</t>
        </is>
      </c>
      <c r="E253" t="inlineStr"/>
      <c r="F253" t="inlineStr"/>
    </row>
    <row r="254">
      <c r="A254" t="inlineStr">
        <is>
          <t>Quote Comparison</t>
        </is>
      </c>
      <c r="B254" t="inlineStr">
        <is>
          <t>Coverage</t>
        </is>
      </c>
      <c r="C254" t="inlineStr">
        <is>
          <t>coverage</t>
        </is>
      </c>
      <c r="D254" t="inlineStr">
        <is>
          <t>Read-only (blue)</t>
        </is>
      </c>
      <c r="E254" t="inlineStr"/>
      <c r="F254" t="inlineStr"/>
    </row>
    <row r="255">
      <c r="A255" t="inlineStr">
        <is>
          <t>Quote Comparison</t>
        </is>
      </c>
      <c r="B255" t="inlineStr">
        <is>
          <t>Quoted total (as quoted)</t>
        </is>
      </c>
      <c r="C255" t="inlineStr">
        <is>
          <t>quoted_total</t>
        </is>
      </c>
      <c r="D255" t="inlineStr">
        <is>
          <t>Read-only (blue)</t>
        </is>
      </c>
      <c r="E255" t="inlineStr">
        <is>
          <t>#,##0.00;[Red]-#,##0.00</t>
        </is>
      </c>
      <c r="F255" t="inlineStr"/>
    </row>
    <row r="256">
      <c r="A256" t="inlineStr">
        <is>
          <t>Quote Comparison</t>
        </is>
      </c>
      <c r="B256" t="inlineStr">
        <is>
          <t>Currency</t>
        </is>
      </c>
      <c r="C256" t="inlineStr">
        <is>
          <t>currency</t>
        </is>
      </c>
      <c r="D256" t="inlineStr">
        <is>
          <t>Read-only (blue)</t>
        </is>
      </c>
      <c r="E256" t="inlineStr"/>
      <c r="F256" t="inlineStr"/>
    </row>
    <row r="257">
      <c r="A257" t="inlineStr">
        <is>
          <t>Quote Comparison</t>
        </is>
      </c>
      <c r="B257" t="inlineStr">
        <is>
          <t>Approved adjustments (SAR)</t>
        </is>
      </c>
      <c r="C257" t="inlineStr">
        <is>
          <t>approved_adjustments</t>
        </is>
      </c>
      <c r="D257" t="inlineStr">
        <is>
          <t>Read-only (blue)</t>
        </is>
      </c>
      <c r="E257" t="inlineStr">
        <is>
          <t>#,##0.00;[Red]-#,##0.00</t>
        </is>
      </c>
      <c r="F257" t="inlineStr"/>
    </row>
    <row r="258">
      <c r="A258" t="inlineStr">
        <is>
          <t>Quote Comparison</t>
        </is>
      </c>
      <c r="B258" t="inlineStr">
        <is>
          <t>Normalised comparison value (SAR, pre-tax)</t>
        </is>
      </c>
      <c r="C258" t="inlineStr">
        <is>
          <t>normalised_total</t>
        </is>
      </c>
      <c r="D258" t="inlineStr">
        <is>
          <t>Read-only (blue)</t>
        </is>
      </c>
      <c r="E258" t="inlineStr">
        <is>
          <t>#,##0.00;[Red]-#,##0.00</t>
        </is>
      </c>
      <c r="F258" t="inlineStr"/>
    </row>
    <row r="259">
      <c r="A259" t="inlineStr">
        <is>
          <t>Quote Comparison</t>
        </is>
      </c>
      <c r="B259" t="inlineStr">
        <is>
          <t>Diff vs lowest like-for-like</t>
        </is>
      </c>
      <c r="C259" t="inlineStr">
        <is>
          <t>difference_vs_lowest</t>
        </is>
      </c>
      <c r="D259" t="inlineStr">
        <is>
          <t>Formula (grey)</t>
        </is>
      </c>
      <c r="E259" t="inlineStr">
        <is>
          <t>#,##0.00;[Red]-#,##0.00</t>
        </is>
      </c>
      <c r="F259" t="inlineStr">
        <is>
          <t>Formula: =IF(OR(I{r}="",K{r}&lt;&gt;"Yes"),"",I{r}-MINIFS($I$6:$I$500,$K$6:$K$500,"Yes"))</t>
        </is>
      </c>
    </row>
    <row r="260">
      <c r="A260" t="inlineStr">
        <is>
          <t>Quote Comparison</t>
        </is>
      </c>
      <c r="B260" t="inlineStr">
        <is>
          <t>Like-for-like</t>
        </is>
      </c>
      <c r="C260" t="inlineStr">
        <is>
          <t>like_for_like</t>
        </is>
      </c>
      <c r="D260" t="inlineStr">
        <is>
          <t>Read-only (blue)</t>
        </is>
      </c>
      <c r="E260" t="inlineStr"/>
      <c r="F260" t="inlineStr"/>
    </row>
    <row r="261">
      <c r="A261" t="inlineStr">
        <is>
          <t>Quote Comparison</t>
        </is>
      </c>
      <c r="B261" t="inlineStr">
        <is>
          <t>Lead time</t>
        </is>
      </c>
      <c r="C261" t="inlineStr">
        <is>
          <t>lead_time_days</t>
        </is>
      </c>
      <c r="D261" t="inlineStr">
        <is>
          <t>Read-only (blue)</t>
        </is>
      </c>
      <c r="E261" t="inlineStr"/>
      <c r="F261" t="inlineStr"/>
    </row>
    <row r="262">
      <c r="A262" t="inlineStr">
        <is>
          <t>Quote Comparison</t>
        </is>
      </c>
      <c r="B262" t="inlineStr">
        <is>
          <t>Payment terms</t>
        </is>
      </c>
      <c r="C262" t="inlineStr">
        <is>
          <t>payment_terms</t>
        </is>
      </c>
      <c r="D262" t="inlineStr">
        <is>
          <t>Read-only (blue)</t>
        </is>
      </c>
      <c r="E262" t="inlineStr"/>
      <c r="F262" t="inlineStr"/>
    </row>
    <row r="263">
      <c r="A263" t="inlineStr">
        <is>
          <t>Quote Comparison</t>
        </is>
      </c>
      <c r="B263" t="inlineStr">
        <is>
          <t>Exclusions</t>
        </is>
      </c>
      <c r="C263" t="inlineStr">
        <is>
          <t>exclusions</t>
        </is>
      </c>
      <c r="D263" t="inlineStr">
        <is>
          <t>Read-only (blue)</t>
        </is>
      </c>
      <c r="E263" t="inlineStr"/>
      <c r="F263" t="inlineStr"/>
    </row>
    <row r="264">
      <c r="A264" t="inlineStr">
        <is>
          <t>Quote Comparison</t>
        </is>
      </c>
      <c r="B264" t="inlineStr">
        <is>
          <t>Missing items</t>
        </is>
      </c>
      <c r="C264" t="inlineStr">
        <is>
          <t>missing_items</t>
        </is>
      </c>
      <c r="D264" t="inlineStr">
        <is>
          <t>Read-only (blue)</t>
        </is>
      </c>
      <c r="E264" t="inlineStr"/>
      <c r="F264" t="inlineStr"/>
    </row>
    <row r="265">
      <c r="A265" t="inlineStr">
        <is>
          <t>Quote Comparison</t>
        </is>
      </c>
      <c r="B265" t="inlineStr">
        <is>
          <t>Notes</t>
        </is>
      </c>
      <c r="C265" t="inlineStr">
        <is>
          <t>notes</t>
        </is>
      </c>
      <c r="D265" t="inlineStr">
        <is>
          <t>Read-only (blue)</t>
        </is>
      </c>
      <c r="E265" t="inlineStr"/>
      <c r="F265" t="inlineStr"/>
    </row>
    <row r="266">
      <c r="A266" t="inlineStr">
        <is>
          <t>Clarification Register</t>
        </is>
      </c>
      <c r="B266" t="inlineStr">
        <is>
          <t>ID</t>
        </is>
      </c>
      <c r="C266" t="inlineStr">
        <is>
          <t>id</t>
        </is>
      </c>
      <c r="D266" t="inlineStr">
        <is>
          <t>Read-only (blue)</t>
        </is>
      </c>
      <c r="E266" t="inlineStr"/>
      <c r="F266" t="inlineStr"/>
    </row>
    <row r="267">
      <c r="A267" t="inlineStr">
        <is>
          <t>Clarification Register</t>
        </is>
      </c>
      <c r="B267" t="inlineStr">
        <is>
          <t>Question</t>
        </is>
      </c>
      <c r="C267" t="inlineStr">
        <is>
          <t>question</t>
        </is>
      </c>
      <c r="D267" t="inlineStr">
        <is>
          <t>Input (yellow)</t>
        </is>
      </c>
      <c r="E267" t="inlineStr"/>
      <c r="F267" t="inlineStr"/>
    </row>
    <row r="268">
      <c r="A268" t="inlineStr">
        <is>
          <t>Clarification Register</t>
        </is>
      </c>
      <c r="B268" t="inlineStr">
        <is>
          <t>Trade</t>
        </is>
      </c>
      <c r="C268" t="inlineStr">
        <is>
          <t>trade</t>
        </is>
      </c>
      <c r="D268" t="inlineStr">
        <is>
          <t>Input (yellow)</t>
        </is>
      </c>
      <c r="E268" t="inlineStr"/>
      <c r="F268" t="inlineStr"/>
    </row>
    <row r="269">
      <c r="A269" t="inlineStr">
        <is>
          <t>Clarification Register</t>
        </is>
      </c>
      <c r="B269" t="inlineStr">
        <is>
          <t>Related BOQ item</t>
        </is>
      </c>
      <c r="C269" t="inlineStr">
        <is>
          <t>boq_item_key</t>
        </is>
      </c>
      <c r="D269" t="inlineStr">
        <is>
          <t>Input (yellow)</t>
        </is>
      </c>
      <c r="E269" t="inlineStr"/>
      <c r="F269" t="inlineStr"/>
    </row>
    <row r="270">
      <c r="A270" t="inlineStr">
        <is>
          <t>Clarification Register</t>
        </is>
      </c>
      <c r="B270" t="inlineStr">
        <is>
          <t>Drawing / spec ref</t>
        </is>
      </c>
      <c r="C270" t="inlineStr">
        <is>
          <t>doc_ref</t>
        </is>
      </c>
      <c r="D270" t="inlineStr">
        <is>
          <t>Input (yellow)</t>
        </is>
      </c>
      <c r="E270" t="inlineStr"/>
      <c r="F270" t="inlineStr"/>
    </row>
    <row r="271">
      <c r="A271" t="inlineStr">
        <is>
          <t>Clarification Register</t>
        </is>
      </c>
      <c r="B271" t="inlineStr">
        <is>
          <t>Reason</t>
        </is>
      </c>
      <c r="C271" t="inlineStr">
        <is>
          <t>reason</t>
        </is>
      </c>
      <c r="D271" t="inlineStr">
        <is>
          <t>Input (yellow)</t>
        </is>
      </c>
      <c r="E271" t="inlineStr"/>
      <c r="F271" t="inlineStr"/>
    </row>
    <row r="272">
      <c r="A272" t="inlineStr">
        <is>
          <t>Clarification Register</t>
        </is>
      </c>
      <c r="B272" t="inlineStr">
        <is>
          <t>Commercial impact</t>
        </is>
      </c>
      <c r="C272" t="inlineStr">
        <is>
          <t>commercial_impact</t>
        </is>
      </c>
      <c r="D272" t="inlineStr">
        <is>
          <t>Input (yellow)</t>
        </is>
      </c>
      <c r="E272" t="inlineStr"/>
      <c r="F272" t="inlineStr"/>
    </row>
    <row r="273">
      <c r="A273" t="inlineStr">
        <is>
          <t>Clarification Register</t>
        </is>
      </c>
      <c r="B273" t="inlineStr">
        <is>
          <t>Cost exposure (SAR)</t>
        </is>
      </c>
      <c r="C273" t="inlineStr">
        <is>
          <t>cost_exposure</t>
        </is>
      </c>
      <c r="D273" t="inlineStr">
        <is>
          <t>Input (yellow)</t>
        </is>
      </c>
      <c r="E273" t="inlineStr">
        <is>
          <t>#,##0.00;[Red]-#,##0.00</t>
        </is>
      </c>
      <c r="F273" t="inlineStr"/>
    </row>
    <row r="274">
      <c r="A274" t="inlineStr">
        <is>
          <t>Clarification Register</t>
        </is>
      </c>
      <c r="B274" t="inlineStr">
        <is>
          <t>Proposed wording</t>
        </is>
      </c>
      <c r="C274" t="inlineStr">
        <is>
          <t>proposed_wording</t>
        </is>
      </c>
      <c r="D274" t="inlineStr">
        <is>
          <t>Input (yellow)</t>
        </is>
      </c>
      <c r="E274" t="inlineStr"/>
      <c r="F274" t="inlineStr"/>
    </row>
    <row r="275">
      <c r="A275" t="inlineStr">
        <is>
          <t>Clarification Register</t>
        </is>
      </c>
      <c r="B275" t="inlineStr">
        <is>
          <t>Owner</t>
        </is>
      </c>
      <c r="C275" t="inlineStr">
        <is>
          <t>owner</t>
        </is>
      </c>
      <c r="D275" t="inlineStr">
        <is>
          <t>Input (yellow)</t>
        </is>
      </c>
      <c r="E275" t="inlineStr"/>
      <c r="F275" t="inlineStr"/>
    </row>
    <row r="276">
      <c r="A276" t="inlineStr">
        <is>
          <t>Clarification Register</t>
        </is>
      </c>
      <c r="B276" t="inlineStr">
        <is>
          <t>Status</t>
        </is>
      </c>
      <c r="C276" t="inlineStr">
        <is>
          <t>status</t>
        </is>
      </c>
      <c r="D276" t="inlineStr">
        <is>
          <t>Read-only (blue)</t>
        </is>
      </c>
      <c r="E276" t="inlineStr"/>
      <c r="F276" t="inlineStr"/>
    </row>
    <row r="277">
      <c r="A277" t="inlineStr">
        <is>
          <t>Clarification Register</t>
        </is>
      </c>
      <c r="B277" t="inlineStr">
        <is>
          <t>Client response</t>
        </is>
      </c>
      <c r="C277" t="inlineStr">
        <is>
          <t>client_response</t>
        </is>
      </c>
      <c r="D277" t="inlineStr">
        <is>
          <t>Read-only (blue)</t>
        </is>
      </c>
      <c r="E277" t="inlineStr"/>
      <c r="F277" t="inlineStr"/>
    </row>
    <row r="278">
      <c r="A278" t="inlineStr">
        <is>
          <t>Clarification Register</t>
        </is>
      </c>
      <c r="B278" t="inlineStr">
        <is>
          <t>Resolution date</t>
        </is>
      </c>
      <c r="C278" t="inlineStr">
        <is>
          <t>resolution_date</t>
        </is>
      </c>
      <c r="D278" t="inlineStr">
        <is>
          <t>Read-only (blue)</t>
        </is>
      </c>
      <c r="E278" t="inlineStr">
        <is>
          <t>yyyy-mm-dd</t>
        </is>
      </c>
      <c r="F278" t="inlineStr"/>
    </row>
    <row r="279">
      <c r="A279" t="inlineStr">
        <is>
          <t>Inclusions and Exclusions</t>
        </is>
      </c>
      <c r="B279" t="inlineStr">
        <is>
          <t>ID</t>
        </is>
      </c>
      <c r="C279" t="inlineStr">
        <is>
          <t>id</t>
        </is>
      </c>
      <c r="D279" t="inlineStr">
        <is>
          <t>Read-only (blue)</t>
        </is>
      </c>
      <c r="E279" t="inlineStr"/>
      <c r="F279" t="inlineStr"/>
    </row>
    <row r="280">
      <c r="A280" t="inlineStr">
        <is>
          <t>Inclusions and Exclusions</t>
        </is>
      </c>
      <c r="B280" t="inlineStr">
        <is>
          <t>Kind</t>
        </is>
      </c>
      <c r="C280" t="inlineStr">
        <is>
          <t>kind</t>
        </is>
      </c>
      <c r="D280" t="inlineStr">
        <is>
          <t>Input (yellow)</t>
        </is>
      </c>
      <c r="E280" t="inlineStr">
        <is>
          <t xml:space="preserve"> | list: ScopeKind</t>
        </is>
      </c>
      <c r="F280" t="inlineStr"/>
    </row>
    <row r="281">
      <c r="A281" t="inlineStr">
        <is>
          <t>Inclusions and Exclusions</t>
        </is>
      </c>
      <c r="B281" t="inlineStr">
        <is>
          <t>Description</t>
        </is>
      </c>
      <c r="C281" t="inlineStr">
        <is>
          <t>description</t>
        </is>
      </c>
      <c r="D281" t="inlineStr">
        <is>
          <t>Input (yellow)</t>
        </is>
      </c>
      <c r="E281" t="inlineStr"/>
      <c r="F281" t="inlineStr"/>
    </row>
    <row r="282">
      <c r="A282" t="inlineStr">
        <is>
          <t>Inclusions and Exclusions</t>
        </is>
      </c>
      <c r="B282" t="inlineStr">
        <is>
          <t>Trade</t>
        </is>
      </c>
      <c r="C282" t="inlineStr">
        <is>
          <t>trade</t>
        </is>
      </c>
      <c r="D282" t="inlineStr">
        <is>
          <t>Input (yellow)</t>
        </is>
      </c>
      <c r="E282" t="inlineStr"/>
      <c r="F282" t="inlineStr"/>
    </row>
    <row r="283">
      <c r="A283" t="inlineStr">
        <is>
          <t>Inclusions and Exclusions</t>
        </is>
      </c>
      <c r="B283" t="inlineStr">
        <is>
          <t>BOQ item</t>
        </is>
      </c>
      <c r="C283" t="inlineStr">
        <is>
          <t>boq_item_key</t>
        </is>
      </c>
      <c r="D283" t="inlineStr">
        <is>
          <t>Input (yellow)</t>
        </is>
      </c>
      <c r="E283" t="inlineStr"/>
      <c r="F283" t="inlineStr"/>
    </row>
    <row r="284">
      <c r="A284" t="inlineStr">
        <is>
          <t>Inclusions and Exclusions</t>
        </is>
      </c>
      <c r="B284" t="inlineStr">
        <is>
          <t>Cost code</t>
        </is>
      </c>
      <c r="C284" t="inlineStr">
        <is>
          <t>cost_code</t>
        </is>
      </c>
      <c r="D284" t="inlineStr">
        <is>
          <t>Input (yellow)</t>
        </is>
      </c>
      <c r="E284" t="inlineStr">
        <is>
          <t xml:space="preserve"> | list: costcodes</t>
        </is>
      </c>
      <c r="F284" t="inlineStr"/>
    </row>
    <row r="285">
      <c r="A285" t="inlineStr">
        <is>
          <t>Inclusions and Exclusions</t>
        </is>
      </c>
      <c r="B285" t="inlineStr">
        <is>
          <t>Rationale</t>
        </is>
      </c>
      <c r="C285" t="inlineStr">
        <is>
          <t>rationale</t>
        </is>
      </c>
      <c r="D285" t="inlineStr">
        <is>
          <t>Input (yellow)</t>
        </is>
      </c>
      <c r="E285" t="inlineStr"/>
      <c r="F285" t="inlineStr"/>
    </row>
    <row r="286">
      <c r="A286" t="inlineStr">
        <is>
          <t>Inclusions and Exclusions</t>
        </is>
      </c>
      <c r="B286" t="inlineStr">
        <is>
          <t>Status</t>
        </is>
      </c>
      <c r="C286" t="inlineStr">
        <is>
          <t>status</t>
        </is>
      </c>
      <c r="D286" t="inlineStr">
        <is>
          <t>Read-only (blue)</t>
        </is>
      </c>
      <c r="E286" t="inlineStr"/>
      <c r="F286" t="inlineStr"/>
    </row>
    <row r="287">
      <c r="A287" t="inlineStr">
        <is>
          <t>Risk Register</t>
        </is>
      </c>
      <c r="B287" t="inlineStr">
        <is>
          <t>ID</t>
        </is>
      </c>
      <c r="C287" t="inlineStr">
        <is>
          <t>id</t>
        </is>
      </c>
      <c r="D287" t="inlineStr">
        <is>
          <t>Read-only (blue)</t>
        </is>
      </c>
      <c r="E287" t="inlineStr"/>
      <c r="F287" t="inlineStr"/>
    </row>
    <row r="288">
      <c r="A288" t="inlineStr">
        <is>
          <t>Risk Register</t>
        </is>
      </c>
      <c r="B288" t="inlineStr">
        <is>
          <t>Title</t>
        </is>
      </c>
      <c r="C288" t="inlineStr">
        <is>
          <t>title</t>
        </is>
      </c>
      <c r="D288" t="inlineStr">
        <is>
          <t>Input (yellow)</t>
        </is>
      </c>
      <c r="E288" t="inlineStr"/>
      <c r="F288" t="inlineStr"/>
    </row>
    <row r="289">
      <c r="A289" t="inlineStr">
        <is>
          <t>Risk Register</t>
        </is>
      </c>
      <c r="B289" t="inlineStr">
        <is>
          <t>Description</t>
        </is>
      </c>
      <c r="C289" t="inlineStr">
        <is>
          <t>description</t>
        </is>
      </c>
      <c r="D289" t="inlineStr">
        <is>
          <t>Input (yellow)</t>
        </is>
      </c>
      <c r="E289" t="inlineStr"/>
      <c r="F289" t="inlineStr"/>
    </row>
    <row r="290">
      <c r="A290" t="inlineStr">
        <is>
          <t>Risk Register</t>
        </is>
      </c>
      <c r="B290" t="inlineStr">
        <is>
          <t>Trade</t>
        </is>
      </c>
      <c r="C290" t="inlineStr">
        <is>
          <t>trade</t>
        </is>
      </c>
      <c r="D290" t="inlineStr">
        <is>
          <t>Input (yellow)</t>
        </is>
      </c>
      <c r="E290" t="inlineStr"/>
      <c r="F290" t="inlineStr"/>
    </row>
    <row r="291">
      <c r="A291" t="inlineStr">
        <is>
          <t>Risk Register</t>
        </is>
      </c>
      <c r="B291" t="inlineStr">
        <is>
          <t>Probability</t>
        </is>
      </c>
      <c r="C291" t="inlineStr">
        <is>
          <t>probability</t>
        </is>
      </c>
      <c r="D291" t="inlineStr">
        <is>
          <t>Input (yellow)</t>
        </is>
      </c>
      <c r="E291" t="inlineStr"/>
      <c r="F291" t="inlineStr"/>
    </row>
    <row r="292">
      <c r="A292" t="inlineStr">
        <is>
          <t>Risk Register</t>
        </is>
      </c>
      <c r="B292" t="inlineStr">
        <is>
          <t>Impact</t>
        </is>
      </c>
      <c r="C292" t="inlineStr">
        <is>
          <t>impact</t>
        </is>
      </c>
      <c r="D292" t="inlineStr">
        <is>
          <t>Input (yellow)</t>
        </is>
      </c>
      <c r="E292" t="inlineStr"/>
      <c r="F292" t="inlineStr"/>
    </row>
    <row r="293">
      <c r="A293" t="inlineStr">
        <is>
          <t>Risk Register</t>
        </is>
      </c>
      <c r="B293" t="inlineStr">
        <is>
          <t>Cost exposure (SAR)</t>
        </is>
      </c>
      <c r="C293" t="inlineStr">
        <is>
          <t>cost_exposure</t>
        </is>
      </c>
      <c r="D293" t="inlineStr">
        <is>
          <t>Input (yellow)</t>
        </is>
      </c>
      <c r="E293" t="inlineStr">
        <is>
          <t>#,##0.00;[Red]-#,##0.00</t>
        </is>
      </c>
      <c r="F293" t="inlineStr"/>
    </row>
    <row r="294">
      <c r="A294" t="inlineStr">
        <is>
          <t>Risk Register</t>
        </is>
      </c>
      <c r="B294" t="inlineStr">
        <is>
          <t>Mitigation</t>
        </is>
      </c>
      <c r="C294" t="inlineStr">
        <is>
          <t>mitigation</t>
        </is>
      </c>
      <c r="D294" t="inlineStr">
        <is>
          <t>Input (yellow)</t>
        </is>
      </c>
      <c r="E294" t="inlineStr"/>
      <c r="F294" t="inlineStr"/>
    </row>
    <row r="295">
      <c r="A295" t="inlineStr">
        <is>
          <t>Risk Register</t>
        </is>
      </c>
      <c r="B295" t="inlineStr">
        <is>
          <t>Owner</t>
        </is>
      </c>
      <c r="C295" t="inlineStr">
        <is>
          <t>owner</t>
        </is>
      </c>
      <c r="D295" t="inlineStr">
        <is>
          <t>Input (yellow)</t>
        </is>
      </c>
      <c r="E295" t="inlineStr"/>
      <c r="F295" t="inlineStr"/>
    </row>
    <row r="296">
      <c r="A296" t="inlineStr">
        <is>
          <t>Risk Register</t>
        </is>
      </c>
      <c r="B296" t="inlineStr">
        <is>
          <t>Status</t>
        </is>
      </c>
      <c r="C296" t="inlineStr">
        <is>
          <t>status</t>
        </is>
      </c>
      <c r="D296" t="inlineStr">
        <is>
          <t>Read-only (blue)</t>
        </is>
      </c>
      <c r="E296" t="inlineStr"/>
      <c r="F296" t="inlineStr"/>
    </row>
    <row r="297">
      <c r="A297" t="inlineStr">
        <is>
          <t>Reconciliation</t>
        </is>
      </c>
      <c r="B297" t="inlineStr">
        <is>
          <t>Severity</t>
        </is>
      </c>
      <c r="C297" t="inlineStr">
        <is>
          <t>severity</t>
        </is>
      </c>
      <c r="D297" t="inlineStr">
        <is>
          <t>Read-only (blue)</t>
        </is>
      </c>
      <c r="E297" t="inlineStr"/>
      <c r="F297" t="inlineStr"/>
    </row>
    <row r="298">
      <c r="A298" t="inlineStr">
        <is>
          <t>Reconciliation</t>
        </is>
      </c>
      <c r="B298" t="inlineStr">
        <is>
          <t>Rule</t>
        </is>
      </c>
      <c r="C298" t="inlineStr">
        <is>
          <t>rule_code</t>
        </is>
      </c>
      <c r="D298" t="inlineStr">
        <is>
          <t>Read-only (blue)</t>
        </is>
      </c>
      <c r="E298" t="inlineStr"/>
      <c r="F298" t="inlineStr"/>
    </row>
    <row r="299">
      <c r="A299" t="inlineStr">
        <is>
          <t>Reconciliation</t>
        </is>
      </c>
      <c r="B299" t="inlineStr">
        <is>
          <t>Title</t>
        </is>
      </c>
      <c r="C299" t="inlineStr">
        <is>
          <t>title</t>
        </is>
      </c>
      <c r="D299" t="inlineStr">
        <is>
          <t>Read-only (blue)</t>
        </is>
      </c>
      <c r="E299" t="inlineStr"/>
      <c r="F299" t="inlineStr"/>
    </row>
    <row r="300">
      <c r="A300" t="inlineStr">
        <is>
          <t>Reconciliation</t>
        </is>
      </c>
      <c r="B300" t="inlineStr">
        <is>
          <t>Detail</t>
        </is>
      </c>
      <c r="C300" t="inlineStr">
        <is>
          <t>detail</t>
        </is>
      </c>
      <c r="D300" t="inlineStr">
        <is>
          <t>Read-only (blue)</t>
        </is>
      </c>
      <c r="E300" t="inlineStr"/>
      <c r="F300" t="inlineStr"/>
    </row>
    <row r="301">
      <c r="A301" t="inlineStr">
        <is>
          <t>Reconciliation</t>
        </is>
      </c>
      <c r="B301" t="inlineStr">
        <is>
          <t>Entity</t>
        </is>
      </c>
      <c r="C301" t="inlineStr">
        <is>
          <t>entity</t>
        </is>
      </c>
      <c r="D301" t="inlineStr">
        <is>
          <t>Read-only (blue)</t>
        </is>
      </c>
      <c r="E301" t="inlineStr"/>
      <c r="F301" t="inlineStr"/>
    </row>
    <row r="302">
      <c r="A302" t="inlineStr">
        <is>
          <t>Reconciliation</t>
        </is>
      </c>
      <c r="B302" t="inlineStr">
        <is>
          <t>Financial impact (SAR)</t>
        </is>
      </c>
      <c r="C302" t="inlineStr">
        <is>
          <t>financial_impact</t>
        </is>
      </c>
      <c r="D302" t="inlineStr">
        <is>
          <t>Read-only (blue)</t>
        </is>
      </c>
      <c r="E302" t="inlineStr">
        <is>
          <t>#,##0.00;[Red]-#,##0.00</t>
        </is>
      </c>
      <c r="F302" t="inlineStr"/>
    </row>
    <row r="303">
      <c r="A303" t="inlineStr">
        <is>
          <t>Reconciliation</t>
        </is>
      </c>
      <c r="B303" t="inlineStr">
        <is>
          <t>Owner</t>
        </is>
      </c>
      <c r="C303" t="inlineStr">
        <is>
          <t>owner</t>
        </is>
      </c>
      <c r="D303" t="inlineStr">
        <is>
          <t>Read-only (blue)</t>
        </is>
      </c>
      <c r="E303" t="inlineStr"/>
      <c r="F303" t="inlineStr"/>
    </row>
    <row r="304">
      <c r="A304" t="inlineStr">
        <is>
          <t>Reconciliation</t>
        </is>
      </c>
      <c r="B304" t="inlineStr">
        <is>
          <t>Status</t>
        </is>
      </c>
      <c r="C304" t="inlineStr">
        <is>
          <t>status</t>
        </is>
      </c>
      <c r="D304" t="inlineStr">
        <is>
          <t>Read-only (blue)</t>
        </is>
      </c>
      <c r="E304" t="inlineStr"/>
      <c r="F304" t="inlineStr"/>
    </row>
    <row r="305">
      <c r="A305" t="inlineStr">
        <is>
          <t>Reconciliation</t>
        </is>
      </c>
      <c r="B305" t="inlineStr">
        <is>
          <t>Exception reason</t>
        </is>
      </c>
      <c r="C305" t="inlineStr">
        <is>
          <t>exception_reason</t>
        </is>
      </c>
      <c r="D305" t="inlineStr">
        <is>
          <t>Read-only (blue)</t>
        </is>
      </c>
      <c r="E305" t="inlineStr"/>
      <c r="F305" t="inlineStr"/>
    </row>
    <row r="306">
      <c r="A306" t="inlineStr">
        <is>
          <t>Approval Log</t>
        </is>
      </c>
      <c r="B306" t="inlineStr">
        <is>
          <t>Timestamp (UTC)</t>
        </is>
      </c>
      <c r="C306" t="inlineStr">
        <is>
          <t>ts</t>
        </is>
      </c>
      <c r="D306" t="inlineStr">
        <is>
          <t>Read-only (blue)</t>
        </is>
      </c>
      <c r="E306" t="inlineStr"/>
      <c r="F306" t="inlineStr"/>
    </row>
    <row r="307">
      <c r="A307" t="inlineStr">
        <is>
          <t>Approval Log</t>
        </is>
      </c>
      <c r="B307" t="inlineStr">
        <is>
          <t>Entity type</t>
        </is>
      </c>
      <c r="C307" t="inlineStr">
        <is>
          <t>entity_type</t>
        </is>
      </c>
      <c r="D307" t="inlineStr">
        <is>
          <t>Read-only (blue)</t>
        </is>
      </c>
      <c r="E307" t="inlineStr"/>
      <c r="F307" t="inlineStr"/>
    </row>
    <row r="308">
      <c r="A308" t="inlineStr">
        <is>
          <t>Approval Log</t>
        </is>
      </c>
      <c r="B308" t="inlineStr">
        <is>
          <t>Entity ID</t>
        </is>
      </c>
      <c r="C308" t="inlineStr">
        <is>
          <t>entity_id</t>
        </is>
      </c>
      <c r="D308" t="inlineStr">
        <is>
          <t>Read-only (blue)</t>
        </is>
      </c>
      <c r="E308" t="inlineStr"/>
      <c r="F308" t="inlineStr"/>
    </row>
    <row r="309">
      <c r="A309" t="inlineStr">
        <is>
          <t>Approval Log</t>
        </is>
      </c>
      <c r="B309" t="inlineStr">
        <is>
          <t>Version</t>
        </is>
      </c>
      <c r="C309" t="inlineStr">
        <is>
          <t>version</t>
        </is>
      </c>
      <c r="D309" t="inlineStr">
        <is>
          <t>Read-only (blue)</t>
        </is>
      </c>
      <c r="E309" t="inlineStr"/>
      <c r="F309" t="inlineStr"/>
    </row>
    <row r="310">
      <c r="A310" t="inlineStr">
        <is>
          <t>Approval Log</t>
        </is>
      </c>
      <c r="B310" t="inlineStr">
        <is>
          <t>Reviewer</t>
        </is>
      </c>
      <c r="C310" t="inlineStr">
        <is>
          <t>reviewer</t>
        </is>
      </c>
      <c r="D310" t="inlineStr">
        <is>
          <t>Read-only (blue)</t>
        </is>
      </c>
      <c r="E310" t="inlineStr"/>
      <c r="F310" t="inlineStr"/>
    </row>
    <row r="311">
      <c r="A311" t="inlineStr">
        <is>
          <t>Approval Log</t>
        </is>
      </c>
      <c r="B311" t="inlineStr">
        <is>
          <t>Role</t>
        </is>
      </c>
      <c r="C311" t="inlineStr">
        <is>
          <t>reviewer_role</t>
        </is>
      </c>
      <c r="D311" t="inlineStr">
        <is>
          <t>Read-only (blue)</t>
        </is>
      </c>
      <c r="E311" t="inlineStr"/>
      <c r="F311" t="inlineStr"/>
    </row>
    <row r="312">
      <c r="A312" t="inlineStr">
        <is>
          <t>Approval Log</t>
        </is>
      </c>
      <c r="B312" t="inlineStr">
        <is>
          <t>Action</t>
        </is>
      </c>
      <c r="C312" t="inlineStr">
        <is>
          <t>action</t>
        </is>
      </c>
      <c r="D312" t="inlineStr">
        <is>
          <t>Read-only (blue)</t>
        </is>
      </c>
      <c r="E312" t="inlineStr"/>
      <c r="F312" t="inlineStr"/>
    </row>
    <row r="313">
      <c r="A313" t="inlineStr">
        <is>
          <t>Approval Log</t>
        </is>
      </c>
      <c r="B313" t="inlineStr">
        <is>
          <t>Previous value</t>
        </is>
      </c>
      <c r="C313" t="inlineStr">
        <is>
          <t>previous_value</t>
        </is>
      </c>
      <c r="D313" t="inlineStr">
        <is>
          <t>Read-only (blue)</t>
        </is>
      </c>
      <c r="E313" t="inlineStr"/>
      <c r="F313" t="inlineStr"/>
    </row>
    <row r="314">
      <c r="A314" t="inlineStr">
        <is>
          <t>Approval Log</t>
        </is>
      </c>
      <c r="B314" t="inlineStr">
        <is>
          <t>Approved value / decision</t>
        </is>
      </c>
      <c r="C314" t="inlineStr">
        <is>
          <t>approved_value</t>
        </is>
      </c>
      <c r="D314" t="inlineStr">
        <is>
          <t>Read-only (blue)</t>
        </is>
      </c>
      <c r="E314" t="inlineStr"/>
      <c r="F314" t="inlineStr"/>
    </row>
    <row r="315">
      <c r="A315" t="inlineStr">
        <is>
          <t>Approval Log</t>
        </is>
      </c>
      <c r="B315" t="inlineStr">
        <is>
          <t>Evidence</t>
        </is>
      </c>
      <c r="C315" t="inlineStr">
        <is>
          <t>evidence</t>
        </is>
      </c>
      <c r="D315" t="inlineStr">
        <is>
          <t>Read-only (blue)</t>
        </is>
      </c>
      <c r="E315" t="inlineStr"/>
      <c r="F315" t="inlineStr"/>
    </row>
    <row r="316">
      <c r="A316" t="inlineStr">
        <is>
          <t>Approval Log</t>
        </is>
      </c>
      <c r="B316" t="inlineStr">
        <is>
          <t>Comments</t>
        </is>
      </c>
      <c r="C316" t="inlineStr">
        <is>
          <t>comments</t>
        </is>
      </c>
      <c r="D316" t="inlineStr">
        <is>
          <t>Read-only (blue)</t>
        </is>
      </c>
      <c r="E316" t="inlineStr"/>
      <c r="F316" t="inlineStr"/>
    </row>
    <row r="317">
      <c r="A317" t="inlineStr">
        <is>
          <t>Approval Log</t>
        </is>
      </c>
      <c r="B317" t="inlineStr">
        <is>
          <t>Override reason</t>
        </is>
      </c>
      <c r="C317" t="inlineStr">
        <is>
          <t>override_reason</t>
        </is>
      </c>
      <c r="D317" t="inlineStr">
        <is>
          <t>Read-only (blue)</t>
        </is>
      </c>
      <c r="E317" t="inlineStr"/>
      <c r="F317" t="inlineStr"/>
    </row>
    <row r="318">
      <c r="A318" t="inlineStr">
        <is>
          <t>Source Register</t>
        </is>
      </c>
      <c r="B318" t="inlineStr">
        <is>
          <t>Source ID</t>
        </is>
      </c>
      <c r="C318" t="inlineStr">
        <is>
          <t>source_id</t>
        </is>
      </c>
      <c r="D318" t="inlineStr">
        <is>
          <t>Read-only (blue)</t>
        </is>
      </c>
      <c r="E318" t="inlineStr"/>
      <c r="F318" t="inlineStr"/>
    </row>
    <row r="319">
      <c r="A319" t="inlineStr">
        <is>
          <t>Source Register</t>
        </is>
      </c>
      <c r="B319" t="inlineStr">
        <is>
          <t>Name</t>
        </is>
      </c>
      <c r="C319" t="inlineStr">
        <is>
          <t>name</t>
        </is>
      </c>
      <c r="D319" t="inlineStr">
        <is>
          <t>Read-only (blue)</t>
        </is>
      </c>
      <c r="E319" t="inlineStr"/>
      <c r="F319" t="inlineStr"/>
    </row>
    <row r="320">
      <c r="A320" t="inlineStr">
        <is>
          <t>Source Register</t>
        </is>
      </c>
      <c r="B320" t="inlineStr">
        <is>
          <t>Organisation</t>
        </is>
      </c>
      <c r="C320" t="inlineStr">
        <is>
          <t>organisation</t>
        </is>
      </c>
      <c r="D320" t="inlineStr">
        <is>
          <t>Read-only (blue)</t>
        </is>
      </c>
      <c r="E320" t="inlineStr"/>
      <c r="F320" t="inlineStr"/>
    </row>
    <row r="321">
      <c r="A321" t="inlineStr">
        <is>
          <t>Source Register</t>
        </is>
      </c>
      <c r="B321" t="inlineStr">
        <is>
          <t>URL</t>
        </is>
      </c>
      <c r="C321" t="inlineStr">
        <is>
          <t>url</t>
        </is>
      </c>
      <c r="D321" t="inlineStr">
        <is>
          <t>Read-only (blue)</t>
        </is>
      </c>
      <c r="E321" t="inlineStr"/>
      <c r="F321" t="inlineStr"/>
    </row>
    <row r="322">
      <c r="A322" t="inlineStr">
        <is>
          <t>Source Register</t>
        </is>
      </c>
      <c r="B322" t="inlineStr">
        <is>
          <t>Type</t>
        </is>
      </c>
      <c r="C322" t="inlineStr">
        <is>
          <t>type</t>
        </is>
      </c>
      <c r="D322" t="inlineStr">
        <is>
          <t>Read-only (blue)</t>
        </is>
      </c>
      <c r="E322" t="inlineStr"/>
      <c r="F322" t="inlineStr"/>
    </row>
    <row r="323">
      <c r="A323" t="inlineStr">
        <is>
          <t>Source Register</t>
        </is>
      </c>
      <c r="B323" t="inlineStr">
        <is>
          <t>Date accessed</t>
        </is>
      </c>
      <c r="C323" t="inlineStr">
        <is>
          <t>date_accessed</t>
        </is>
      </c>
      <c r="D323" t="inlineStr">
        <is>
          <t>Read-only (blue)</t>
        </is>
      </c>
      <c r="E323" t="inlineStr"/>
      <c r="F323" t="inlineStr"/>
    </row>
    <row r="324">
      <c r="A324" t="inlineStr">
        <is>
          <t>Source Register</t>
        </is>
      </c>
      <c r="B324" t="inlineStr">
        <is>
          <t>Publication date</t>
        </is>
      </c>
      <c r="C324" t="inlineStr">
        <is>
          <t>publication_date</t>
        </is>
      </c>
      <c r="D324" t="inlineStr">
        <is>
          <t>Read-only (blue)</t>
        </is>
      </c>
      <c r="E324" t="inlineStr"/>
      <c r="F324" t="inlineStr"/>
    </row>
    <row r="325">
      <c r="A325" t="inlineStr">
        <is>
          <t>Source Register</t>
        </is>
      </c>
      <c r="B325" t="inlineStr">
        <is>
          <t>Geography</t>
        </is>
      </c>
      <c r="C325" t="inlineStr">
        <is>
          <t>geographic_relevance</t>
        </is>
      </c>
      <c r="D325" t="inlineStr">
        <is>
          <t>Read-only (blue)</t>
        </is>
      </c>
      <c r="E325" t="inlineStr"/>
      <c r="F325" t="inlineStr"/>
    </row>
    <row r="326">
      <c r="A326" t="inlineStr">
        <is>
          <t>Source Register</t>
        </is>
      </c>
      <c r="B326" t="inlineStr">
        <is>
          <t>Currency</t>
        </is>
      </c>
      <c r="C326" t="inlineStr">
        <is>
          <t>currency</t>
        </is>
      </c>
      <c r="D326" t="inlineStr">
        <is>
          <t>Read-only (blue)</t>
        </is>
      </c>
      <c r="E326" t="inlineStr"/>
      <c r="F326" t="inlineStr"/>
    </row>
    <row r="327">
      <c r="A327" t="inlineStr">
        <is>
          <t>Source Register</t>
        </is>
      </c>
      <c r="B327" t="inlineStr">
        <is>
          <t>Unit / price basis</t>
        </is>
      </c>
      <c r="C327" t="inlineStr">
        <is>
          <t>unit_price_basis</t>
        </is>
      </c>
      <c r="D327" t="inlineStr">
        <is>
          <t>Read-only (blue)</t>
        </is>
      </c>
      <c r="E327" t="inlineStr"/>
      <c r="F327" t="inlineStr"/>
    </row>
    <row r="328">
      <c r="A328" t="inlineStr">
        <is>
          <t>Source Register</t>
        </is>
      </c>
      <c r="B328" t="inlineStr">
        <is>
          <t>Trades</t>
        </is>
      </c>
      <c r="C328" t="inlineStr">
        <is>
          <t>applicable_trades</t>
        </is>
      </c>
      <c r="D328" t="inlineStr">
        <is>
          <t>Read-only (blue)</t>
        </is>
      </c>
      <c r="E328" t="inlineStr"/>
      <c r="F328" t="inlineStr"/>
    </row>
    <row r="329">
      <c r="A329" t="inlineStr">
        <is>
          <t>Source Register</t>
        </is>
      </c>
      <c r="B329" t="inlineStr">
        <is>
          <t>Licence / reuse</t>
        </is>
      </c>
      <c r="C329" t="inlineStr">
        <is>
          <t>licence_reuse_conditions</t>
        </is>
      </c>
      <c r="D329" t="inlineStr">
        <is>
          <t>Read-only (blue)</t>
        </is>
      </c>
      <c r="E329" t="inlineStr"/>
      <c r="F329" t="inlineStr"/>
    </row>
    <row r="330">
      <c r="A330" t="inlineStr">
        <is>
          <t>Source Register</t>
        </is>
      </c>
      <c r="B330" t="inlineStr">
        <is>
          <t>Extraction method</t>
        </is>
      </c>
      <c r="C330" t="inlineStr">
        <is>
          <t>extraction_method</t>
        </is>
      </c>
      <c r="D330" t="inlineStr">
        <is>
          <t>Read-only (blue)</t>
        </is>
      </c>
      <c r="E330" t="inlineStr"/>
      <c r="F330" t="inlineStr"/>
    </row>
    <row r="331">
      <c r="A331" t="inlineStr">
        <is>
          <t>Source Register</t>
        </is>
      </c>
      <c r="B331" t="inlineStr">
        <is>
          <t>Access status</t>
        </is>
      </c>
      <c r="C331" t="inlineStr">
        <is>
          <t>access_status</t>
        </is>
      </c>
      <c r="D331" t="inlineStr">
        <is>
          <t>Read-only (blue)</t>
        </is>
      </c>
      <c r="E331" t="inlineStr"/>
      <c r="F331" t="inlineStr"/>
    </row>
    <row r="332">
      <c r="A332" t="inlineStr">
        <is>
          <t>Source Register</t>
        </is>
      </c>
      <c r="B332" t="inlineStr">
        <is>
          <t>Limitations</t>
        </is>
      </c>
      <c r="C332" t="inlineStr">
        <is>
          <t>limitations</t>
        </is>
      </c>
      <c r="D332" t="inlineStr">
        <is>
          <t>Read-only (blue)</t>
        </is>
      </c>
      <c r="E332" t="inlineStr"/>
      <c r="F332" t="inlineStr"/>
    </row>
    <row r="333">
      <c r="A333" t="inlineStr">
        <is>
          <t>Source Register</t>
        </is>
      </c>
      <c r="B333" t="inlineStr">
        <is>
          <t>Confidence</t>
        </is>
      </c>
      <c r="C333" t="inlineStr">
        <is>
          <t>confidence</t>
        </is>
      </c>
      <c r="D333" t="inlineStr">
        <is>
          <t>Read-only (blue)</t>
        </is>
      </c>
      <c r="E333" t="inlineStr"/>
      <c r="F333" t="inlineStr"/>
    </row>
    <row r="334">
      <c r="A334" t="inlineStr">
        <is>
          <t>Source Register</t>
        </is>
      </c>
      <c r="B334" t="inlineStr">
        <is>
          <t>Data collected</t>
        </is>
      </c>
      <c r="C334" t="inlineStr">
        <is>
          <t>data_collected</t>
        </is>
      </c>
      <c r="D334" t="inlineStr">
        <is>
          <t>Read-only (blue)</t>
        </is>
      </c>
      <c r="E334" t="inlineStr"/>
      <c r="F33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5:F33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F7F7F"/>
    <outlinePr summaryBelow="1" summaryRight="1"/>
    <pageSetUpPr/>
  </sheetPr>
  <dimension ref="A1:Q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44" customWidth="1" min="4" max="4"/>
    <col width="18" customWidth="1" min="5" max="5"/>
    <col width="12" customWidth="1" min="6" max="6"/>
    <col width="12" customWidth="1" min="7" max="7"/>
    <col width="18" customWidth="1" min="8" max="8"/>
    <col width="8" customWidth="1" min="9" max="9"/>
    <col width="22" customWidth="1" min="10" max="10"/>
    <col width="18" customWidth="1" min="11" max="11"/>
    <col width="30" customWidth="1" min="12" max="12"/>
    <col width="22" customWidth="1" min="13" max="13"/>
    <col width="14" customWidth="1" min="14" max="14"/>
    <col width="40" customWidth="1" min="15" max="15"/>
    <col width="10" customWidth="1" min="16" max="16"/>
    <col width="30" customWidth="1" min="17" max="17"/>
  </cols>
  <sheetData>
    <row r="1">
      <c r="A1" s="4" t="inlineStr">
        <is>
          <t>Source Register</t>
        </is>
      </c>
    </row>
    <row r="2" ht="48" customHeight="1">
      <c r="A2" s="3" t="inlineStr">
        <is>
          <t>Provenance for public data: source, URL, dates, licence/reuse conditions, extraction method, limitations and confidence. Failed or blocked access is recorded honestly.</t>
        </is>
      </c>
    </row>
    <row r="3">
      <c r="A3" s="1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source_id</t>
        </is>
      </c>
      <c r="B4" t="inlineStr">
        <is>
          <t>name</t>
        </is>
      </c>
      <c r="C4" t="inlineStr">
        <is>
          <t>organisation</t>
        </is>
      </c>
      <c r="D4" t="inlineStr">
        <is>
          <t>url</t>
        </is>
      </c>
      <c r="E4" t="inlineStr">
        <is>
          <t>type</t>
        </is>
      </c>
      <c r="F4" t="inlineStr">
        <is>
          <t>date_accessed</t>
        </is>
      </c>
      <c r="G4" t="inlineStr">
        <is>
          <t>publication_date</t>
        </is>
      </c>
      <c r="H4" t="inlineStr">
        <is>
          <t>geographic_relevance</t>
        </is>
      </c>
      <c r="I4" t="inlineStr">
        <is>
          <t>currency</t>
        </is>
      </c>
      <c r="J4" t="inlineStr">
        <is>
          <t>unit_price_basis</t>
        </is>
      </c>
      <c r="K4" t="inlineStr">
        <is>
          <t>applicable_trades</t>
        </is>
      </c>
      <c r="L4" t="inlineStr">
        <is>
          <t>licence_reuse_conditions</t>
        </is>
      </c>
      <c r="M4" t="inlineStr">
        <is>
          <t>extraction_method</t>
        </is>
      </c>
      <c r="N4" t="inlineStr">
        <is>
          <t>access_status</t>
        </is>
      </c>
      <c r="O4" t="inlineStr">
        <is>
          <t>limitations</t>
        </is>
      </c>
      <c r="P4" t="inlineStr">
        <is>
          <t>confidence</t>
        </is>
      </c>
      <c r="Q4" t="inlineStr">
        <is>
          <t>data_collected</t>
        </is>
      </c>
    </row>
    <row r="5" ht="34" customHeight="1">
      <c r="A5" s="15" t="inlineStr">
        <is>
          <t>Source ID</t>
        </is>
      </c>
      <c r="B5" s="15" t="inlineStr">
        <is>
          <t>Name</t>
        </is>
      </c>
      <c r="C5" s="15" t="inlineStr">
        <is>
          <t>Organisation</t>
        </is>
      </c>
      <c r="D5" s="15" t="inlineStr">
        <is>
          <t>URL</t>
        </is>
      </c>
      <c r="E5" s="15" t="inlineStr">
        <is>
          <t>Type</t>
        </is>
      </c>
      <c r="F5" s="15" t="inlineStr">
        <is>
          <t>Date accessed</t>
        </is>
      </c>
      <c r="G5" s="15" t="inlineStr">
        <is>
          <t>Publication date</t>
        </is>
      </c>
      <c r="H5" s="15" t="inlineStr">
        <is>
          <t>Geography</t>
        </is>
      </c>
      <c r="I5" s="15" t="inlineStr">
        <is>
          <t>Currency</t>
        </is>
      </c>
      <c r="J5" s="15" t="inlineStr">
        <is>
          <t>Unit / price basis</t>
        </is>
      </c>
      <c r="K5" s="15" t="inlineStr">
        <is>
          <t>Trades</t>
        </is>
      </c>
      <c r="L5" s="15" t="inlineStr">
        <is>
          <t>Licence / reuse</t>
        </is>
      </c>
      <c r="M5" s="15" t="inlineStr">
        <is>
          <t>Extraction method</t>
        </is>
      </c>
      <c r="N5" s="15" t="inlineStr">
        <is>
          <t>Access status</t>
        </is>
      </c>
      <c r="O5" s="15" t="inlineStr">
        <is>
          <t>Limitations</t>
        </is>
      </c>
      <c r="P5" s="15" t="inlineStr">
        <is>
          <t>Confidence</t>
        </is>
      </c>
      <c r="Q5" s="15" t="inlineStr">
        <is>
          <t>Data collected</t>
        </is>
      </c>
    </row>
    <row r="6">
      <c r="A6" s="16" t="n"/>
      <c r="B6" s="9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9" t="n"/>
      <c r="M6" s="16" t="n"/>
      <c r="N6" s="16" t="n"/>
      <c r="O6" s="9" t="n"/>
      <c r="P6" s="16" t="n"/>
      <c r="Q6" s="9" t="n"/>
    </row>
    <row r="7">
      <c r="A7" s="16" t="n"/>
      <c r="B7" s="9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9" t="n"/>
      <c r="M7" s="16" t="n"/>
      <c r="N7" s="16" t="n"/>
      <c r="O7" s="9" t="n"/>
      <c r="P7" s="16" t="n"/>
      <c r="Q7" s="9" t="n"/>
    </row>
    <row r="8">
      <c r="A8" s="16" t="n"/>
      <c r="B8" s="9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9" t="n"/>
      <c r="M8" s="16" t="n"/>
      <c r="N8" s="16" t="n"/>
      <c r="O8" s="9" t="n"/>
      <c r="P8" s="16" t="n"/>
      <c r="Q8" s="9" t="n"/>
    </row>
    <row r="9">
      <c r="A9" s="16" t="n"/>
      <c r="B9" s="9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9" t="n"/>
      <c r="M9" s="16" t="n"/>
      <c r="N9" s="16" t="n"/>
      <c r="O9" s="9" t="n"/>
      <c r="P9" s="16" t="n"/>
      <c r="Q9" s="9" t="n"/>
    </row>
    <row r="10">
      <c r="A10" s="16" t="n"/>
      <c r="B10" s="9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9" t="n"/>
      <c r="M10" s="16" t="n"/>
      <c r="N10" s="16" t="n"/>
      <c r="O10" s="9" t="n"/>
      <c r="P10" s="16" t="n"/>
      <c r="Q10" s="9" t="n"/>
    </row>
    <row r="11">
      <c r="A11" s="16" t="n"/>
      <c r="B11" s="9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9" t="n"/>
      <c r="M11" s="16" t="n"/>
      <c r="N11" s="16" t="n"/>
      <c r="O11" s="9" t="n"/>
      <c r="P11" s="16" t="n"/>
      <c r="Q11" s="9" t="n"/>
    </row>
    <row r="12">
      <c r="A12" s="16" t="n"/>
      <c r="B12" s="9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9" t="n"/>
      <c r="M12" s="16" t="n"/>
      <c r="N12" s="16" t="n"/>
      <c r="O12" s="9" t="n"/>
      <c r="P12" s="16" t="n"/>
      <c r="Q12" s="9" t="n"/>
    </row>
    <row r="13">
      <c r="A13" s="16" t="n"/>
      <c r="B13" s="9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9" t="n"/>
      <c r="M13" s="16" t="n"/>
      <c r="N13" s="16" t="n"/>
      <c r="O13" s="9" t="n"/>
      <c r="P13" s="16" t="n"/>
      <c r="Q13" s="9" t="n"/>
    </row>
    <row r="14">
      <c r="A14" s="16" t="n"/>
      <c r="B14" s="9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9" t="n"/>
      <c r="M14" s="16" t="n"/>
      <c r="N14" s="16" t="n"/>
      <c r="O14" s="9" t="n"/>
      <c r="P14" s="16" t="n"/>
      <c r="Q14" s="9" t="n"/>
    </row>
    <row r="15">
      <c r="A15" s="16" t="n"/>
      <c r="B15" s="9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9" t="n"/>
      <c r="M15" s="16" t="n"/>
      <c r="N15" s="16" t="n"/>
      <c r="O15" s="9" t="n"/>
      <c r="P15" s="16" t="n"/>
      <c r="Q15" s="9" t="n"/>
    </row>
    <row r="16">
      <c r="A16" s="16" t="n"/>
      <c r="B16" s="9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9" t="n"/>
      <c r="M16" s="16" t="n"/>
      <c r="N16" s="16" t="n"/>
      <c r="O16" s="9" t="n"/>
      <c r="P16" s="16" t="n"/>
      <c r="Q16" s="9" t="n"/>
    </row>
    <row r="17">
      <c r="A17" s="16" t="n"/>
      <c r="B17" s="9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9" t="n"/>
      <c r="M17" s="16" t="n"/>
      <c r="N17" s="16" t="n"/>
      <c r="O17" s="9" t="n"/>
      <c r="P17" s="16" t="n"/>
      <c r="Q17" s="9" t="n"/>
    </row>
    <row r="18">
      <c r="A18" s="16" t="n"/>
      <c r="B18" s="9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9" t="n"/>
      <c r="M18" s="16" t="n"/>
      <c r="N18" s="16" t="n"/>
      <c r="O18" s="9" t="n"/>
      <c r="P18" s="16" t="n"/>
      <c r="Q18" s="9" t="n"/>
    </row>
    <row r="19">
      <c r="A19" s="16" t="n"/>
      <c r="B19" s="9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9" t="n"/>
      <c r="M19" s="16" t="n"/>
      <c r="N19" s="16" t="n"/>
      <c r="O19" s="9" t="n"/>
      <c r="P19" s="16" t="n"/>
      <c r="Q19" s="9" t="n"/>
    </row>
    <row r="20">
      <c r="A20" s="16" t="n"/>
      <c r="B20" s="9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9" t="n"/>
      <c r="M20" s="16" t="n"/>
      <c r="N20" s="16" t="n"/>
      <c r="O20" s="9" t="n"/>
      <c r="P20" s="16" t="n"/>
      <c r="Q20" s="9" t="n"/>
    </row>
    <row r="21">
      <c r="A21" s="16" t="n"/>
      <c r="B21" s="9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9" t="n"/>
      <c r="M21" s="16" t="n"/>
      <c r="N21" s="16" t="n"/>
      <c r="O21" s="9" t="n"/>
      <c r="P21" s="16" t="n"/>
      <c r="Q21" s="9" t="n"/>
    </row>
    <row r="22">
      <c r="A22" s="16" t="n"/>
      <c r="B22" s="9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9" t="n"/>
      <c r="M22" s="16" t="n"/>
      <c r="N22" s="16" t="n"/>
      <c r="O22" s="9" t="n"/>
      <c r="P22" s="16" t="n"/>
      <c r="Q22" s="9" t="n"/>
    </row>
    <row r="23">
      <c r="A23" s="16" t="n"/>
      <c r="B23" s="9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9" t="n"/>
      <c r="M23" s="16" t="n"/>
      <c r="N23" s="16" t="n"/>
      <c r="O23" s="9" t="n"/>
      <c r="P23" s="16" t="n"/>
      <c r="Q23" s="9" t="n"/>
    </row>
    <row r="24">
      <c r="A24" s="16" t="n"/>
      <c r="B24" s="9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9" t="n"/>
      <c r="M24" s="16" t="n"/>
      <c r="N24" s="16" t="n"/>
      <c r="O24" s="9" t="n"/>
      <c r="P24" s="16" t="n"/>
      <c r="Q24" s="9" t="n"/>
    </row>
    <row r="25">
      <c r="A25" s="16" t="n"/>
      <c r="B25" s="9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9" t="n"/>
      <c r="M25" s="16" t="n"/>
      <c r="N25" s="16" t="n"/>
      <c r="O25" s="9" t="n"/>
      <c r="P25" s="16" t="n"/>
      <c r="Q25" s="9" t="n"/>
    </row>
    <row r="26">
      <c r="A26" s="16" t="n"/>
      <c r="B26" s="9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9" t="n"/>
      <c r="M26" s="16" t="n"/>
      <c r="N26" s="16" t="n"/>
      <c r="O26" s="9" t="n"/>
      <c r="P26" s="16" t="n"/>
      <c r="Q26" s="9" t="n"/>
    </row>
    <row r="27">
      <c r="A27" s="16" t="n"/>
      <c r="B27" s="9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9" t="n"/>
      <c r="M27" s="16" t="n"/>
      <c r="N27" s="16" t="n"/>
      <c r="O27" s="9" t="n"/>
      <c r="P27" s="16" t="n"/>
      <c r="Q27" s="9" t="n"/>
    </row>
    <row r="28">
      <c r="A28" s="16" t="n"/>
      <c r="B28" s="9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9" t="n"/>
      <c r="M28" s="16" t="n"/>
      <c r="N28" s="16" t="n"/>
      <c r="O28" s="9" t="n"/>
      <c r="P28" s="16" t="n"/>
      <c r="Q28" s="9" t="n"/>
    </row>
    <row r="29">
      <c r="A29" s="16" t="n"/>
      <c r="B29" s="9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9" t="n"/>
      <c r="M29" s="16" t="n"/>
      <c r="N29" s="16" t="n"/>
      <c r="O29" s="9" t="n"/>
      <c r="P29" s="16" t="n"/>
      <c r="Q29" s="9" t="n"/>
    </row>
    <row r="30">
      <c r="A30" s="16" t="n"/>
      <c r="B30" s="9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9" t="n"/>
      <c r="M30" s="16" t="n"/>
      <c r="N30" s="16" t="n"/>
      <c r="O30" s="9" t="n"/>
      <c r="P30" s="16" t="n"/>
      <c r="Q30" s="9" t="n"/>
    </row>
    <row r="31">
      <c r="A31" s="16" t="n"/>
      <c r="B31" s="9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9" t="n"/>
      <c r="M31" s="16" t="n"/>
      <c r="N31" s="16" t="n"/>
      <c r="O31" s="9" t="n"/>
      <c r="P31" s="16" t="n"/>
      <c r="Q31" s="9" t="n"/>
    </row>
    <row r="32">
      <c r="A32" s="16" t="n"/>
      <c r="B32" s="9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9" t="n"/>
      <c r="M32" s="16" t="n"/>
      <c r="N32" s="16" t="n"/>
      <c r="O32" s="9" t="n"/>
      <c r="P32" s="16" t="n"/>
      <c r="Q32" s="9" t="n"/>
    </row>
    <row r="33">
      <c r="A33" s="16" t="n"/>
      <c r="B33" s="9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9" t="n"/>
      <c r="M33" s="16" t="n"/>
      <c r="N33" s="16" t="n"/>
      <c r="O33" s="9" t="n"/>
      <c r="P33" s="16" t="n"/>
      <c r="Q33" s="9" t="n"/>
    </row>
    <row r="34">
      <c r="A34" s="16" t="n"/>
      <c r="B34" s="9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9" t="n"/>
      <c r="M34" s="16" t="n"/>
      <c r="N34" s="16" t="n"/>
      <c r="O34" s="9" t="n"/>
      <c r="P34" s="16" t="n"/>
      <c r="Q34" s="9" t="n"/>
    </row>
    <row r="35">
      <c r="A35" s="16" t="n"/>
      <c r="B35" s="9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9" t="n"/>
      <c r="M35" s="16" t="n"/>
      <c r="N35" s="16" t="n"/>
      <c r="O35" s="9" t="n"/>
      <c r="P35" s="16" t="n"/>
      <c r="Q35" s="9" t="n"/>
    </row>
    <row r="36">
      <c r="A36" s="16" t="n"/>
      <c r="B36" s="9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9" t="n"/>
      <c r="M36" s="16" t="n"/>
      <c r="N36" s="16" t="n"/>
      <c r="O36" s="9" t="n"/>
      <c r="P36" s="16" t="n"/>
      <c r="Q36" s="9" t="n"/>
    </row>
    <row r="37">
      <c r="A37" s="16" t="n"/>
      <c r="B37" s="9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9" t="n"/>
      <c r="M37" s="16" t="n"/>
      <c r="N37" s="16" t="n"/>
      <c r="O37" s="9" t="n"/>
      <c r="P37" s="16" t="n"/>
      <c r="Q37" s="9" t="n"/>
    </row>
    <row r="38">
      <c r="A38" s="16" t="n"/>
      <c r="B38" s="9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9" t="n"/>
      <c r="M38" s="16" t="n"/>
      <c r="N38" s="16" t="n"/>
      <c r="O38" s="9" t="n"/>
      <c r="P38" s="16" t="n"/>
      <c r="Q38" s="9" t="n"/>
    </row>
    <row r="39">
      <c r="A39" s="16" t="n"/>
      <c r="B39" s="9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9" t="n"/>
      <c r="M39" s="16" t="n"/>
      <c r="N39" s="16" t="n"/>
      <c r="O39" s="9" t="n"/>
      <c r="P39" s="16" t="n"/>
      <c r="Q39" s="9" t="n"/>
    </row>
    <row r="40">
      <c r="A40" s="16" t="n"/>
      <c r="B40" s="9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9" t="n"/>
      <c r="M40" s="16" t="n"/>
      <c r="N40" s="16" t="n"/>
      <c r="O40" s="9" t="n"/>
      <c r="P40" s="16" t="n"/>
      <c r="Q40" s="9" t="n"/>
    </row>
    <row r="41">
      <c r="A41" s="16" t="n"/>
      <c r="B41" s="9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9" t="n"/>
      <c r="M41" s="16" t="n"/>
      <c r="N41" s="16" t="n"/>
      <c r="O41" s="9" t="n"/>
      <c r="P41" s="16" t="n"/>
      <c r="Q41" s="9" t="n"/>
    </row>
    <row r="42">
      <c r="A42" s="16" t="n"/>
      <c r="B42" s="9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9" t="n"/>
      <c r="M42" s="16" t="n"/>
      <c r="N42" s="16" t="n"/>
      <c r="O42" s="9" t="n"/>
      <c r="P42" s="16" t="n"/>
      <c r="Q42" s="9" t="n"/>
    </row>
    <row r="43">
      <c r="A43" s="16" t="n"/>
      <c r="B43" s="9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9" t="n"/>
      <c r="M43" s="16" t="n"/>
      <c r="N43" s="16" t="n"/>
      <c r="O43" s="9" t="n"/>
      <c r="P43" s="16" t="n"/>
      <c r="Q43" s="9" t="n"/>
    </row>
    <row r="44">
      <c r="A44" s="16" t="n"/>
      <c r="B44" s="9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9" t="n"/>
      <c r="M44" s="16" t="n"/>
      <c r="N44" s="16" t="n"/>
      <c r="O44" s="9" t="n"/>
      <c r="P44" s="16" t="n"/>
      <c r="Q44" s="9" t="n"/>
    </row>
    <row r="45">
      <c r="A45" s="16" t="n"/>
      <c r="B45" s="9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9" t="n"/>
      <c r="M45" s="16" t="n"/>
      <c r="N45" s="16" t="n"/>
      <c r="O45" s="9" t="n"/>
      <c r="P45" s="16" t="n"/>
      <c r="Q45" s="9" t="n"/>
    </row>
    <row r="46">
      <c r="A46" s="16" t="n"/>
      <c r="B46" s="9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9" t="n"/>
      <c r="M46" s="16" t="n"/>
      <c r="N46" s="16" t="n"/>
      <c r="O46" s="9" t="n"/>
      <c r="P46" s="16" t="n"/>
      <c r="Q46" s="9" t="n"/>
    </row>
    <row r="47">
      <c r="A47" s="16" t="n"/>
      <c r="B47" s="9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9" t="n"/>
      <c r="M47" s="16" t="n"/>
      <c r="N47" s="16" t="n"/>
      <c r="O47" s="9" t="n"/>
      <c r="P47" s="16" t="n"/>
      <c r="Q47" s="9" t="n"/>
    </row>
    <row r="48">
      <c r="A48" s="16" t="n"/>
      <c r="B48" s="9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9" t="n"/>
      <c r="M48" s="16" t="n"/>
      <c r="N48" s="16" t="n"/>
      <c r="O48" s="9" t="n"/>
      <c r="P48" s="16" t="n"/>
      <c r="Q48" s="9" t="n"/>
    </row>
    <row r="49">
      <c r="A49" s="16" t="n"/>
      <c r="B49" s="9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9" t="n"/>
      <c r="M49" s="16" t="n"/>
      <c r="N49" s="16" t="n"/>
      <c r="O49" s="9" t="n"/>
      <c r="P49" s="16" t="n"/>
      <c r="Q49" s="9" t="n"/>
    </row>
    <row r="50">
      <c r="A50" s="16" t="n"/>
      <c r="B50" s="9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9" t="n"/>
      <c r="M50" s="16" t="n"/>
      <c r="N50" s="16" t="n"/>
      <c r="O50" s="9" t="n"/>
      <c r="P50" s="16" t="n"/>
      <c r="Q50" s="9" t="n"/>
    </row>
    <row r="51">
      <c r="A51" s="16" t="n"/>
      <c r="B51" s="9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9" t="n"/>
      <c r="M51" s="16" t="n"/>
      <c r="N51" s="16" t="n"/>
      <c r="O51" s="9" t="n"/>
      <c r="P51" s="16" t="n"/>
      <c r="Q51" s="9" t="n"/>
    </row>
    <row r="52">
      <c r="A52" s="16" t="n"/>
      <c r="B52" s="9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9" t="n"/>
      <c r="M52" s="16" t="n"/>
      <c r="N52" s="16" t="n"/>
      <c r="O52" s="9" t="n"/>
      <c r="P52" s="16" t="n"/>
      <c r="Q52" s="9" t="n"/>
    </row>
    <row r="53">
      <c r="A53" s="16" t="n"/>
      <c r="B53" s="9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9" t="n"/>
      <c r="M53" s="16" t="n"/>
      <c r="N53" s="16" t="n"/>
      <c r="O53" s="9" t="n"/>
      <c r="P53" s="16" t="n"/>
      <c r="Q53" s="9" t="n"/>
    </row>
    <row r="54">
      <c r="A54" s="16" t="n"/>
      <c r="B54" s="9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9" t="n"/>
      <c r="M54" s="16" t="n"/>
      <c r="N54" s="16" t="n"/>
      <c r="O54" s="9" t="n"/>
      <c r="P54" s="16" t="n"/>
      <c r="Q54" s="9" t="n"/>
    </row>
    <row r="55">
      <c r="A55" s="16" t="n"/>
      <c r="B55" s="9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9" t="n"/>
      <c r="M55" s="16" t="n"/>
      <c r="N55" s="16" t="n"/>
      <c r="O55" s="9" t="n"/>
      <c r="P55" s="16" t="n"/>
      <c r="Q55" s="9" t="n"/>
    </row>
    <row r="56">
      <c r="A56" s="16" t="n"/>
      <c r="B56" s="9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9" t="n"/>
      <c r="M56" s="16" t="n"/>
      <c r="N56" s="16" t="n"/>
      <c r="O56" s="9" t="n"/>
      <c r="P56" s="16" t="n"/>
      <c r="Q56" s="9" t="n"/>
    </row>
    <row r="57">
      <c r="A57" s="16" t="n"/>
      <c r="B57" s="9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9" t="n"/>
      <c r="M57" s="16" t="n"/>
      <c r="N57" s="16" t="n"/>
      <c r="O57" s="9" t="n"/>
      <c r="P57" s="16" t="n"/>
      <c r="Q57" s="9" t="n"/>
    </row>
    <row r="58">
      <c r="A58" s="16" t="n"/>
      <c r="B58" s="9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9" t="n"/>
      <c r="M58" s="16" t="n"/>
      <c r="N58" s="16" t="n"/>
      <c r="O58" s="9" t="n"/>
      <c r="P58" s="16" t="n"/>
      <c r="Q58" s="9" t="n"/>
    </row>
    <row r="59">
      <c r="A59" s="16" t="n"/>
      <c r="B59" s="9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9" t="n"/>
      <c r="M59" s="16" t="n"/>
      <c r="N59" s="16" t="n"/>
      <c r="O59" s="9" t="n"/>
      <c r="P59" s="16" t="n"/>
      <c r="Q59" s="9" t="n"/>
    </row>
    <row r="60">
      <c r="A60" s="16" t="n"/>
      <c r="B60" s="9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9" t="n"/>
      <c r="M60" s="16" t="n"/>
      <c r="N60" s="16" t="n"/>
      <c r="O60" s="9" t="n"/>
      <c r="P60" s="16" t="n"/>
      <c r="Q60" s="9" t="n"/>
    </row>
    <row r="61">
      <c r="A61" s="16" t="n"/>
      <c r="B61" s="9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9" t="n"/>
      <c r="M61" s="16" t="n"/>
      <c r="N61" s="16" t="n"/>
      <c r="O61" s="9" t="n"/>
      <c r="P61" s="16" t="n"/>
      <c r="Q61" s="9" t="n"/>
    </row>
    <row r="62">
      <c r="A62" s="16" t="n"/>
      <c r="B62" s="9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9" t="n"/>
      <c r="M62" s="16" t="n"/>
      <c r="N62" s="16" t="n"/>
      <c r="O62" s="9" t="n"/>
      <c r="P62" s="16" t="n"/>
      <c r="Q62" s="9" t="n"/>
    </row>
    <row r="63">
      <c r="A63" s="16" t="n"/>
      <c r="B63" s="9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9" t="n"/>
      <c r="M63" s="16" t="n"/>
      <c r="N63" s="16" t="n"/>
      <c r="O63" s="9" t="n"/>
      <c r="P63" s="16" t="n"/>
      <c r="Q63" s="9" t="n"/>
    </row>
    <row r="64">
      <c r="A64" s="16" t="n"/>
      <c r="B64" s="9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9" t="n"/>
      <c r="M64" s="16" t="n"/>
      <c r="N64" s="16" t="n"/>
      <c r="O64" s="9" t="n"/>
      <c r="P64" s="16" t="n"/>
      <c r="Q64" s="9" t="n"/>
    </row>
    <row r="65">
      <c r="A65" s="16" t="n"/>
      <c r="B65" s="9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9" t="n"/>
      <c r="M65" s="16" t="n"/>
      <c r="N65" s="16" t="n"/>
      <c r="O65" s="9" t="n"/>
      <c r="P65" s="16" t="n"/>
      <c r="Q65" s="9" t="n"/>
    </row>
    <row r="66">
      <c r="A66" s="16" t="n"/>
      <c r="B66" s="9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9" t="n"/>
      <c r="M66" s="16" t="n"/>
      <c r="N66" s="16" t="n"/>
      <c r="O66" s="9" t="n"/>
      <c r="P66" s="16" t="n"/>
      <c r="Q66" s="9" t="n"/>
    </row>
    <row r="67">
      <c r="A67" s="16" t="n"/>
      <c r="B67" s="9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9" t="n"/>
      <c r="M67" s="16" t="n"/>
      <c r="N67" s="16" t="n"/>
      <c r="O67" s="9" t="n"/>
      <c r="P67" s="16" t="n"/>
      <c r="Q67" s="9" t="n"/>
    </row>
    <row r="68">
      <c r="A68" s="16" t="n"/>
      <c r="B68" s="9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9" t="n"/>
      <c r="M68" s="16" t="n"/>
      <c r="N68" s="16" t="n"/>
      <c r="O68" s="9" t="n"/>
      <c r="P68" s="16" t="n"/>
      <c r="Q68" s="9" t="n"/>
    </row>
    <row r="69">
      <c r="A69" s="16" t="n"/>
      <c r="B69" s="9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9" t="n"/>
      <c r="M69" s="16" t="n"/>
      <c r="N69" s="16" t="n"/>
      <c r="O69" s="9" t="n"/>
      <c r="P69" s="16" t="n"/>
      <c r="Q69" s="9" t="n"/>
    </row>
    <row r="70">
      <c r="A70" s="16" t="n"/>
      <c r="B70" s="9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9" t="n"/>
      <c r="M70" s="16" t="n"/>
      <c r="N70" s="16" t="n"/>
      <c r="O70" s="9" t="n"/>
      <c r="P70" s="16" t="n"/>
      <c r="Q70" s="9" t="n"/>
    </row>
    <row r="71">
      <c r="A71" s="16" t="n"/>
      <c r="B71" s="9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9" t="n"/>
      <c r="M71" s="16" t="n"/>
      <c r="N71" s="16" t="n"/>
      <c r="O71" s="9" t="n"/>
      <c r="P71" s="16" t="n"/>
      <c r="Q71" s="9" t="n"/>
    </row>
    <row r="72">
      <c r="A72" s="16" t="n"/>
      <c r="B72" s="9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9" t="n"/>
      <c r="M72" s="16" t="n"/>
      <c r="N72" s="16" t="n"/>
      <c r="O72" s="9" t="n"/>
      <c r="P72" s="16" t="n"/>
      <c r="Q72" s="9" t="n"/>
    </row>
    <row r="73">
      <c r="A73" s="16" t="n"/>
      <c r="B73" s="9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9" t="n"/>
      <c r="M73" s="16" t="n"/>
      <c r="N73" s="16" t="n"/>
      <c r="O73" s="9" t="n"/>
      <c r="P73" s="16" t="n"/>
      <c r="Q73" s="9" t="n"/>
    </row>
    <row r="74">
      <c r="A74" s="16" t="n"/>
      <c r="B74" s="9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9" t="n"/>
      <c r="M74" s="16" t="n"/>
      <c r="N74" s="16" t="n"/>
      <c r="O74" s="9" t="n"/>
      <c r="P74" s="16" t="n"/>
      <c r="Q74" s="9" t="n"/>
    </row>
    <row r="75">
      <c r="A75" s="16" t="n"/>
      <c r="B75" s="9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9" t="n"/>
      <c r="M75" s="16" t="n"/>
      <c r="N75" s="16" t="n"/>
      <c r="O75" s="9" t="n"/>
      <c r="P75" s="16" t="n"/>
      <c r="Q75" s="9" t="n"/>
    </row>
    <row r="76">
      <c r="A76" s="16" t="n"/>
      <c r="B76" s="9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9" t="n"/>
      <c r="M76" s="16" t="n"/>
      <c r="N76" s="16" t="n"/>
      <c r="O76" s="9" t="n"/>
      <c r="P76" s="16" t="n"/>
      <c r="Q76" s="9" t="n"/>
    </row>
    <row r="77">
      <c r="A77" s="16" t="n"/>
      <c r="B77" s="9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9" t="n"/>
      <c r="M77" s="16" t="n"/>
      <c r="N77" s="16" t="n"/>
      <c r="O77" s="9" t="n"/>
      <c r="P77" s="16" t="n"/>
      <c r="Q77" s="9" t="n"/>
    </row>
    <row r="78">
      <c r="A78" s="16" t="n"/>
      <c r="B78" s="9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9" t="n"/>
      <c r="M78" s="16" t="n"/>
      <c r="N78" s="16" t="n"/>
      <c r="O78" s="9" t="n"/>
      <c r="P78" s="16" t="n"/>
      <c r="Q78" s="9" t="n"/>
    </row>
    <row r="79">
      <c r="A79" s="16" t="n"/>
      <c r="B79" s="9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9" t="n"/>
      <c r="M79" s="16" t="n"/>
      <c r="N79" s="16" t="n"/>
      <c r="O79" s="9" t="n"/>
      <c r="P79" s="16" t="n"/>
      <c r="Q79" s="9" t="n"/>
    </row>
    <row r="80">
      <c r="A80" s="16" t="n"/>
      <c r="B80" s="9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9" t="n"/>
      <c r="M80" s="16" t="n"/>
      <c r="N80" s="16" t="n"/>
      <c r="O80" s="9" t="n"/>
      <c r="P80" s="16" t="n"/>
      <c r="Q80" s="9" t="n"/>
    </row>
    <row r="81">
      <c r="A81" s="16" t="n"/>
      <c r="B81" s="9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9" t="n"/>
      <c r="M81" s="16" t="n"/>
      <c r="N81" s="16" t="n"/>
      <c r="O81" s="9" t="n"/>
      <c r="P81" s="16" t="n"/>
      <c r="Q81" s="9" t="n"/>
    </row>
    <row r="82">
      <c r="A82" s="16" t="n"/>
      <c r="B82" s="9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9" t="n"/>
      <c r="M82" s="16" t="n"/>
      <c r="N82" s="16" t="n"/>
      <c r="O82" s="9" t="n"/>
      <c r="P82" s="16" t="n"/>
      <c r="Q82" s="9" t="n"/>
    </row>
    <row r="83">
      <c r="A83" s="16" t="n"/>
      <c r="B83" s="9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9" t="n"/>
      <c r="M83" s="16" t="n"/>
      <c r="N83" s="16" t="n"/>
      <c r="O83" s="9" t="n"/>
      <c r="P83" s="16" t="n"/>
      <c r="Q83" s="9" t="n"/>
    </row>
    <row r="84">
      <c r="A84" s="16" t="n"/>
      <c r="B84" s="9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9" t="n"/>
      <c r="M84" s="16" t="n"/>
      <c r="N84" s="16" t="n"/>
      <c r="O84" s="9" t="n"/>
      <c r="P84" s="16" t="n"/>
      <c r="Q84" s="9" t="n"/>
    </row>
    <row r="85">
      <c r="A85" s="16" t="n"/>
      <c r="B85" s="9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9" t="n"/>
      <c r="M85" s="16" t="n"/>
      <c r="N85" s="16" t="n"/>
      <c r="O85" s="9" t="n"/>
      <c r="P85" s="16" t="n"/>
      <c r="Q85" s="9" t="n"/>
    </row>
    <row r="86">
      <c r="A86" s="16" t="n"/>
      <c r="B86" s="9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9" t="n"/>
      <c r="M86" s="16" t="n"/>
      <c r="N86" s="16" t="n"/>
      <c r="O86" s="9" t="n"/>
      <c r="P86" s="16" t="n"/>
      <c r="Q86" s="9" t="n"/>
    </row>
    <row r="87">
      <c r="A87" s="16" t="n"/>
      <c r="B87" s="9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9" t="n"/>
      <c r="M87" s="16" t="n"/>
      <c r="N87" s="16" t="n"/>
      <c r="O87" s="9" t="n"/>
      <c r="P87" s="16" t="n"/>
      <c r="Q87" s="9" t="n"/>
    </row>
    <row r="88">
      <c r="A88" s="16" t="n"/>
      <c r="B88" s="9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9" t="n"/>
      <c r="M88" s="16" t="n"/>
      <c r="N88" s="16" t="n"/>
      <c r="O88" s="9" t="n"/>
      <c r="P88" s="16" t="n"/>
      <c r="Q88" s="9" t="n"/>
    </row>
    <row r="89">
      <c r="A89" s="16" t="n"/>
      <c r="B89" s="9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9" t="n"/>
      <c r="M89" s="16" t="n"/>
      <c r="N89" s="16" t="n"/>
      <c r="O89" s="9" t="n"/>
      <c r="P89" s="16" t="n"/>
      <c r="Q89" s="9" t="n"/>
    </row>
    <row r="90">
      <c r="A90" s="16" t="n"/>
      <c r="B90" s="9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9" t="n"/>
      <c r="M90" s="16" t="n"/>
      <c r="N90" s="16" t="n"/>
      <c r="O90" s="9" t="n"/>
      <c r="P90" s="16" t="n"/>
      <c r="Q90" s="9" t="n"/>
    </row>
    <row r="91">
      <c r="A91" s="16" t="n"/>
      <c r="B91" s="9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9" t="n"/>
      <c r="M91" s="16" t="n"/>
      <c r="N91" s="16" t="n"/>
      <c r="O91" s="9" t="n"/>
      <c r="P91" s="16" t="n"/>
      <c r="Q91" s="9" t="n"/>
    </row>
    <row r="92">
      <c r="A92" s="16" t="n"/>
      <c r="B92" s="9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9" t="n"/>
      <c r="M92" s="16" t="n"/>
      <c r="N92" s="16" t="n"/>
      <c r="O92" s="9" t="n"/>
      <c r="P92" s="16" t="n"/>
      <c r="Q92" s="9" t="n"/>
    </row>
    <row r="93">
      <c r="A93" s="16" t="n"/>
      <c r="B93" s="9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9" t="n"/>
      <c r="M93" s="16" t="n"/>
      <c r="N93" s="16" t="n"/>
      <c r="O93" s="9" t="n"/>
      <c r="P93" s="16" t="n"/>
      <c r="Q93" s="9" t="n"/>
    </row>
    <row r="94">
      <c r="A94" s="16" t="n"/>
      <c r="B94" s="9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9" t="n"/>
      <c r="M94" s="16" t="n"/>
      <c r="N94" s="16" t="n"/>
      <c r="O94" s="9" t="n"/>
      <c r="P94" s="16" t="n"/>
      <c r="Q94" s="9" t="n"/>
    </row>
    <row r="95">
      <c r="A95" s="16" t="n"/>
      <c r="B95" s="9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9" t="n"/>
      <c r="M95" s="16" t="n"/>
      <c r="N95" s="16" t="n"/>
      <c r="O95" s="9" t="n"/>
      <c r="P95" s="16" t="n"/>
      <c r="Q95" s="9" t="n"/>
    </row>
    <row r="96">
      <c r="A96" s="16" t="n"/>
      <c r="B96" s="9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9" t="n"/>
      <c r="M96" s="16" t="n"/>
      <c r="N96" s="16" t="n"/>
      <c r="O96" s="9" t="n"/>
      <c r="P96" s="16" t="n"/>
      <c r="Q96" s="9" t="n"/>
    </row>
    <row r="97">
      <c r="A97" s="16" t="n"/>
      <c r="B97" s="9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9" t="n"/>
      <c r="M97" s="16" t="n"/>
      <c r="N97" s="16" t="n"/>
      <c r="O97" s="9" t="n"/>
      <c r="P97" s="16" t="n"/>
      <c r="Q97" s="9" t="n"/>
    </row>
    <row r="98">
      <c r="A98" s="16" t="n"/>
      <c r="B98" s="9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9" t="n"/>
      <c r="M98" s="16" t="n"/>
      <c r="N98" s="16" t="n"/>
      <c r="O98" s="9" t="n"/>
      <c r="P98" s="16" t="n"/>
      <c r="Q98" s="9" t="n"/>
    </row>
    <row r="99">
      <c r="A99" s="16" t="n"/>
      <c r="B99" s="9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9" t="n"/>
      <c r="M99" s="16" t="n"/>
      <c r="N99" s="16" t="n"/>
      <c r="O99" s="9" t="n"/>
      <c r="P99" s="16" t="n"/>
      <c r="Q99" s="9" t="n"/>
    </row>
    <row r="100">
      <c r="A100" s="16" t="n"/>
      <c r="B100" s="9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9" t="n"/>
      <c r="M100" s="16" t="n"/>
      <c r="N100" s="16" t="n"/>
      <c r="O100" s="9" t="n"/>
      <c r="P100" s="16" t="n"/>
      <c r="Q100" s="9" t="n"/>
    </row>
    <row r="101">
      <c r="A101" s="16" t="n"/>
      <c r="B101" s="9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9" t="n"/>
      <c r="M101" s="16" t="n"/>
      <c r="N101" s="16" t="n"/>
      <c r="O101" s="9" t="n"/>
      <c r="P101" s="16" t="n"/>
      <c r="Q101" s="9" t="n"/>
    </row>
    <row r="102">
      <c r="A102" s="16" t="n"/>
      <c r="B102" s="9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9" t="n"/>
      <c r="M102" s="16" t="n"/>
      <c r="N102" s="16" t="n"/>
      <c r="O102" s="9" t="n"/>
      <c r="P102" s="16" t="n"/>
      <c r="Q102" s="9" t="n"/>
    </row>
    <row r="103">
      <c r="A103" s="16" t="n"/>
      <c r="B103" s="9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9" t="n"/>
      <c r="M103" s="16" t="n"/>
      <c r="N103" s="16" t="n"/>
      <c r="O103" s="9" t="n"/>
      <c r="P103" s="16" t="n"/>
      <c r="Q103" s="9" t="n"/>
    </row>
    <row r="104">
      <c r="A104" s="16" t="n"/>
      <c r="B104" s="9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9" t="n"/>
      <c r="M104" s="16" t="n"/>
      <c r="N104" s="16" t="n"/>
      <c r="O104" s="9" t="n"/>
      <c r="P104" s="16" t="n"/>
      <c r="Q104" s="9" t="n"/>
    </row>
    <row r="105">
      <c r="A105" s="16" t="n"/>
      <c r="B105" s="9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9" t="n"/>
      <c r="M105" s="16" t="n"/>
      <c r="N105" s="16" t="n"/>
      <c r="O105" s="9" t="n"/>
      <c r="P105" s="16" t="n"/>
      <c r="Q105" s="9" t="n"/>
    </row>
    <row r="106">
      <c r="A106" s="16" t="n"/>
      <c r="B106" s="9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9" t="n"/>
      <c r="M106" s="16" t="n"/>
      <c r="N106" s="16" t="n"/>
      <c r="O106" s="9" t="n"/>
      <c r="P106" s="16" t="n"/>
      <c r="Q106" s="9" t="n"/>
    </row>
    <row r="107">
      <c r="A107" s="16" t="n"/>
      <c r="B107" s="9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9" t="n"/>
      <c r="M107" s="16" t="n"/>
      <c r="N107" s="16" t="n"/>
      <c r="O107" s="9" t="n"/>
      <c r="P107" s="16" t="n"/>
      <c r="Q107" s="9" t="n"/>
    </row>
    <row r="108">
      <c r="A108" s="16" t="n"/>
      <c r="B108" s="9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9" t="n"/>
      <c r="M108" s="16" t="n"/>
      <c r="N108" s="16" t="n"/>
      <c r="O108" s="9" t="n"/>
      <c r="P108" s="16" t="n"/>
      <c r="Q108" s="9" t="n"/>
    </row>
    <row r="109">
      <c r="A109" s="16" t="n"/>
      <c r="B109" s="9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9" t="n"/>
      <c r="M109" s="16" t="n"/>
      <c r="N109" s="16" t="n"/>
      <c r="O109" s="9" t="n"/>
      <c r="P109" s="16" t="n"/>
      <c r="Q109" s="9" t="n"/>
    </row>
    <row r="110">
      <c r="A110" s="16" t="n"/>
      <c r="B110" s="9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9" t="n"/>
      <c r="M110" s="16" t="n"/>
      <c r="N110" s="16" t="n"/>
      <c r="O110" s="9" t="n"/>
      <c r="P110" s="16" t="n"/>
      <c r="Q110" s="9" t="n"/>
    </row>
    <row r="111">
      <c r="A111" s="16" t="n"/>
      <c r="B111" s="9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9" t="n"/>
      <c r="M111" s="16" t="n"/>
      <c r="N111" s="16" t="n"/>
      <c r="O111" s="9" t="n"/>
      <c r="P111" s="16" t="n"/>
      <c r="Q111" s="9" t="n"/>
    </row>
    <row r="112">
      <c r="A112" s="16" t="n"/>
      <c r="B112" s="9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9" t="n"/>
      <c r="M112" s="16" t="n"/>
      <c r="N112" s="16" t="n"/>
      <c r="O112" s="9" t="n"/>
      <c r="P112" s="16" t="n"/>
      <c r="Q112" s="9" t="n"/>
    </row>
    <row r="113">
      <c r="A113" s="16" t="n"/>
      <c r="B113" s="9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9" t="n"/>
      <c r="M113" s="16" t="n"/>
      <c r="N113" s="16" t="n"/>
      <c r="O113" s="9" t="n"/>
      <c r="P113" s="16" t="n"/>
      <c r="Q113" s="9" t="n"/>
    </row>
    <row r="114">
      <c r="A114" s="16" t="n"/>
      <c r="B114" s="9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9" t="n"/>
      <c r="M114" s="16" t="n"/>
      <c r="N114" s="16" t="n"/>
      <c r="O114" s="9" t="n"/>
      <c r="P114" s="16" t="n"/>
      <c r="Q114" s="9" t="n"/>
    </row>
    <row r="115">
      <c r="A115" s="16" t="n"/>
      <c r="B115" s="9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9" t="n"/>
      <c r="M115" s="16" t="n"/>
      <c r="N115" s="16" t="n"/>
      <c r="O115" s="9" t="n"/>
      <c r="P115" s="16" t="n"/>
      <c r="Q115" s="9" t="n"/>
    </row>
    <row r="116">
      <c r="A116" s="16" t="n"/>
      <c r="B116" s="9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9" t="n"/>
      <c r="M116" s="16" t="n"/>
      <c r="N116" s="16" t="n"/>
      <c r="O116" s="9" t="n"/>
      <c r="P116" s="16" t="n"/>
      <c r="Q116" s="9" t="n"/>
    </row>
    <row r="117">
      <c r="A117" s="16" t="n"/>
      <c r="B117" s="9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9" t="n"/>
      <c r="M117" s="16" t="n"/>
      <c r="N117" s="16" t="n"/>
      <c r="O117" s="9" t="n"/>
      <c r="P117" s="16" t="n"/>
      <c r="Q117" s="9" t="n"/>
    </row>
    <row r="118">
      <c r="A118" s="16" t="n"/>
      <c r="B118" s="9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9" t="n"/>
      <c r="M118" s="16" t="n"/>
      <c r="N118" s="16" t="n"/>
      <c r="O118" s="9" t="n"/>
      <c r="P118" s="16" t="n"/>
      <c r="Q118" s="9" t="n"/>
    </row>
    <row r="119">
      <c r="A119" s="16" t="n"/>
      <c r="B119" s="9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9" t="n"/>
      <c r="M119" s="16" t="n"/>
      <c r="N119" s="16" t="n"/>
      <c r="O119" s="9" t="n"/>
      <c r="P119" s="16" t="n"/>
      <c r="Q119" s="9" t="n"/>
    </row>
    <row r="120">
      <c r="A120" s="16" t="n"/>
      <c r="B120" s="9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9" t="n"/>
      <c r="M120" s="16" t="n"/>
      <c r="N120" s="16" t="n"/>
      <c r="O120" s="9" t="n"/>
      <c r="P120" s="16" t="n"/>
      <c r="Q120" s="9" t="n"/>
    </row>
    <row r="121">
      <c r="A121" s="16" t="n"/>
      <c r="B121" s="9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9" t="n"/>
      <c r="M121" s="16" t="n"/>
      <c r="N121" s="16" t="n"/>
      <c r="O121" s="9" t="n"/>
      <c r="P121" s="16" t="n"/>
      <c r="Q121" s="9" t="n"/>
    </row>
    <row r="122">
      <c r="A122" s="16" t="n"/>
      <c r="B122" s="9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9" t="n"/>
      <c r="M122" s="16" t="n"/>
      <c r="N122" s="16" t="n"/>
      <c r="O122" s="9" t="n"/>
      <c r="P122" s="16" t="n"/>
      <c r="Q122" s="9" t="n"/>
    </row>
    <row r="123">
      <c r="A123" s="16" t="n"/>
      <c r="B123" s="9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9" t="n"/>
      <c r="M123" s="16" t="n"/>
      <c r="N123" s="16" t="n"/>
      <c r="O123" s="9" t="n"/>
      <c r="P123" s="16" t="n"/>
      <c r="Q123" s="9" t="n"/>
    </row>
    <row r="124">
      <c r="A124" s="16" t="n"/>
      <c r="B124" s="9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9" t="n"/>
      <c r="M124" s="16" t="n"/>
      <c r="N124" s="16" t="n"/>
      <c r="O124" s="9" t="n"/>
      <c r="P124" s="16" t="n"/>
      <c r="Q124" s="9" t="n"/>
    </row>
    <row r="125">
      <c r="A125" s="16" t="n"/>
      <c r="B125" s="9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9" t="n"/>
      <c r="M125" s="16" t="n"/>
      <c r="N125" s="16" t="n"/>
      <c r="O125" s="9" t="n"/>
      <c r="P125" s="16" t="n"/>
      <c r="Q125" s="9" t="n"/>
    </row>
    <row r="126">
      <c r="A126" s="16" t="n"/>
      <c r="B126" s="9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9" t="n"/>
      <c r="M126" s="16" t="n"/>
      <c r="N126" s="16" t="n"/>
      <c r="O126" s="9" t="n"/>
      <c r="P126" s="16" t="n"/>
      <c r="Q126" s="9" t="n"/>
    </row>
    <row r="127">
      <c r="A127" s="16" t="n"/>
      <c r="B127" s="9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9" t="n"/>
      <c r="M127" s="16" t="n"/>
      <c r="N127" s="16" t="n"/>
      <c r="O127" s="9" t="n"/>
      <c r="P127" s="16" t="n"/>
      <c r="Q127" s="9" t="n"/>
    </row>
    <row r="128">
      <c r="A128" s="16" t="n"/>
      <c r="B128" s="9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9" t="n"/>
      <c r="M128" s="16" t="n"/>
      <c r="N128" s="16" t="n"/>
      <c r="O128" s="9" t="n"/>
      <c r="P128" s="16" t="n"/>
      <c r="Q128" s="9" t="n"/>
    </row>
    <row r="129">
      <c r="A129" s="16" t="n"/>
      <c r="B129" s="9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9" t="n"/>
      <c r="M129" s="16" t="n"/>
      <c r="N129" s="16" t="n"/>
      <c r="O129" s="9" t="n"/>
      <c r="P129" s="16" t="n"/>
      <c r="Q129" s="9" t="n"/>
    </row>
    <row r="130">
      <c r="A130" s="16" t="n"/>
      <c r="B130" s="9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9" t="n"/>
      <c r="M130" s="16" t="n"/>
      <c r="N130" s="16" t="n"/>
      <c r="O130" s="9" t="n"/>
      <c r="P130" s="16" t="n"/>
      <c r="Q130" s="9" t="n"/>
    </row>
    <row r="131">
      <c r="A131" s="16" t="n"/>
      <c r="B131" s="9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9" t="n"/>
      <c r="M131" s="16" t="n"/>
      <c r="N131" s="16" t="n"/>
      <c r="O131" s="9" t="n"/>
      <c r="P131" s="16" t="n"/>
      <c r="Q131" s="9" t="n"/>
    </row>
    <row r="132">
      <c r="A132" s="16" t="n"/>
      <c r="B132" s="9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9" t="n"/>
      <c r="M132" s="16" t="n"/>
      <c r="N132" s="16" t="n"/>
      <c r="O132" s="9" t="n"/>
      <c r="P132" s="16" t="n"/>
      <c r="Q132" s="9" t="n"/>
    </row>
    <row r="133">
      <c r="A133" s="16" t="n"/>
      <c r="B133" s="9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9" t="n"/>
      <c r="M133" s="16" t="n"/>
      <c r="N133" s="16" t="n"/>
      <c r="O133" s="9" t="n"/>
      <c r="P133" s="16" t="n"/>
      <c r="Q133" s="9" t="n"/>
    </row>
    <row r="134">
      <c r="A134" s="16" t="n"/>
      <c r="B134" s="9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9" t="n"/>
      <c r="M134" s="16" t="n"/>
      <c r="N134" s="16" t="n"/>
      <c r="O134" s="9" t="n"/>
      <c r="P134" s="16" t="n"/>
      <c r="Q134" s="9" t="n"/>
    </row>
    <row r="135">
      <c r="A135" s="16" t="n"/>
      <c r="B135" s="9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9" t="n"/>
      <c r="M135" s="16" t="n"/>
      <c r="N135" s="16" t="n"/>
      <c r="O135" s="9" t="n"/>
      <c r="P135" s="16" t="n"/>
      <c r="Q135" s="9" t="n"/>
    </row>
    <row r="136">
      <c r="A136" s="16" t="n"/>
      <c r="B136" s="9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9" t="n"/>
      <c r="M136" s="16" t="n"/>
      <c r="N136" s="16" t="n"/>
      <c r="O136" s="9" t="n"/>
      <c r="P136" s="16" t="n"/>
      <c r="Q136" s="9" t="n"/>
    </row>
    <row r="137">
      <c r="A137" s="16" t="n"/>
      <c r="B137" s="9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9" t="n"/>
      <c r="M137" s="16" t="n"/>
      <c r="N137" s="16" t="n"/>
      <c r="O137" s="9" t="n"/>
      <c r="P137" s="16" t="n"/>
      <c r="Q137" s="9" t="n"/>
    </row>
    <row r="138">
      <c r="A138" s="16" t="n"/>
      <c r="B138" s="9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9" t="n"/>
      <c r="M138" s="16" t="n"/>
      <c r="N138" s="16" t="n"/>
      <c r="O138" s="9" t="n"/>
      <c r="P138" s="16" t="n"/>
      <c r="Q138" s="9" t="n"/>
    </row>
    <row r="139">
      <c r="A139" s="16" t="n"/>
      <c r="B139" s="9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9" t="n"/>
      <c r="M139" s="16" t="n"/>
      <c r="N139" s="16" t="n"/>
      <c r="O139" s="9" t="n"/>
      <c r="P139" s="16" t="n"/>
      <c r="Q139" s="9" t="n"/>
    </row>
    <row r="140">
      <c r="A140" s="16" t="n"/>
      <c r="B140" s="9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9" t="n"/>
      <c r="M140" s="16" t="n"/>
      <c r="N140" s="16" t="n"/>
      <c r="O140" s="9" t="n"/>
      <c r="P140" s="16" t="n"/>
      <c r="Q140" s="9" t="n"/>
    </row>
    <row r="141">
      <c r="A141" s="16" t="n"/>
      <c r="B141" s="9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9" t="n"/>
      <c r="M141" s="16" t="n"/>
      <c r="N141" s="16" t="n"/>
      <c r="O141" s="9" t="n"/>
      <c r="P141" s="16" t="n"/>
      <c r="Q141" s="9" t="n"/>
    </row>
    <row r="142">
      <c r="A142" s="16" t="n"/>
      <c r="B142" s="9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9" t="n"/>
      <c r="M142" s="16" t="n"/>
      <c r="N142" s="16" t="n"/>
      <c r="O142" s="9" t="n"/>
      <c r="P142" s="16" t="n"/>
      <c r="Q142" s="9" t="n"/>
    </row>
    <row r="143">
      <c r="A143" s="16" t="n"/>
      <c r="B143" s="9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9" t="n"/>
      <c r="M143" s="16" t="n"/>
      <c r="N143" s="16" t="n"/>
      <c r="O143" s="9" t="n"/>
      <c r="P143" s="16" t="n"/>
      <c r="Q143" s="9" t="n"/>
    </row>
    <row r="144">
      <c r="A144" s="16" t="n"/>
      <c r="B144" s="9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9" t="n"/>
      <c r="M144" s="16" t="n"/>
      <c r="N144" s="16" t="n"/>
      <c r="O144" s="9" t="n"/>
      <c r="P144" s="16" t="n"/>
      <c r="Q144" s="9" t="n"/>
    </row>
    <row r="145">
      <c r="A145" s="16" t="n"/>
      <c r="B145" s="9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9" t="n"/>
      <c r="M145" s="16" t="n"/>
      <c r="N145" s="16" t="n"/>
      <c r="O145" s="9" t="n"/>
      <c r="P145" s="16" t="n"/>
      <c r="Q145" s="9" t="n"/>
    </row>
    <row r="146">
      <c r="A146" s="16" t="n"/>
      <c r="B146" s="9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9" t="n"/>
      <c r="M146" s="16" t="n"/>
      <c r="N146" s="16" t="n"/>
      <c r="O146" s="9" t="n"/>
      <c r="P146" s="16" t="n"/>
      <c r="Q146" s="9" t="n"/>
    </row>
    <row r="147">
      <c r="A147" s="16" t="n"/>
      <c r="B147" s="9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9" t="n"/>
      <c r="M147" s="16" t="n"/>
      <c r="N147" s="16" t="n"/>
      <c r="O147" s="9" t="n"/>
      <c r="P147" s="16" t="n"/>
      <c r="Q147" s="9" t="n"/>
    </row>
    <row r="148">
      <c r="A148" s="16" t="n"/>
      <c r="B148" s="9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9" t="n"/>
      <c r="M148" s="16" t="n"/>
      <c r="N148" s="16" t="n"/>
      <c r="O148" s="9" t="n"/>
      <c r="P148" s="16" t="n"/>
      <c r="Q148" s="9" t="n"/>
    </row>
    <row r="149">
      <c r="A149" s="16" t="n"/>
      <c r="B149" s="9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9" t="n"/>
      <c r="M149" s="16" t="n"/>
      <c r="N149" s="16" t="n"/>
      <c r="O149" s="9" t="n"/>
      <c r="P149" s="16" t="n"/>
      <c r="Q149" s="9" t="n"/>
    </row>
    <row r="150">
      <c r="A150" s="16" t="n"/>
      <c r="B150" s="9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9" t="n"/>
      <c r="M150" s="16" t="n"/>
      <c r="N150" s="16" t="n"/>
      <c r="O150" s="9" t="n"/>
      <c r="P150" s="16" t="n"/>
      <c r="Q150" s="9" t="n"/>
    </row>
    <row r="151">
      <c r="A151" s="16" t="n"/>
      <c r="B151" s="9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9" t="n"/>
      <c r="M151" s="16" t="n"/>
      <c r="N151" s="16" t="n"/>
      <c r="O151" s="9" t="n"/>
      <c r="P151" s="16" t="n"/>
      <c r="Q151" s="9" t="n"/>
    </row>
    <row r="152">
      <c r="A152" s="16" t="n"/>
      <c r="B152" s="9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9" t="n"/>
      <c r="M152" s="16" t="n"/>
      <c r="N152" s="16" t="n"/>
      <c r="O152" s="9" t="n"/>
      <c r="P152" s="16" t="n"/>
      <c r="Q152" s="9" t="n"/>
    </row>
    <row r="153">
      <c r="A153" s="16" t="n"/>
      <c r="B153" s="9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9" t="n"/>
      <c r="M153" s="16" t="n"/>
      <c r="N153" s="16" t="n"/>
      <c r="O153" s="9" t="n"/>
      <c r="P153" s="16" t="n"/>
      <c r="Q153" s="9" t="n"/>
    </row>
    <row r="154">
      <c r="A154" s="16" t="n"/>
      <c r="B154" s="9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9" t="n"/>
      <c r="M154" s="16" t="n"/>
      <c r="N154" s="16" t="n"/>
      <c r="O154" s="9" t="n"/>
      <c r="P154" s="16" t="n"/>
      <c r="Q154" s="9" t="n"/>
    </row>
    <row r="155">
      <c r="A155" s="16" t="n"/>
      <c r="B155" s="9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9" t="n"/>
      <c r="M155" s="16" t="n"/>
      <c r="N155" s="16" t="n"/>
      <c r="O155" s="9" t="n"/>
      <c r="P155" s="16" t="n"/>
      <c r="Q155" s="9" t="n"/>
    </row>
    <row r="156">
      <c r="A156" s="16" t="n"/>
      <c r="B156" s="9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9" t="n"/>
      <c r="M156" s="16" t="n"/>
      <c r="N156" s="16" t="n"/>
      <c r="O156" s="9" t="n"/>
      <c r="P156" s="16" t="n"/>
      <c r="Q156" s="9" t="n"/>
    </row>
    <row r="157">
      <c r="A157" s="16" t="n"/>
      <c r="B157" s="9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9" t="n"/>
      <c r="M157" s="16" t="n"/>
      <c r="N157" s="16" t="n"/>
      <c r="O157" s="9" t="n"/>
      <c r="P157" s="16" t="n"/>
      <c r="Q157" s="9" t="n"/>
    </row>
    <row r="158">
      <c r="A158" s="16" t="n"/>
      <c r="B158" s="9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9" t="n"/>
      <c r="M158" s="16" t="n"/>
      <c r="N158" s="16" t="n"/>
      <c r="O158" s="9" t="n"/>
      <c r="P158" s="16" t="n"/>
      <c r="Q158" s="9" t="n"/>
    </row>
    <row r="159">
      <c r="A159" s="16" t="n"/>
      <c r="B159" s="9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9" t="n"/>
      <c r="M159" s="16" t="n"/>
      <c r="N159" s="16" t="n"/>
      <c r="O159" s="9" t="n"/>
      <c r="P159" s="16" t="n"/>
      <c r="Q159" s="9" t="n"/>
    </row>
    <row r="160">
      <c r="A160" s="16" t="n"/>
      <c r="B160" s="9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9" t="n"/>
      <c r="M160" s="16" t="n"/>
      <c r="N160" s="16" t="n"/>
      <c r="O160" s="9" t="n"/>
      <c r="P160" s="16" t="n"/>
      <c r="Q160" s="9" t="n"/>
    </row>
    <row r="161">
      <c r="A161" s="16" t="n"/>
      <c r="B161" s="9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9" t="n"/>
      <c r="M161" s="16" t="n"/>
      <c r="N161" s="16" t="n"/>
      <c r="O161" s="9" t="n"/>
      <c r="P161" s="16" t="n"/>
      <c r="Q161" s="9" t="n"/>
    </row>
    <row r="162">
      <c r="A162" s="16" t="n"/>
      <c r="B162" s="9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9" t="n"/>
      <c r="M162" s="16" t="n"/>
      <c r="N162" s="16" t="n"/>
      <c r="O162" s="9" t="n"/>
      <c r="P162" s="16" t="n"/>
      <c r="Q162" s="9" t="n"/>
    </row>
    <row r="163">
      <c r="A163" s="16" t="n"/>
      <c r="B163" s="9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9" t="n"/>
      <c r="M163" s="16" t="n"/>
      <c r="N163" s="16" t="n"/>
      <c r="O163" s="9" t="n"/>
      <c r="P163" s="16" t="n"/>
      <c r="Q163" s="9" t="n"/>
    </row>
    <row r="164">
      <c r="A164" s="16" t="n"/>
      <c r="B164" s="9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9" t="n"/>
      <c r="M164" s="16" t="n"/>
      <c r="N164" s="16" t="n"/>
      <c r="O164" s="9" t="n"/>
      <c r="P164" s="16" t="n"/>
      <c r="Q164" s="9" t="n"/>
    </row>
    <row r="165">
      <c r="A165" s="16" t="n"/>
      <c r="B165" s="9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9" t="n"/>
      <c r="M165" s="16" t="n"/>
      <c r="N165" s="16" t="n"/>
      <c r="O165" s="9" t="n"/>
      <c r="P165" s="16" t="n"/>
      <c r="Q165" s="9" t="n"/>
    </row>
    <row r="166">
      <c r="A166" s="16" t="n"/>
      <c r="B166" s="9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9" t="n"/>
      <c r="M166" s="16" t="n"/>
      <c r="N166" s="16" t="n"/>
      <c r="O166" s="9" t="n"/>
      <c r="P166" s="16" t="n"/>
      <c r="Q166" s="9" t="n"/>
    </row>
    <row r="167">
      <c r="A167" s="16" t="n"/>
      <c r="B167" s="9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9" t="n"/>
      <c r="M167" s="16" t="n"/>
      <c r="N167" s="16" t="n"/>
      <c r="O167" s="9" t="n"/>
      <c r="P167" s="16" t="n"/>
      <c r="Q167" s="9" t="n"/>
    </row>
    <row r="168">
      <c r="A168" s="16" t="n"/>
      <c r="B168" s="9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9" t="n"/>
      <c r="M168" s="16" t="n"/>
      <c r="N168" s="16" t="n"/>
      <c r="O168" s="9" t="n"/>
      <c r="P168" s="16" t="n"/>
      <c r="Q168" s="9" t="n"/>
    </row>
    <row r="169">
      <c r="A169" s="16" t="n"/>
      <c r="B169" s="9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9" t="n"/>
      <c r="M169" s="16" t="n"/>
      <c r="N169" s="16" t="n"/>
      <c r="O169" s="9" t="n"/>
      <c r="P169" s="16" t="n"/>
      <c r="Q169" s="9" t="n"/>
    </row>
    <row r="170">
      <c r="A170" s="16" t="n"/>
      <c r="B170" s="9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9" t="n"/>
      <c r="M170" s="16" t="n"/>
      <c r="N170" s="16" t="n"/>
      <c r="O170" s="9" t="n"/>
      <c r="P170" s="16" t="n"/>
      <c r="Q170" s="9" t="n"/>
    </row>
    <row r="171">
      <c r="A171" s="16" t="n"/>
      <c r="B171" s="9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9" t="n"/>
      <c r="M171" s="16" t="n"/>
      <c r="N171" s="16" t="n"/>
      <c r="O171" s="9" t="n"/>
      <c r="P171" s="16" t="n"/>
      <c r="Q171" s="9" t="n"/>
    </row>
    <row r="172">
      <c r="A172" s="16" t="n"/>
      <c r="B172" s="9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9" t="n"/>
      <c r="M172" s="16" t="n"/>
      <c r="N172" s="16" t="n"/>
      <c r="O172" s="9" t="n"/>
      <c r="P172" s="16" t="n"/>
      <c r="Q172" s="9" t="n"/>
    </row>
    <row r="173">
      <c r="A173" s="16" t="n"/>
      <c r="B173" s="9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9" t="n"/>
      <c r="M173" s="16" t="n"/>
      <c r="N173" s="16" t="n"/>
      <c r="O173" s="9" t="n"/>
      <c r="P173" s="16" t="n"/>
      <c r="Q173" s="9" t="n"/>
    </row>
    <row r="174">
      <c r="A174" s="16" t="n"/>
      <c r="B174" s="9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9" t="n"/>
      <c r="M174" s="16" t="n"/>
      <c r="N174" s="16" t="n"/>
      <c r="O174" s="9" t="n"/>
      <c r="P174" s="16" t="n"/>
      <c r="Q174" s="9" t="n"/>
    </row>
    <row r="175">
      <c r="A175" s="16" t="n"/>
      <c r="B175" s="9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9" t="n"/>
      <c r="M175" s="16" t="n"/>
      <c r="N175" s="16" t="n"/>
      <c r="O175" s="9" t="n"/>
      <c r="P175" s="16" t="n"/>
      <c r="Q175" s="9" t="n"/>
    </row>
    <row r="176">
      <c r="A176" s="16" t="n"/>
      <c r="B176" s="9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9" t="n"/>
      <c r="M176" s="16" t="n"/>
      <c r="N176" s="16" t="n"/>
      <c r="O176" s="9" t="n"/>
      <c r="P176" s="16" t="n"/>
      <c r="Q176" s="9" t="n"/>
    </row>
    <row r="177">
      <c r="A177" s="16" t="n"/>
      <c r="B177" s="9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9" t="n"/>
      <c r="M177" s="16" t="n"/>
      <c r="N177" s="16" t="n"/>
      <c r="O177" s="9" t="n"/>
      <c r="P177" s="16" t="n"/>
      <c r="Q177" s="9" t="n"/>
    </row>
    <row r="178">
      <c r="A178" s="16" t="n"/>
      <c r="B178" s="9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9" t="n"/>
      <c r="M178" s="16" t="n"/>
      <c r="N178" s="16" t="n"/>
      <c r="O178" s="9" t="n"/>
      <c r="P178" s="16" t="n"/>
      <c r="Q178" s="9" t="n"/>
    </row>
    <row r="179">
      <c r="A179" s="16" t="n"/>
      <c r="B179" s="9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9" t="n"/>
      <c r="M179" s="16" t="n"/>
      <c r="N179" s="16" t="n"/>
      <c r="O179" s="9" t="n"/>
      <c r="P179" s="16" t="n"/>
      <c r="Q179" s="9" t="n"/>
    </row>
    <row r="180">
      <c r="A180" s="16" t="n"/>
      <c r="B180" s="9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9" t="n"/>
      <c r="M180" s="16" t="n"/>
      <c r="N180" s="16" t="n"/>
      <c r="O180" s="9" t="n"/>
      <c r="P180" s="16" t="n"/>
      <c r="Q180" s="9" t="n"/>
    </row>
    <row r="181">
      <c r="A181" s="16" t="n"/>
      <c r="B181" s="9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9" t="n"/>
      <c r="M181" s="16" t="n"/>
      <c r="N181" s="16" t="n"/>
      <c r="O181" s="9" t="n"/>
      <c r="P181" s="16" t="n"/>
      <c r="Q181" s="9" t="n"/>
    </row>
    <row r="182">
      <c r="A182" s="16" t="n"/>
      <c r="B182" s="9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9" t="n"/>
      <c r="M182" s="16" t="n"/>
      <c r="N182" s="16" t="n"/>
      <c r="O182" s="9" t="n"/>
      <c r="P182" s="16" t="n"/>
      <c r="Q182" s="9" t="n"/>
    </row>
    <row r="183">
      <c r="A183" s="16" t="n"/>
      <c r="B183" s="9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9" t="n"/>
      <c r="M183" s="16" t="n"/>
      <c r="N183" s="16" t="n"/>
      <c r="O183" s="9" t="n"/>
      <c r="P183" s="16" t="n"/>
      <c r="Q183" s="9" t="n"/>
    </row>
    <row r="184">
      <c r="A184" s="16" t="n"/>
      <c r="B184" s="9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9" t="n"/>
      <c r="M184" s="16" t="n"/>
      <c r="N184" s="16" t="n"/>
      <c r="O184" s="9" t="n"/>
      <c r="P184" s="16" t="n"/>
      <c r="Q184" s="9" t="n"/>
    </row>
    <row r="185">
      <c r="A185" s="16" t="n"/>
      <c r="B185" s="9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9" t="n"/>
      <c r="M185" s="16" t="n"/>
      <c r="N185" s="16" t="n"/>
      <c r="O185" s="9" t="n"/>
      <c r="P185" s="16" t="n"/>
      <c r="Q185" s="9" t="n"/>
    </row>
    <row r="186">
      <c r="A186" s="16" t="n"/>
      <c r="B186" s="9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9" t="n"/>
      <c r="M186" s="16" t="n"/>
      <c r="N186" s="16" t="n"/>
      <c r="O186" s="9" t="n"/>
      <c r="P186" s="16" t="n"/>
      <c r="Q186" s="9" t="n"/>
    </row>
    <row r="187">
      <c r="A187" s="16" t="n"/>
      <c r="B187" s="9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9" t="n"/>
      <c r="M187" s="16" t="n"/>
      <c r="N187" s="16" t="n"/>
      <c r="O187" s="9" t="n"/>
      <c r="P187" s="16" t="n"/>
      <c r="Q187" s="9" t="n"/>
    </row>
    <row r="188">
      <c r="A188" s="16" t="n"/>
      <c r="B188" s="9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9" t="n"/>
      <c r="M188" s="16" t="n"/>
      <c r="N188" s="16" t="n"/>
      <c r="O188" s="9" t="n"/>
      <c r="P188" s="16" t="n"/>
      <c r="Q188" s="9" t="n"/>
    </row>
    <row r="189">
      <c r="A189" s="16" t="n"/>
      <c r="B189" s="9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9" t="n"/>
      <c r="M189" s="16" t="n"/>
      <c r="N189" s="16" t="n"/>
      <c r="O189" s="9" t="n"/>
      <c r="P189" s="16" t="n"/>
      <c r="Q189" s="9" t="n"/>
    </row>
    <row r="190">
      <c r="A190" s="16" t="n"/>
      <c r="B190" s="9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9" t="n"/>
      <c r="M190" s="16" t="n"/>
      <c r="N190" s="16" t="n"/>
      <c r="O190" s="9" t="n"/>
      <c r="P190" s="16" t="n"/>
      <c r="Q190" s="9" t="n"/>
    </row>
    <row r="191">
      <c r="A191" s="16" t="n"/>
      <c r="B191" s="9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9" t="n"/>
      <c r="M191" s="16" t="n"/>
      <c r="N191" s="16" t="n"/>
      <c r="O191" s="9" t="n"/>
      <c r="P191" s="16" t="n"/>
      <c r="Q191" s="9" t="n"/>
    </row>
    <row r="192">
      <c r="A192" s="16" t="n"/>
      <c r="B192" s="9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9" t="n"/>
      <c r="M192" s="16" t="n"/>
      <c r="N192" s="16" t="n"/>
      <c r="O192" s="9" t="n"/>
      <c r="P192" s="16" t="n"/>
      <c r="Q192" s="9" t="n"/>
    </row>
    <row r="193">
      <c r="A193" s="16" t="n"/>
      <c r="B193" s="9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9" t="n"/>
      <c r="M193" s="16" t="n"/>
      <c r="N193" s="16" t="n"/>
      <c r="O193" s="9" t="n"/>
      <c r="P193" s="16" t="n"/>
      <c r="Q193" s="9" t="n"/>
    </row>
    <row r="194">
      <c r="A194" s="16" t="n"/>
      <c r="B194" s="9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9" t="n"/>
      <c r="M194" s="16" t="n"/>
      <c r="N194" s="16" t="n"/>
      <c r="O194" s="9" t="n"/>
      <c r="P194" s="16" t="n"/>
      <c r="Q194" s="9" t="n"/>
    </row>
    <row r="195">
      <c r="A195" s="16" t="n"/>
      <c r="B195" s="9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9" t="n"/>
      <c r="M195" s="16" t="n"/>
      <c r="N195" s="16" t="n"/>
      <c r="O195" s="9" t="n"/>
      <c r="P195" s="16" t="n"/>
      <c r="Q195" s="9" t="n"/>
    </row>
    <row r="196">
      <c r="A196" s="16" t="n"/>
      <c r="B196" s="9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9" t="n"/>
      <c r="M196" s="16" t="n"/>
      <c r="N196" s="16" t="n"/>
      <c r="O196" s="9" t="n"/>
      <c r="P196" s="16" t="n"/>
      <c r="Q196" s="9" t="n"/>
    </row>
    <row r="197">
      <c r="A197" s="16" t="n"/>
      <c r="B197" s="9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9" t="n"/>
      <c r="M197" s="16" t="n"/>
      <c r="N197" s="16" t="n"/>
      <c r="O197" s="9" t="n"/>
      <c r="P197" s="16" t="n"/>
      <c r="Q197" s="9" t="n"/>
    </row>
    <row r="198">
      <c r="A198" s="16" t="n"/>
      <c r="B198" s="9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9" t="n"/>
      <c r="M198" s="16" t="n"/>
      <c r="N198" s="16" t="n"/>
      <c r="O198" s="9" t="n"/>
      <c r="P198" s="16" t="n"/>
      <c r="Q198" s="9" t="n"/>
    </row>
    <row r="199">
      <c r="A199" s="16" t="n"/>
      <c r="B199" s="9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9" t="n"/>
      <c r="M199" s="16" t="n"/>
      <c r="N199" s="16" t="n"/>
      <c r="O199" s="9" t="n"/>
      <c r="P199" s="16" t="n"/>
      <c r="Q199" s="9" t="n"/>
    </row>
    <row r="200">
      <c r="A200" s="16" t="n"/>
      <c r="B200" s="9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9" t="n"/>
      <c r="M200" s="16" t="n"/>
      <c r="N200" s="16" t="n"/>
      <c r="O200" s="9" t="n"/>
      <c r="P200" s="16" t="n"/>
      <c r="Q200" s="9" t="n"/>
    </row>
    <row r="201">
      <c r="A201" s="16" t="n"/>
      <c r="B201" s="9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9" t="n"/>
      <c r="M201" s="16" t="n"/>
      <c r="N201" s="16" t="n"/>
      <c r="O201" s="9" t="n"/>
      <c r="P201" s="16" t="n"/>
      <c r="Q201" s="9" t="n"/>
    </row>
    <row r="202">
      <c r="A202" s="16" t="n"/>
      <c r="B202" s="9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9" t="n"/>
      <c r="M202" s="16" t="n"/>
      <c r="N202" s="16" t="n"/>
      <c r="O202" s="9" t="n"/>
      <c r="P202" s="16" t="n"/>
      <c r="Q202" s="9" t="n"/>
    </row>
    <row r="203">
      <c r="A203" s="16" t="n"/>
      <c r="B203" s="9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9" t="n"/>
      <c r="M203" s="16" t="n"/>
      <c r="N203" s="16" t="n"/>
      <c r="O203" s="9" t="n"/>
      <c r="P203" s="16" t="n"/>
      <c r="Q203" s="9" t="n"/>
    </row>
    <row r="204">
      <c r="A204" s="16" t="n"/>
      <c r="B204" s="9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9" t="n"/>
      <c r="M204" s="16" t="n"/>
      <c r="N204" s="16" t="n"/>
      <c r="O204" s="9" t="n"/>
      <c r="P204" s="16" t="n"/>
      <c r="Q204" s="9" t="n"/>
    </row>
    <row r="205">
      <c r="A205" s="16" t="n"/>
      <c r="B205" s="9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9" t="n"/>
      <c r="M205" s="16" t="n"/>
      <c r="N205" s="16" t="n"/>
      <c r="O205" s="9" t="n"/>
      <c r="P205" s="16" t="n"/>
      <c r="Q205" s="9" t="n"/>
    </row>
    <row r="206">
      <c r="A206" s="16" t="n"/>
      <c r="B206" s="9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9" t="n"/>
      <c r="M206" s="16" t="n"/>
      <c r="N206" s="16" t="n"/>
      <c r="O206" s="9" t="n"/>
      <c r="P206" s="16" t="n"/>
      <c r="Q206" s="9" t="n"/>
    </row>
    <row r="207">
      <c r="A207" s="16" t="n"/>
      <c r="B207" s="9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9" t="n"/>
      <c r="M207" s="16" t="n"/>
      <c r="N207" s="16" t="n"/>
      <c r="O207" s="9" t="n"/>
      <c r="P207" s="16" t="n"/>
      <c r="Q207" s="9" t="n"/>
    </row>
    <row r="208">
      <c r="A208" s="16" t="n"/>
      <c r="B208" s="9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9" t="n"/>
      <c r="M208" s="16" t="n"/>
      <c r="N208" s="16" t="n"/>
      <c r="O208" s="9" t="n"/>
      <c r="P208" s="16" t="n"/>
      <c r="Q208" s="9" t="n"/>
    </row>
    <row r="209">
      <c r="A209" s="16" t="n"/>
      <c r="B209" s="9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9" t="n"/>
      <c r="M209" s="16" t="n"/>
      <c r="N209" s="16" t="n"/>
      <c r="O209" s="9" t="n"/>
      <c r="P209" s="16" t="n"/>
      <c r="Q209" s="9" t="n"/>
    </row>
    <row r="210">
      <c r="A210" s="16" t="n"/>
      <c r="B210" s="9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9" t="n"/>
      <c r="M210" s="16" t="n"/>
      <c r="N210" s="16" t="n"/>
      <c r="O210" s="9" t="n"/>
      <c r="P210" s="16" t="n"/>
      <c r="Q210" s="9" t="n"/>
    </row>
    <row r="211">
      <c r="A211" s="16" t="n"/>
      <c r="B211" s="9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9" t="n"/>
      <c r="M211" s="16" t="n"/>
      <c r="N211" s="16" t="n"/>
      <c r="O211" s="9" t="n"/>
      <c r="P211" s="16" t="n"/>
      <c r="Q211" s="9" t="n"/>
    </row>
    <row r="212">
      <c r="A212" s="16" t="n"/>
      <c r="B212" s="9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9" t="n"/>
      <c r="M212" s="16" t="n"/>
      <c r="N212" s="16" t="n"/>
      <c r="O212" s="9" t="n"/>
      <c r="P212" s="16" t="n"/>
      <c r="Q212" s="9" t="n"/>
    </row>
    <row r="213">
      <c r="A213" s="16" t="n"/>
      <c r="B213" s="9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9" t="n"/>
      <c r="M213" s="16" t="n"/>
      <c r="N213" s="16" t="n"/>
      <c r="O213" s="9" t="n"/>
      <c r="P213" s="16" t="n"/>
      <c r="Q213" s="9" t="n"/>
    </row>
    <row r="214">
      <c r="A214" s="16" t="n"/>
      <c r="B214" s="9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9" t="n"/>
      <c r="M214" s="16" t="n"/>
      <c r="N214" s="16" t="n"/>
      <c r="O214" s="9" t="n"/>
      <c r="P214" s="16" t="n"/>
      <c r="Q214" s="9" t="n"/>
    </row>
    <row r="215">
      <c r="A215" s="16" t="n"/>
      <c r="B215" s="9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9" t="n"/>
      <c r="M215" s="16" t="n"/>
      <c r="N215" s="16" t="n"/>
      <c r="O215" s="9" t="n"/>
      <c r="P215" s="16" t="n"/>
      <c r="Q215" s="9" t="n"/>
    </row>
    <row r="216">
      <c r="A216" s="16" t="n"/>
      <c r="B216" s="9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9" t="n"/>
      <c r="M216" s="16" t="n"/>
      <c r="N216" s="16" t="n"/>
      <c r="O216" s="9" t="n"/>
      <c r="P216" s="16" t="n"/>
      <c r="Q216" s="9" t="n"/>
    </row>
    <row r="217">
      <c r="A217" s="16" t="n"/>
      <c r="B217" s="9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9" t="n"/>
      <c r="M217" s="16" t="n"/>
      <c r="N217" s="16" t="n"/>
      <c r="O217" s="9" t="n"/>
      <c r="P217" s="16" t="n"/>
      <c r="Q217" s="9" t="n"/>
    </row>
    <row r="218">
      <c r="A218" s="16" t="n"/>
      <c r="B218" s="9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9" t="n"/>
      <c r="M218" s="16" t="n"/>
      <c r="N218" s="16" t="n"/>
      <c r="O218" s="9" t="n"/>
      <c r="P218" s="16" t="n"/>
      <c r="Q218" s="9" t="n"/>
    </row>
    <row r="219">
      <c r="A219" s="16" t="n"/>
      <c r="B219" s="9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9" t="n"/>
      <c r="M219" s="16" t="n"/>
      <c r="N219" s="16" t="n"/>
      <c r="O219" s="9" t="n"/>
      <c r="P219" s="16" t="n"/>
      <c r="Q219" s="9" t="n"/>
    </row>
    <row r="220">
      <c r="A220" s="16" t="n"/>
      <c r="B220" s="9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9" t="n"/>
      <c r="M220" s="16" t="n"/>
      <c r="N220" s="16" t="n"/>
      <c r="O220" s="9" t="n"/>
      <c r="P220" s="16" t="n"/>
      <c r="Q220" s="9" t="n"/>
    </row>
    <row r="221">
      <c r="A221" s="16" t="n"/>
      <c r="B221" s="9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9" t="n"/>
      <c r="M221" s="16" t="n"/>
      <c r="N221" s="16" t="n"/>
      <c r="O221" s="9" t="n"/>
      <c r="P221" s="16" t="n"/>
      <c r="Q221" s="9" t="n"/>
    </row>
    <row r="222">
      <c r="A222" s="16" t="n"/>
      <c r="B222" s="9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9" t="n"/>
      <c r="M222" s="16" t="n"/>
      <c r="N222" s="16" t="n"/>
      <c r="O222" s="9" t="n"/>
      <c r="P222" s="16" t="n"/>
      <c r="Q222" s="9" t="n"/>
    </row>
    <row r="223">
      <c r="A223" s="16" t="n"/>
      <c r="B223" s="9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9" t="n"/>
      <c r="M223" s="16" t="n"/>
      <c r="N223" s="16" t="n"/>
      <c r="O223" s="9" t="n"/>
      <c r="P223" s="16" t="n"/>
      <c r="Q223" s="9" t="n"/>
    </row>
    <row r="224">
      <c r="A224" s="16" t="n"/>
      <c r="B224" s="9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9" t="n"/>
      <c r="M224" s="16" t="n"/>
      <c r="N224" s="16" t="n"/>
      <c r="O224" s="9" t="n"/>
      <c r="P224" s="16" t="n"/>
      <c r="Q224" s="9" t="n"/>
    </row>
    <row r="225">
      <c r="A225" s="16" t="n"/>
      <c r="B225" s="9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9" t="n"/>
      <c r="M225" s="16" t="n"/>
      <c r="N225" s="16" t="n"/>
      <c r="O225" s="9" t="n"/>
      <c r="P225" s="16" t="n"/>
      <c r="Q225" s="9" t="n"/>
    </row>
    <row r="226">
      <c r="A226" s="16" t="n"/>
      <c r="B226" s="9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9" t="n"/>
      <c r="M226" s="16" t="n"/>
      <c r="N226" s="16" t="n"/>
      <c r="O226" s="9" t="n"/>
      <c r="P226" s="16" t="n"/>
      <c r="Q226" s="9" t="n"/>
    </row>
    <row r="227">
      <c r="A227" s="16" t="n"/>
      <c r="B227" s="9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9" t="n"/>
      <c r="M227" s="16" t="n"/>
      <c r="N227" s="16" t="n"/>
      <c r="O227" s="9" t="n"/>
      <c r="P227" s="16" t="n"/>
      <c r="Q227" s="9" t="n"/>
    </row>
    <row r="228">
      <c r="A228" s="16" t="n"/>
      <c r="B228" s="9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9" t="n"/>
      <c r="M228" s="16" t="n"/>
      <c r="N228" s="16" t="n"/>
      <c r="O228" s="9" t="n"/>
      <c r="P228" s="16" t="n"/>
      <c r="Q228" s="9" t="n"/>
    </row>
    <row r="229">
      <c r="A229" s="16" t="n"/>
      <c r="B229" s="9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9" t="n"/>
      <c r="M229" s="16" t="n"/>
      <c r="N229" s="16" t="n"/>
      <c r="O229" s="9" t="n"/>
      <c r="P229" s="16" t="n"/>
      <c r="Q229" s="9" t="n"/>
    </row>
    <row r="230">
      <c r="A230" s="16" t="n"/>
      <c r="B230" s="9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9" t="n"/>
      <c r="M230" s="16" t="n"/>
      <c r="N230" s="16" t="n"/>
      <c r="O230" s="9" t="n"/>
      <c r="P230" s="16" t="n"/>
      <c r="Q230" s="9" t="n"/>
    </row>
    <row r="231">
      <c r="A231" s="16" t="n"/>
      <c r="B231" s="9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9" t="n"/>
      <c r="M231" s="16" t="n"/>
      <c r="N231" s="16" t="n"/>
      <c r="O231" s="9" t="n"/>
      <c r="P231" s="16" t="n"/>
      <c r="Q231" s="9" t="n"/>
    </row>
    <row r="232">
      <c r="A232" s="16" t="n"/>
      <c r="B232" s="9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9" t="n"/>
      <c r="M232" s="16" t="n"/>
      <c r="N232" s="16" t="n"/>
      <c r="O232" s="9" t="n"/>
      <c r="P232" s="16" t="n"/>
      <c r="Q232" s="9" t="n"/>
    </row>
    <row r="233">
      <c r="A233" s="16" t="n"/>
      <c r="B233" s="9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9" t="n"/>
      <c r="M233" s="16" t="n"/>
      <c r="N233" s="16" t="n"/>
      <c r="O233" s="9" t="n"/>
      <c r="P233" s="16" t="n"/>
      <c r="Q233" s="9" t="n"/>
    </row>
    <row r="234">
      <c r="A234" s="16" t="n"/>
      <c r="B234" s="9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9" t="n"/>
      <c r="M234" s="16" t="n"/>
      <c r="N234" s="16" t="n"/>
      <c r="O234" s="9" t="n"/>
      <c r="P234" s="16" t="n"/>
      <c r="Q234" s="9" t="n"/>
    </row>
    <row r="235">
      <c r="A235" s="16" t="n"/>
      <c r="B235" s="9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9" t="n"/>
      <c r="M235" s="16" t="n"/>
      <c r="N235" s="16" t="n"/>
      <c r="O235" s="9" t="n"/>
      <c r="P235" s="16" t="n"/>
      <c r="Q235" s="9" t="n"/>
    </row>
    <row r="236">
      <c r="A236" s="16" t="n"/>
      <c r="B236" s="9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9" t="n"/>
      <c r="M236" s="16" t="n"/>
      <c r="N236" s="16" t="n"/>
      <c r="O236" s="9" t="n"/>
      <c r="P236" s="16" t="n"/>
      <c r="Q236" s="9" t="n"/>
    </row>
    <row r="237">
      <c r="A237" s="16" t="n"/>
      <c r="B237" s="9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9" t="n"/>
      <c r="M237" s="16" t="n"/>
      <c r="N237" s="16" t="n"/>
      <c r="O237" s="9" t="n"/>
      <c r="P237" s="16" t="n"/>
      <c r="Q237" s="9" t="n"/>
    </row>
    <row r="238">
      <c r="A238" s="16" t="n"/>
      <c r="B238" s="9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9" t="n"/>
      <c r="M238" s="16" t="n"/>
      <c r="N238" s="16" t="n"/>
      <c r="O238" s="9" t="n"/>
      <c r="P238" s="16" t="n"/>
      <c r="Q238" s="9" t="n"/>
    </row>
    <row r="239">
      <c r="A239" s="16" t="n"/>
      <c r="B239" s="9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9" t="n"/>
      <c r="M239" s="16" t="n"/>
      <c r="N239" s="16" t="n"/>
      <c r="O239" s="9" t="n"/>
      <c r="P239" s="16" t="n"/>
      <c r="Q239" s="9" t="n"/>
    </row>
    <row r="240">
      <c r="A240" s="16" t="n"/>
      <c r="B240" s="9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9" t="n"/>
      <c r="M240" s="16" t="n"/>
      <c r="N240" s="16" t="n"/>
      <c r="O240" s="9" t="n"/>
      <c r="P240" s="16" t="n"/>
      <c r="Q240" s="9" t="n"/>
    </row>
    <row r="241">
      <c r="A241" s="16" t="n"/>
      <c r="B241" s="9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9" t="n"/>
      <c r="M241" s="16" t="n"/>
      <c r="N241" s="16" t="n"/>
      <c r="O241" s="9" t="n"/>
      <c r="P241" s="16" t="n"/>
      <c r="Q241" s="9" t="n"/>
    </row>
    <row r="242">
      <c r="A242" s="16" t="n"/>
      <c r="B242" s="9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9" t="n"/>
      <c r="M242" s="16" t="n"/>
      <c r="N242" s="16" t="n"/>
      <c r="O242" s="9" t="n"/>
      <c r="P242" s="16" t="n"/>
      <c r="Q242" s="9" t="n"/>
    </row>
    <row r="243">
      <c r="A243" s="16" t="n"/>
      <c r="B243" s="9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9" t="n"/>
      <c r="M243" s="16" t="n"/>
      <c r="N243" s="16" t="n"/>
      <c r="O243" s="9" t="n"/>
      <c r="P243" s="16" t="n"/>
      <c r="Q243" s="9" t="n"/>
    </row>
    <row r="244">
      <c r="A244" s="16" t="n"/>
      <c r="B244" s="9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9" t="n"/>
      <c r="M244" s="16" t="n"/>
      <c r="N244" s="16" t="n"/>
      <c r="O244" s="9" t="n"/>
      <c r="P244" s="16" t="n"/>
      <c r="Q244" s="9" t="n"/>
    </row>
    <row r="245">
      <c r="A245" s="16" t="n"/>
      <c r="B245" s="9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9" t="n"/>
      <c r="M245" s="16" t="n"/>
      <c r="N245" s="16" t="n"/>
      <c r="O245" s="9" t="n"/>
      <c r="P245" s="16" t="n"/>
      <c r="Q245" s="9" t="n"/>
    </row>
    <row r="246">
      <c r="A246" s="16" t="n"/>
      <c r="B246" s="9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9" t="n"/>
      <c r="M246" s="16" t="n"/>
      <c r="N246" s="16" t="n"/>
      <c r="O246" s="9" t="n"/>
      <c r="P246" s="16" t="n"/>
      <c r="Q246" s="9" t="n"/>
    </row>
    <row r="247">
      <c r="A247" s="16" t="n"/>
      <c r="B247" s="9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9" t="n"/>
      <c r="M247" s="16" t="n"/>
      <c r="N247" s="16" t="n"/>
      <c r="O247" s="9" t="n"/>
      <c r="P247" s="16" t="n"/>
      <c r="Q247" s="9" t="n"/>
    </row>
    <row r="248">
      <c r="A248" s="16" t="n"/>
      <c r="B248" s="9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9" t="n"/>
      <c r="M248" s="16" t="n"/>
      <c r="N248" s="16" t="n"/>
      <c r="O248" s="9" t="n"/>
      <c r="P248" s="16" t="n"/>
      <c r="Q248" s="9" t="n"/>
    </row>
    <row r="249">
      <c r="A249" s="16" t="n"/>
      <c r="B249" s="9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9" t="n"/>
      <c r="M249" s="16" t="n"/>
      <c r="N249" s="16" t="n"/>
      <c r="O249" s="9" t="n"/>
      <c r="P249" s="16" t="n"/>
      <c r="Q249" s="9" t="n"/>
    </row>
    <row r="250">
      <c r="A250" s="16" t="n"/>
      <c r="B250" s="9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9" t="n"/>
      <c r="M250" s="16" t="n"/>
      <c r="N250" s="16" t="n"/>
      <c r="O250" s="9" t="n"/>
      <c r="P250" s="16" t="n"/>
      <c r="Q250" s="9" t="n"/>
    </row>
    <row r="251">
      <c r="A251" s="16" t="n"/>
      <c r="B251" s="9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9" t="n"/>
      <c r="M251" s="16" t="n"/>
      <c r="N251" s="16" t="n"/>
      <c r="O251" s="9" t="n"/>
      <c r="P251" s="16" t="n"/>
      <c r="Q251" s="9" t="n"/>
    </row>
    <row r="252">
      <c r="A252" s="16" t="n"/>
      <c r="B252" s="9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9" t="n"/>
      <c r="M252" s="16" t="n"/>
      <c r="N252" s="16" t="n"/>
      <c r="O252" s="9" t="n"/>
      <c r="P252" s="16" t="n"/>
      <c r="Q252" s="9" t="n"/>
    </row>
    <row r="253">
      <c r="A253" s="16" t="n"/>
      <c r="B253" s="9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9" t="n"/>
      <c r="M253" s="16" t="n"/>
      <c r="N253" s="16" t="n"/>
      <c r="O253" s="9" t="n"/>
      <c r="P253" s="16" t="n"/>
      <c r="Q253" s="9" t="n"/>
    </row>
    <row r="254">
      <c r="A254" s="16" t="n"/>
      <c r="B254" s="9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9" t="n"/>
      <c r="M254" s="16" t="n"/>
      <c r="N254" s="16" t="n"/>
      <c r="O254" s="9" t="n"/>
      <c r="P254" s="16" t="n"/>
      <c r="Q254" s="9" t="n"/>
    </row>
    <row r="255">
      <c r="A255" s="16" t="n"/>
      <c r="B255" s="9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9" t="n"/>
      <c r="M255" s="16" t="n"/>
      <c r="N255" s="16" t="n"/>
      <c r="O255" s="9" t="n"/>
      <c r="P255" s="16" t="n"/>
      <c r="Q255" s="9" t="n"/>
    </row>
    <row r="256">
      <c r="A256" s="16" t="n"/>
      <c r="B256" s="9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9" t="n"/>
      <c r="M256" s="16" t="n"/>
      <c r="N256" s="16" t="n"/>
      <c r="O256" s="9" t="n"/>
      <c r="P256" s="16" t="n"/>
      <c r="Q256" s="9" t="n"/>
    </row>
    <row r="257">
      <c r="A257" s="16" t="n"/>
      <c r="B257" s="9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9" t="n"/>
      <c r="M257" s="16" t="n"/>
      <c r="N257" s="16" t="n"/>
      <c r="O257" s="9" t="n"/>
      <c r="P257" s="16" t="n"/>
      <c r="Q257" s="9" t="n"/>
    </row>
    <row r="258">
      <c r="A258" s="16" t="n"/>
      <c r="B258" s="9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9" t="n"/>
      <c r="M258" s="16" t="n"/>
      <c r="N258" s="16" t="n"/>
      <c r="O258" s="9" t="n"/>
      <c r="P258" s="16" t="n"/>
      <c r="Q258" s="9" t="n"/>
    </row>
    <row r="259">
      <c r="A259" s="16" t="n"/>
      <c r="B259" s="9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9" t="n"/>
      <c r="M259" s="16" t="n"/>
      <c r="N259" s="16" t="n"/>
      <c r="O259" s="9" t="n"/>
      <c r="P259" s="16" t="n"/>
      <c r="Q259" s="9" t="n"/>
    </row>
    <row r="260">
      <c r="A260" s="16" t="n"/>
      <c r="B260" s="9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9" t="n"/>
      <c r="M260" s="16" t="n"/>
      <c r="N260" s="16" t="n"/>
      <c r="O260" s="9" t="n"/>
      <c r="P260" s="16" t="n"/>
      <c r="Q260" s="9" t="n"/>
    </row>
    <row r="261">
      <c r="A261" s="16" t="n"/>
      <c r="B261" s="9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9" t="n"/>
      <c r="M261" s="16" t="n"/>
      <c r="N261" s="16" t="n"/>
      <c r="O261" s="9" t="n"/>
      <c r="P261" s="16" t="n"/>
      <c r="Q261" s="9" t="n"/>
    </row>
    <row r="262">
      <c r="A262" s="16" t="n"/>
      <c r="B262" s="9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9" t="n"/>
      <c r="M262" s="16" t="n"/>
      <c r="N262" s="16" t="n"/>
      <c r="O262" s="9" t="n"/>
      <c r="P262" s="16" t="n"/>
      <c r="Q262" s="9" t="n"/>
    </row>
    <row r="263">
      <c r="A263" s="16" t="n"/>
      <c r="B263" s="9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9" t="n"/>
      <c r="M263" s="16" t="n"/>
      <c r="N263" s="16" t="n"/>
      <c r="O263" s="9" t="n"/>
      <c r="P263" s="16" t="n"/>
      <c r="Q263" s="9" t="n"/>
    </row>
    <row r="264">
      <c r="A264" s="16" t="n"/>
      <c r="B264" s="9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9" t="n"/>
      <c r="M264" s="16" t="n"/>
      <c r="N264" s="16" t="n"/>
      <c r="O264" s="9" t="n"/>
      <c r="P264" s="16" t="n"/>
      <c r="Q264" s="9" t="n"/>
    </row>
    <row r="265">
      <c r="A265" s="16" t="n"/>
      <c r="B265" s="9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9" t="n"/>
      <c r="M265" s="16" t="n"/>
      <c r="N265" s="16" t="n"/>
      <c r="O265" s="9" t="n"/>
      <c r="P265" s="16" t="n"/>
      <c r="Q265" s="9" t="n"/>
    </row>
    <row r="266">
      <c r="A266" s="16" t="n"/>
      <c r="B266" s="9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9" t="n"/>
      <c r="M266" s="16" t="n"/>
      <c r="N266" s="16" t="n"/>
      <c r="O266" s="9" t="n"/>
      <c r="P266" s="16" t="n"/>
      <c r="Q266" s="9" t="n"/>
    </row>
    <row r="267">
      <c r="A267" s="16" t="n"/>
      <c r="B267" s="9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9" t="n"/>
      <c r="M267" s="16" t="n"/>
      <c r="N267" s="16" t="n"/>
      <c r="O267" s="9" t="n"/>
      <c r="P267" s="16" t="n"/>
      <c r="Q267" s="9" t="n"/>
    </row>
    <row r="268">
      <c r="A268" s="16" t="n"/>
      <c r="B268" s="9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9" t="n"/>
      <c r="M268" s="16" t="n"/>
      <c r="N268" s="16" t="n"/>
      <c r="O268" s="9" t="n"/>
      <c r="P268" s="16" t="n"/>
      <c r="Q268" s="9" t="n"/>
    </row>
    <row r="269">
      <c r="A269" s="16" t="n"/>
      <c r="B269" s="9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9" t="n"/>
      <c r="M269" s="16" t="n"/>
      <c r="N269" s="16" t="n"/>
      <c r="O269" s="9" t="n"/>
      <c r="P269" s="16" t="n"/>
      <c r="Q269" s="9" t="n"/>
    </row>
    <row r="270">
      <c r="A270" s="16" t="n"/>
      <c r="B270" s="9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9" t="n"/>
      <c r="M270" s="16" t="n"/>
      <c r="N270" s="16" t="n"/>
      <c r="O270" s="9" t="n"/>
      <c r="P270" s="16" t="n"/>
      <c r="Q270" s="9" t="n"/>
    </row>
    <row r="271">
      <c r="A271" s="16" t="n"/>
      <c r="B271" s="9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9" t="n"/>
      <c r="M271" s="16" t="n"/>
      <c r="N271" s="16" t="n"/>
      <c r="O271" s="9" t="n"/>
      <c r="P271" s="16" t="n"/>
      <c r="Q271" s="9" t="n"/>
    </row>
    <row r="272">
      <c r="A272" s="16" t="n"/>
      <c r="B272" s="9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9" t="n"/>
      <c r="M272" s="16" t="n"/>
      <c r="N272" s="16" t="n"/>
      <c r="O272" s="9" t="n"/>
      <c r="P272" s="16" t="n"/>
      <c r="Q272" s="9" t="n"/>
    </row>
    <row r="273">
      <c r="A273" s="16" t="n"/>
      <c r="B273" s="9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9" t="n"/>
      <c r="M273" s="16" t="n"/>
      <c r="N273" s="16" t="n"/>
      <c r="O273" s="9" t="n"/>
      <c r="P273" s="16" t="n"/>
      <c r="Q273" s="9" t="n"/>
    </row>
    <row r="274">
      <c r="A274" s="16" t="n"/>
      <c r="B274" s="9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9" t="n"/>
      <c r="M274" s="16" t="n"/>
      <c r="N274" s="16" t="n"/>
      <c r="O274" s="9" t="n"/>
      <c r="P274" s="16" t="n"/>
      <c r="Q274" s="9" t="n"/>
    </row>
    <row r="275">
      <c r="A275" s="16" t="n"/>
      <c r="B275" s="9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9" t="n"/>
      <c r="M275" s="16" t="n"/>
      <c r="N275" s="16" t="n"/>
      <c r="O275" s="9" t="n"/>
      <c r="P275" s="16" t="n"/>
      <c r="Q275" s="9" t="n"/>
    </row>
    <row r="276">
      <c r="A276" s="16" t="n"/>
      <c r="B276" s="9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9" t="n"/>
      <c r="M276" s="16" t="n"/>
      <c r="N276" s="16" t="n"/>
      <c r="O276" s="9" t="n"/>
      <c r="P276" s="16" t="n"/>
      <c r="Q276" s="9" t="n"/>
    </row>
    <row r="277">
      <c r="A277" s="16" t="n"/>
      <c r="B277" s="9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9" t="n"/>
      <c r="M277" s="16" t="n"/>
      <c r="N277" s="16" t="n"/>
      <c r="O277" s="9" t="n"/>
      <c r="P277" s="16" t="n"/>
      <c r="Q277" s="9" t="n"/>
    </row>
    <row r="278">
      <c r="A278" s="16" t="n"/>
      <c r="B278" s="9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9" t="n"/>
      <c r="M278" s="16" t="n"/>
      <c r="N278" s="16" t="n"/>
      <c r="O278" s="9" t="n"/>
      <c r="P278" s="16" t="n"/>
      <c r="Q278" s="9" t="n"/>
    </row>
    <row r="279">
      <c r="A279" s="16" t="n"/>
      <c r="B279" s="9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9" t="n"/>
      <c r="M279" s="16" t="n"/>
      <c r="N279" s="16" t="n"/>
      <c r="O279" s="9" t="n"/>
      <c r="P279" s="16" t="n"/>
      <c r="Q279" s="9" t="n"/>
    </row>
    <row r="280">
      <c r="A280" s="16" t="n"/>
      <c r="B280" s="9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9" t="n"/>
      <c r="M280" s="16" t="n"/>
      <c r="N280" s="16" t="n"/>
      <c r="O280" s="9" t="n"/>
      <c r="P280" s="16" t="n"/>
      <c r="Q280" s="9" t="n"/>
    </row>
    <row r="281">
      <c r="A281" s="16" t="n"/>
      <c r="B281" s="9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9" t="n"/>
      <c r="M281" s="16" t="n"/>
      <c r="N281" s="16" t="n"/>
      <c r="O281" s="9" t="n"/>
      <c r="P281" s="16" t="n"/>
      <c r="Q281" s="9" t="n"/>
    </row>
    <row r="282">
      <c r="A282" s="16" t="n"/>
      <c r="B282" s="9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9" t="n"/>
      <c r="M282" s="16" t="n"/>
      <c r="N282" s="16" t="n"/>
      <c r="O282" s="9" t="n"/>
      <c r="P282" s="16" t="n"/>
      <c r="Q282" s="9" t="n"/>
    </row>
    <row r="283">
      <c r="A283" s="16" t="n"/>
      <c r="B283" s="9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9" t="n"/>
      <c r="M283" s="16" t="n"/>
      <c r="N283" s="16" t="n"/>
      <c r="O283" s="9" t="n"/>
      <c r="P283" s="16" t="n"/>
      <c r="Q283" s="9" t="n"/>
    </row>
    <row r="284">
      <c r="A284" s="16" t="n"/>
      <c r="B284" s="9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9" t="n"/>
      <c r="M284" s="16" t="n"/>
      <c r="N284" s="16" t="n"/>
      <c r="O284" s="9" t="n"/>
      <c r="P284" s="16" t="n"/>
      <c r="Q284" s="9" t="n"/>
    </row>
    <row r="285">
      <c r="A285" s="16" t="n"/>
      <c r="B285" s="9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9" t="n"/>
      <c r="M285" s="16" t="n"/>
      <c r="N285" s="16" t="n"/>
      <c r="O285" s="9" t="n"/>
      <c r="P285" s="16" t="n"/>
      <c r="Q285" s="9" t="n"/>
    </row>
    <row r="286">
      <c r="A286" s="16" t="n"/>
      <c r="B286" s="9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9" t="n"/>
      <c r="M286" s="16" t="n"/>
      <c r="N286" s="16" t="n"/>
      <c r="O286" s="9" t="n"/>
      <c r="P286" s="16" t="n"/>
      <c r="Q286" s="9" t="n"/>
    </row>
    <row r="287">
      <c r="A287" s="16" t="n"/>
      <c r="B287" s="9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9" t="n"/>
      <c r="M287" s="16" t="n"/>
      <c r="N287" s="16" t="n"/>
      <c r="O287" s="9" t="n"/>
      <c r="P287" s="16" t="n"/>
      <c r="Q287" s="9" t="n"/>
    </row>
    <row r="288">
      <c r="A288" s="16" t="n"/>
      <c r="B288" s="9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9" t="n"/>
      <c r="M288" s="16" t="n"/>
      <c r="N288" s="16" t="n"/>
      <c r="O288" s="9" t="n"/>
      <c r="P288" s="16" t="n"/>
      <c r="Q288" s="9" t="n"/>
    </row>
    <row r="289">
      <c r="A289" s="16" t="n"/>
      <c r="B289" s="9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9" t="n"/>
      <c r="M289" s="16" t="n"/>
      <c r="N289" s="16" t="n"/>
      <c r="O289" s="9" t="n"/>
      <c r="P289" s="16" t="n"/>
      <c r="Q289" s="9" t="n"/>
    </row>
    <row r="290">
      <c r="A290" s="16" t="n"/>
      <c r="B290" s="9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9" t="n"/>
      <c r="M290" s="16" t="n"/>
      <c r="N290" s="16" t="n"/>
      <c r="O290" s="9" t="n"/>
      <c r="P290" s="16" t="n"/>
      <c r="Q290" s="9" t="n"/>
    </row>
    <row r="291">
      <c r="A291" s="16" t="n"/>
      <c r="B291" s="9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9" t="n"/>
      <c r="M291" s="16" t="n"/>
      <c r="N291" s="16" t="n"/>
      <c r="O291" s="9" t="n"/>
      <c r="P291" s="16" t="n"/>
      <c r="Q291" s="9" t="n"/>
    </row>
    <row r="292">
      <c r="A292" s="16" t="n"/>
      <c r="B292" s="9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9" t="n"/>
      <c r="M292" s="16" t="n"/>
      <c r="N292" s="16" t="n"/>
      <c r="O292" s="9" t="n"/>
      <c r="P292" s="16" t="n"/>
      <c r="Q292" s="9" t="n"/>
    </row>
    <row r="293">
      <c r="A293" s="16" t="n"/>
      <c r="B293" s="9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9" t="n"/>
      <c r="M293" s="16" t="n"/>
      <c r="N293" s="16" t="n"/>
      <c r="O293" s="9" t="n"/>
      <c r="P293" s="16" t="n"/>
      <c r="Q293" s="9" t="n"/>
    </row>
    <row r="294">
      <c r="A294" s="16" t="n"/>
      <c r="B294" s="9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9" t="n"/>
      <c r="M294" s="16" t="n"/>
      <c r="N294" s="16" t="n"/>
      <c r="O294" s="9" t="n"/>
      <c r="P294" s="16" t="n"/>
      <c r="Q294" s="9" t="n"/>
    </row>
    <row r="295">
      <c r="A295" s="16" t="n"/>
      <c r="B295" s="9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9" t="n"/>
      <c r="M295" s="16" t="n"/>
      <c r="N295" s="16" t="n"/>
      <c r="O295" s="9" t="n"/>
      <c r="P295" s="16" t="n"/>
      <c r="Q295" s="9" t="n"/>
    </row>
    <row r="296">
      <c r="A296" s="16" t="n"/>
      <c r="B296" s="9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9" t="n"/>
      <c r="M296" s="16" t="n"/>
      <c r="N296" s="16" t="n"/>
      <c r="O296" s="9" t="n"/>
      <c r="P296" s="16" t="n"/>
      <c r="Q296" s="9" t="n"/>
    </row>
    <row r="297">
      <c r="A297" s="16" t="n"/>
      <c r="B297" s="9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9" t="n"/>
      <c r="M297" s="16" t="n"/>
      <c r="N297" s="16" t="n"/>
      <c r="O297" s="9" t="n"/>
      <c r="P297" s="16" t="n"/>
      <c r="Q297" s="9" t="n"/>
    </row>
    <row r="298">
      <c r="A298" s="16" t="n"/>
      <c r="B298" s="9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9" t="n"/>
      <c r="M298" s="16" t="n"/>
      <c r="N298" s="16" t="n"/>
      <c r="O298" s="9" t="n"/>
      <c r="P298" s="16" t="n"/>
      <c r="Q298" s="9" t="n"/>
    </row>
    <row r="299">
      <c r="A299" s="16" t="n"/>
      <c r="B299" s="9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9" t="n"/>
      <c r="M299" s="16" t="n"/>
      <c r="N299" s="16" t="n"/>
      <c r="O299" s="9" t="n"/>
      <c r="P299" s="16" t="n"/>
      <c r="Q299" s="9" t="n"/>
    </row>
    <row r="300">
      <c r="A300" s="16" t="n"/>
      <c r="B300" s="9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9" t="n"/>
      <c r="M300" s="16" t="n"/>
      <c r="N300" s="16" t="n"/>
      <c r="O300" s="9" t="n"/>
      <c r="P300" s="16" t="n"/>
      <c r="Q300" s="9" t="n"/>
    </row>
    <row r="301">
      <c r="A301" s="16" t="n"/>
      <c r="B301" s="9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9" t="n"/>
      <c r="M301" s="16" t="n"/>
      <c r="N301" s="16" t="n"/>
      <c r="O301" s="9" t="n"/>
      <c r="P301" s="16" t="n"/>
      <c r="Q301" s="9" t="n"/>
    </row>
    <row r="302">
      <c r="A302" s="16" t="n"/>
      <c r="B302" s="9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9" t="n"/>
      <c r="M302" s="16" t="n"/>
      <c r="N302" s="16" t="n"/>
      <c r="O302" s="9" t="n"/>
      <c r="P302" s="16" t="n"/>
      <c r="Q302" s="9" t="n"/>
    </row>
    <row r="303">
      <c r="A303" s="16" t="n"/>
      <c r="B303" s="9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9" t="n"/>
      <c r="M303" s="16" t="n"/>
      <c r="N303" s="16" t="n"/>
      <c r="O303" s="9" t="n"/>
      <c r="P303" s="16" t="n"/>
      <c r="Q303" s="9" t="n"/>
    </row>
    <row r="304">
      <c r="A304" s="16" t="n"/>
      <c r="B304" s="9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9" t="n"/>
      <c r="M304" s="16" t="n"/>
      <c r="N304" s="16" t="n"/>
      <c r="O304" s="9" t="n"/>
      <c r="P304" s="16" t="n"/>
      <c r="Q304" s="9" t="n"/>
    </row>
    <row r="305">
      <c r="A305" s="16" t="n"/>
      <c r="B305" s="9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9" t="n"/>
      <c r="M305" s="16" t="n"/>
      <c r="N305" s="16" t="n"/>
      <c r="O305" s="9" t="n"/>
      <c r="P305" s="16" t="n"/>
      <c r="Q305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Q305"/>
  <mergeCells count="1">
    <mergeCell ref="A2:Q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8" t="inlineStr">
        <is>
          <t>Status</t>
        </is>
      </c>
      <c r="B1" s="8" t="inlineStr">
        <is>
          <t>RateType</t>
        </is>
      </c>
      <c r="C1" s="8" t="inlineStr">
        <is>
          <t>ResourceType</t>
        </is>
      </c>
      <c r="D1" s="8" t="inlineStr">
        <is>
          <t>PricingMethod</t>
        </is>
      </c>
      <c r="E1" s="8" t="inlineStr">
        <is>
          <t>YesNoUnknown</t>
        </is>
      </c>
      <c r="F1" s="8" t="inlineStr">
        <is>
          <t>Method</t>
        </is>
      </c>
      <c r="G1" s="8" t="inlineStr">
        <is>
          <t>Base</t>
        </is>
      </c>
      <c r="H1" s="8" t="inlineStr">
        <is>
          <t>IndirectMethod</t>
        </is>
      </c>
      <c r="I1" s="8" t="inlineStr">
        <is>
          <t>Allocation</t>
        </is>
      </c>
      <c r="J1" s="8" t="inlineStr">
        <is>
          <t>LineType</t>
        </is>
      </c>
      <c r="K1" s="8" t="inlineStr">
        <is>
          <t>WasteBasis</t>
        </is>
      </c>
      <c r="L1" s="8" t="inlineStr">
        <is>
          <t>Productivity</t>
        </is>
      </c>
      <c r="M1" s="8" t="inlineStr">
        <is>
          <t>ScopeKind</t>
        </is>
      </c>
      <c r="N1" s="8" t="inlineStr">
        <is>
          <t>ClarStatus</t>
        </is>
      </c>
      <c r="O1" s="8" t="inlineStr">
        <is>
          <t>Severity</t>
        </is>
      </c>
      <c r="P1" s="8" t="inlineStr">
        <is>
          <t>Compliance</t>
        </is>
      </c>
      <c r="Q1" s="8" t="inlineStr">
        <is>
          <t>Confidence</t>
        </is>
      </c>
      <c r="R1" s="8" t="inlineStr">
        <is>
          <t>TaxTreatment</t>
        </is>
      </c>
      <c r="S1" s="8" t="inlineStr">
        <is>
          <t>units</t>
        </is>
      </c>
      <c r="T1" s="8" t="inlineStr">
        <is>
          <t>regions</t>
        </is>
      </c>
      <c r="U1" s="8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:title xmlns:dc="http://purl.org/dc/elements/1.1/">KSA Construction Estimating Suite - Master Estimate</dc:title>
  <dcterms:created xmlns:dcterms="http://purl.org/dc/terms/" xmlns:xsi="http://www.w3.org/2001/XMLSchema-instance" xsi:type="dcterms:W3CDTF">2026-10-12T20:30:35Z</dcterms:created>
  <dcterms:modified xmlns:dcterms="http://purl.org/dc/terms/" xmlns:xsi="http://www.w3.org/2001/XMLSchema-instance" xsi:type="dcterms:W3CDTF">2026-10-12T20:30:38Z</dcterms:modified>
</cp:coreProperties>
</file>